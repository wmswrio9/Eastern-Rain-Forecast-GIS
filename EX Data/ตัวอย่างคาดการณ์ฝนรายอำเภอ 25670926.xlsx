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 Drive\98 Antigravity\Rain_Forcast\EX Data\"/>
    </mc:Choice>
  </mc:AlternateContent>
  <xr:revisionPtr revIDLastSave="0" documentId="8_{022693B5-424A-411D-849F-41820ADA356E}" xr6:coauthVersionLast="47" xr6:coauthVersionMax="47" xr10:uidLastSave="{00000000-0000-0000-0000-000000000000}"/>
  <bookViews>
    <workbookView xWindow="-120" yWindow="-120" windowWidth="29040" windowHeight="15840" activeTab="5" xr2:uid="{B4238655-9AFF-4FC1-900F-48E372F43E00}"/>
  </bookViews>
  <sheets>
    <sheet name="Code Pro" sheetId="2" r:id="rId1"/>
    <sheet name="RAW DATA" sheetId="6" r:id="rId2"/>
    <sheet name="Data" sheetId="1" r:id="rId3"/>
    <sheet name="WeightCal" sheetId="3" r:id="rId4"/>
    <sheet name="สรุปรายวัน (อ.)" sheetId="4" r:id="rId5"/>
    <sheet name="สรุปสะสม (อ.)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5" l="1"/>
  <c r="E4" i="4"/>
  <c r="F4" i="4" s="1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4" i="3"/>
  <c r="C5" i="3"/>
  <c r="C6" i="3"/>
  <c r="C7" i="3"/>
  <c r="C8" i="3"/>
  <c r="C9" i="3"/>
  <c r="C10" i="3"/>
  <c r="C11" i="3"/>
  <c r="C12" i="3"/>
  <c r="C13" i="3"/>
  <c r="C3" i="3"/>
  <c r="AA3" i="1"/>
  <c r="AB3" i="1"/>
  <c r="AC3" i="1"/>
  <c r="AD3" i="1"/>
  <c r="AE3" i="1"/>
  <c r="AF3" i="1"/>
  <c r="AG3" i="1"/>
  <c r="AH3" i="1"/>
  <c r="AI3" i="1"/>
  <c r="AA4" i="1"/>
  <c r="AB4" i="1"/>
  <c r="AC4" i="1"/>
  <c r="AD4" i="1"/>
  <c r="AE4" i="1"/>
  <c r="AF4" i="1"/>
  <c r="AG4" i="1"/>
  <c r="AH4" i="1"/>
  <c r="AI4" i="1"/>
  <c r="AA5" i="1"/>
  <c r="AB5" i="1"/>
  <c r="AC5" i="1"/>
  <c r="AD5" i="1"/>
  <c r="AE5" i="1"/>
  <c r="AF5" i="1"/>
  <c r="AG5" i="1"/>
  <c r="AH5" i="1"/>
  <c r="AI5" i="1"/>
  <c r="AA6" i="1"/>
  <c r="AB6" i="1"/>
  <c r="AC6" i="1"/>
  <c r="AD6" i="1"/>
  <c r="AE6" i="1"/>
  <c r="AF6" i="1"/>
  <c r="AG6" i="1"/>
  <c r="AH6" i="1"/>
  <c r="AI6" i="1"/>
  <c r="AA7" i="1"/>
  <c r="AB7" i="1"/>
  <c r="AC7" i="1"/>
  <c r="AD7" i="1"/>
  <c r="AE7" i="1"/>
  <c r="AF7" i="1"/>
  <c r="AG7" i="1"/>
  <c r="AH7" i="1"/>
  <c r="AI7" i="1"/>
  <c r="AA8" i="1"/>
  <c r="AB8" i="1"/>
  <c r="AC8" i="1"/>
  <c r="AD8" i="1"/>
  <c r="AE8" i="1"/>
  <c r="AF8" i="1"/>
  <c r="AG8" i="1"/>
  <c r="AH8" i="1"/>
  <c r="AI8" i="1"/>
  <c r="AA9" i="1"/>
  <c r="AB9" i="1"/>
  <c r="AC9" i="1"/>
  <c r="AD9" i="1"/>
  <c r="AE9" i="1"/>
  <c r="AF9" i="1"/>
  <c r="AG9" i="1"/>
  <c r="AH9" i="1"/>
  <c r="AI9" i="1"/>
  <c r="AA10" i="1"/>
  <c r="AB10" i="1"/>
  <c r="AC10" i="1"/>
  <c r="AD10" i="1"/>
  <c r="AE10" i="1"/>
  <c r="AF10" i="1"/>
  <c r="AG10" i="1"/>
  <c r="AH10" i="1"/>
  <c r="AI10" i="1"/>
  <c r="AA11" i="1"/>
  <c r="AB11" i="1"/>
  <c r="AC11" i="1"/>
  <c r="AD11" i="1"/>
  <c r="AE11" i="1"/>
  <c r="AF11" i="1"/>
  <c r="AG11" i="1"/>
  <c r="AH11" i="1"/>
  <c r="AI11" i="1"/>
  <c r="AA12" i="1"/>
  <c r="AB12" i="1"/>
  <c r="AC12" i="1"/>
  <c r="AD12" i="1"/>
  <c r="AE12" i="1"/>
  <c r="AF12" i="1"/>
  <c r="AG12" i="1"/>
  <c r="AH12" i="1"/>
  <c r="AI12" i="1"/>
  <c r="AA13" i="1"/>
  <c r="AB13" i="1"/>
  <c r="AC13" i="1"/>
  <c r="AD13" i="1"/>
  <c r="AE13" i="1"/>
  <c r="AF13" i="1"/>
  <c r="AG13" i="1"/>
  <c r="AH13" i="1"/>
  <c r="AI13" i="1"/>
  <c r="AA14" i="1"/>
  <c r="AB14" i="1"/>
  <c r="AC14" i="1"/>
  <c r="AD14" i="1"/>
  <c r="AE14" i="1"/>
  <c r="AF14" i="1"/>
  <c r="AG14" i="1"/>
  <c r="AH14" i="1"/>
  <c r="AI14" i="1"/>
  <c r="AA15" i="1"/>
  <c r="AB15" i="1"/>
  <c r="AC15" i="1"/>
  <c r="AD15" i="1"/>
  <c r="AE15" i="1"/>
  <c r="AF15" i="1"/>
  <c r="AG15" i="1"/>
  <c r="AH15" i="1"/>
  <c r="AI15" i="1"/>
  <c r="AA16" i="1"/>
  <c r="AB16" i="1"/>
  <c r="AC16" i="1"/>
  <c r="AD16" i="1"/>
  <c r="AE16" i="1"/>
  <c r="AF16" i="1"/>
  <c r="AG16" i="1"/>
  <c r="AH16" i="1"/>
  <c r="AI16" i="1"/>
  <c r="AA17" i="1"/>
  <c r="AB17" i="1"/>
  <c r="AC17" i="1"/>
  <c r="AD17" i="1"/>
  <c r="AE17" i="1"/>
  <c r="AF17" i="1"/>
  <c r="AG17" i="1"/>
  <c r="AH17" i="1"/>
  <c r="AI17" i="1"/>
  <c r="AA18" i="1"/>
  <c r="AB18" i="1"/>
  <c r="AC18" i="1"/>
  <c r="AD18" i="1"/>
  <c r="AE18" i="1"/>
  <c r="AF18" i="1"/>
  <c r="AG18" i="1"/>
  <c r="AH18" i="1"/>
  <c r="AI18" i="1"/>
  <c r="AA19" i="1"/>
  <c r="AB19" i="1"/>
  <c r="AC19" i="1"/>
  <c r="AD19" i="1"/>
  <c r="AE19" i="1"/>
  <c r="AF19" i="1"/>
  <c r="AG19" i="1"/>
  <c r="AH19" i="1"/>
  <c r="AI19" i="1"/>
  <c r="AA20" i="1"/>
  <c r="AB20" i="1"/>
  <c r="AC20" i="1"/>
  <c r="AD20" i="1"/>
  <c r="AE20" i="1"/>
  <c r="AF20" i="1"/>
  <c r="AG20" i="1"/>
  <c r="AH20" i="1"/>
  <c r="AI20" i="1"/>
  <c r="AA21" i="1"/>
  <c r="AB21" i="1"/>
  <c r="AC21" i="1"/>
  <c r="AD21" i="1"/>
  <c r="AE21" i="1"/>
  <c r="AF21" i="1"/>
  <c r="AG21" i="1"/>
  <c r="AH21" i="1"/>
  <c r="AI21" i="1"/>
  <c r="AA22" i="1"/>
  <c r="AB22" i="1"/>
  <c r="AC22" i="1"/>
  <c r="AD22" i="1"/>
  <c r="AE22" i="1"/>
  <c r="AF22" i="1"/>
  <c r="AG22" i="1"/>
  <c r="AH22" i="1"/>
  <c r="AI22" i="1"/>
  <c r="AA23" i="1"/>
  <c r="AB23" i="1"/>
  <c r="AC23" i="1"/>
  <c r="AD23" i="1"/>
  <c r="AE23" i="1"/>
  <c r="AF23" i="1"/>
  <c r="AG23" i="1"/>
  <c r="AH23" i="1"/>
  <c r="AI23" i="1"/>
  <c r="AA24" i="1"/>
  <c r="AB24" i="1"/>
  <c r="AC24" i="1"/>
  <c r="AD24" i="1"/>
  <c r="AE24" i="1"/>
  <c r="AF24" i="1"/>
  <c r="AG24" i="1"/>
  <c r="AH24" i="1"/>
  <c r="AI24" i="1"/>
  <c r="AA25" i="1"/>
  <c r="AB25" i="1"/>
  <c r="AC25" i="1"/>
  <c r="AD25" i="1"/>
  <c r="AE25" i="1"/>
  <c r="AF25" i="1"/>
  <c r="AG25" i="1"/>
  <c r="AH25" i="1"/>
  <c r="AI25" i="1"/>
  <c r="AA26" i="1"/>
  <c r="AB26" i="1"/>
  <c r="AC26" i="1"/>
  <c r="AD26" i="1"/>
  <c r="AE26" i="1"/>
  <c r="AF26" i="1"/>
  <c r="AG26" i="1"/>
  <c r="AH26" i="1"/>
  <c r="AI26" i="1"/>
  <c r="AA27" i="1"/>
  <c r="AB27" i="1"/>
  <c r="AC27" i="1"/>
  <c r="AD27" i="1"/>
  <c r="AE27" i="1"/>
  <c r="AF27" i="1"/>
  <c r="AG27" i="1"/>
  <c r="AH27" i="1"/>
  <c r="AI27" i="1"/>
  <c r="AA28" i="1"/>
  <c r="AB28" i="1"/>
  <c r="AC28" i="1"/>
  <c r="AD28" i="1"/>
  <c r="AE28" i="1"/>
  <c r="AF28" i="1"/>
  <c r="AG28" i="1"/>
  <c r="AH28" i="1"/>
  <c r="AI28" i="1"/>
  <c r="AA29" i="1"/>
  <c r="AB29" i="1"/>
  <c r="AC29" i="1"/>
  <c r="AD29" i="1"/>
  <c r="AE29" i="1"/>
  <c r="AF29" i="1"/>
  <c r="AG29" i="1"/>
  <c r="AH29" i="1"/>
  <c r="AI29" i="1"/>
  <c r="AA30" i="1"/>
  <c r="AB30" i="1"/>
  <c r="AC30" i="1"/>
  <c r="AD30" i="1"/>
  <c r="AE30" i="1"/>
  <c r="AF30" i="1"/>
  <c r="AG30" i="1"/>
  <c r="AH30" i="1"/>
  <c r="AI30" i="1"/>
  <c r="AA31" i="1"/>
  <c r="AB31" i="1"/>
  <c r="AC31" i="1"/>
  <c r="AD31" i="1"/>
  <c r="AE31" i="1"/>
  <c r="AF31" i="1"/>
  <c r="AG31" i="1"/>
  <c r="AH31" i="1"/>
  <c r="AI31" i="1"/>
  <c r="AA32" i="1"/>
  <c r="AB32" i="1"/>
  <c r="AC32" i="1"/>
  <c r="AD32" i="1"/>
  <c r="AE32" i="1"/>
  <c r="AF32" i="1"/>
  <c r="AG32" i="1"/>
  <c r="AH32" i="1"/>
  <c r="AI32" i="1"/>
  <c r="AA33" i="1"/>
  <c r="AB33" i="1"/>
  <c r="AC33" i="1"/>
  <c r="AD33" i="1"/>
  <c r="AE33" i="1"/>
  <c r="AF33" i="1"/>
  <c r="AG33" i="1"/>
  <c r="AH33" i="1"/>
  <c r="AI33" i="1"/>
  <c r="AA34" i="1"/>
  <c r="AB34" i="1"/>
  <c r="AC34" i="1"/>
  <c r="AD34" i="1"/>
  <c r="AE34" i="1"/>
  <c r="AF34" i="1"/>
  <c r="AG34" i="1"/>
  <c r="AH34" i="1"/>
  <c r="AI34" i="1"/>
  <c r="AA35" i="1"/>
  <c r="AB35" i="1"/>
  <c r="AC35" i="1"/>
  <c r="AD35" i="1"/>
  <c r="AE35" i="1"/>
  <c r="AF35" i="1"/>
  <c r="AG35" i="1"/>
  <c r="AH35" i="1"/>
  <c r="AI35" i="1"/>
  <c r="AA36" i="1"/>
  <c r="AB36" i="1"/>
  <c r="AC36" i="1"/>
  <c r="AD36" i="1"/>
  <c r="AE36" i="1"/>
  <c r="AF36" i="1"/>
  <c r="AG36" i="1"/>
  <c r="AH36" i="1"/>
  <c r="AI36" i="1"/>
  <c r="AA37" i="1"/>
  <c r="AB37" i="1"/>
  <c r="AC37" i="1"/>
  <c r="AD37" i="1"/>
  <c r="AE37" i="1"/>
  <c r="AF37" i="1"/>
  <c r="AG37" i="1"/>
  <c r="AH37" i="1"/>
  <c r="AI37" i="1"/>
  <c r="AA38" i="1"/>
  <c r="AB38" i="1"/>
  <c r="AC38" i="1"/>
  <c r="AD38" i="1"/>
  <c r="AE38" i="1"/>
  <c r="AF38" i="1"/>
  <c r="AG38" i="1"/>
  <c r="AH38" i="1"/>
  <c r="AI38" i="1"/>
  <c r="AA39" i="1"/>
  <c r="AB39" i="1"/>
  <c r="AC39" i="1"/>
  <c r="AD39" i="1"/>
  <c r="AE39" i="1"/>
  <c r="AF39" i="1"/>
  <c r="AG39" i="1"/>
  <c r="AH39" i="1"/>
  <c r="AI39" i="1"/>
  <c r="AA40" i="1"/>
  <c r="AB40" i="1"/>
  <c r="AC40" i="1"/>
  <c r="AD40" i="1"/>
  <c r="AE40" i="1"/>
  <c r="AF40" i="1"/>
  <c r="AG40" i="1"/>
  <c r="AH40" i="1"/>
  <c r="AI40" i="1"/>
  <c r="AA41" i="1"/>
  <c r="AB41" i="1"/>
  <c r="AC41" i="1"/>
  <c r="AD41" i="1"/>
  <c r="AE41" i="1"/>
  <c r="AF41" i="1"/>
  <c r="AG41" i="1"/>
  <c r="AH41" i="1"/>
  <c r="AI41" i="1"/>
  <c r="AA42" i="1"/>
  <c r="AB42" i="1"/>
  <c r="AC42" i="1"/>
  <c r="AD42" i="1"/>
  <c r="AE42" i="1"/>
  <c r="AF42" i="1"/>
  <c r="AG42" i="1"/>
  <c r="AH42" i="1"/>
  <c r="AI42" i="1"/>
  <c r="AA43" i="1"/>
  <c r="AB43" i="1"/>
  <c r="AC43" i="1"/>
  <c r="AD43" i="1"/>
  <c r="AE43" i="1"/>
  <c r="AF43" i="1"/>
  <c r="AG43" i="1"/>
  <c r="AH43" i="1"/>
  <c r="AI43" i="1"/>
  <c r="AA44" i="1"/>
  <c r="AB44" i="1"/>
  <c r="AC44" i="1"/>
  <c r="AD44" i="1"/>
  <c r="AE44" i="1"/>
  <c r="AF44" i="1"/>
  <c r="AG44" i="1"/>
  <c r="AH44" i="1"/>
  <c r="AI44" i="1"/>
  <c r="AA45" i="1"/>
  <c r="AB45" i="1"/>
  <c r="AC45" i="1"/>
  <c r="AD45" i="1"/>
  <c r="AE45" i="1"/>
  <c r="AF45" i="1"/>
  <c r="AG45" i="1"/>
  <c r="AH45" i="1"/>
  <c r="AI45" i="1"/>
  <c r="AA46" i="1"/>
  <c r="AB46" i="1"/>
  <c r="AC46" i="1"/>
  <c r="AD46" i="1"/>
  <c r="AE46" i="1"/>
  <c r="AF46" i="1"/>
  <c r="AG46" i="1"/>
  <c r="AH46" i="1"/>
  <c r="AI46" i="1"/>
  <c r="AA47" i="1"/>
  <c r="AB47" i="1"/>
  <c r="AC47" i="1"/>
  <c r="AD47" i="1"/>
  <c r="AE47" i="1"/>
  <c r="AF47" i="1"/>
  <c r="AG47" i="1"/>
  <c r="AH47" i="1"/>
  <c r="AI47" i="1"/>
  <c r="AA48" i="1"/>
  <c r="AB48" i="1"/>
  <c r="AC48" i="1"/>
  <c r="AD48" i="1"/>
  <c r="AE48" i="1"/>
  <c r="AF48" i="1"/>
  <c r="AG48" i="1"/>
  <c r="AH48" i="1"/>
  <c r="AI48" i="1"/>
  <c r="AA49" i="1"/>
  <c r="AB49" i="1"/>
  <c r="AC49" i="1"/>
  <c r="AD49" i="1"/>
  <c r="AE49" i="1"/>
  <c r="AF49" i="1"/>
  <c r="AG49" i="1"/>
  <c r="AH49" i="1"/>
  <c r="AI49" i="1"/>
  <c r="AA50" i="1"/>
  <c r="AB50" i="1"/>
  <c r="AC50" i="1"/>
  <c r="AD50" i="1"/>
  <c r="AE50" i="1"/>
  <c r="AF50" i="1"/>
  <c r="AG50" i="1"/>
  <c r="AH50" i="1"/>
  <c r="AI50" i="1"/>
  <c r="AA51" i="1"/>
  <c r="AB51" i="1"/>
  <c r="AC51" i="1"/>
  <c r="AD51" i="1"/>
  <c r="AE51" i="1"/>
  <c r="AF51" i="1"/>
  <c r="AG51" i="1"/>
  <c r="AH51" i="1"/>
  <c r="AI51" i="1"/>
  <c r="AA52" i="1"/>
  <c r="AB52" i="1"/>
  <c r="AC52" i="1"/>
  <c r="AD52" i="1"/>
  <c r="AE52" i="1"/>
  <c r="AF52" i="1"/>
  <c r="AG52" i="1"/>
  <c r="AH52" i="1"/>
  <c r="AI52" i="1"/>
  <c r="AA53" i="1"/>
  <c r="AB53" i="1"/>
  <c r="AC53" i="1"/>
  <c r="AD53" i="1"/>
  <c r="AE53" i="1"/>
  <c r="AF53" i="1"/>
  <c r="AG53" i="1"/>
  <c r="AH53" i="1"/>
  <c r="AI53" i="1"/>
  <c r="AA54" i="1"/>
  <c r="AB54" i="1"/>
  <c r="AC54" i="1"/>
  <c r="AD54" i="1"/>
  <c r="AE54" i="1"/>
  <c r="AF54" i="1"/>
  <c r="AG54" i="1"/>
  <c r="AH54" i="1"/>
  <c r="AI54" i="1"/>
  <c r="AA55" i="1"/>
  <c r="AB55" i="1"/>
  <c r="AC55" i="1"/>
  <c r="AD55" i="1"/>
  <c r="AE55" i="1"/>
  <c r="AF55" i="1"/>
  <c r="AG55" i="1"/>
  <c r="AH55" i="1"/>
  <c r="AI55" i="1"/>
  <c r="AA56" i="1"/>
  <c r="AB56" i="1"/>
  <c r="AC56" i="1"/>
  <c r="AD56" i="1"/>
  <c r="AE56" i="1"/>
  <c r="AF56" i="1"/>
  <c r="AG56" i="1"/>
  <c r="AH56" i="1"/>
  <c r="AI56" i="1"/>
  <c r="AA57" i="1"/>
  <c r="AB57" i="1"/>
  <c r="AC57" i="1"/>
  <c r="AD57" i="1"/>
  <c r="AE57" i="1"/>
  <c r="AF57" i="1"/>
  <c r="AG57" i="1"/>
  <c r="AH57" i="1"/>
  <c r="AI57" i="1"/>
  <c r="AA58" i="1"/>
  <c r="AB58" i="1"/>
  <c r="AC58" i="1"/>
  <c r="AD58" i="1"/>
  <c r="AE58" i="1"/>
  <c r="AF58" i="1"/>
  <c r="AG58" i="1"/>
  <c r="AH58" i="1"/>
  <c r="AI58" i="1"/>
  <c r="AA59" i="1"/>
  <c r="AB59" i="1"/>
  <c r="AC59" i="1"/>
  <c r="AD59" i="1"/>
  <c r="AE59" i="1"/>
  <c r="AF59" i="1"/>
  <c r="AG59" i="1"/>
  <c r="AH59" i="1"/>
  <c r="AI59" i="1"/>
  <c r="AA60" i="1"/>
  <c r="AB60" i="1"/>
  <c r="AC60" i="1"/>
  <c r="AD60" i="1"/>
  <c r="AE60" i="1"/>
  <c r="AF60" i="1"/>
  <c r="AG60" i="1"/>
  <c r="AH60" i="1"/>
  <c r="AI60" i="1"/>
  <c r="AA61" i="1"/>
  <c r="AB61" i="1"/>
  <c r="AC61" i="1"/>
  <c r="AD61" i="1"/>
  <c r="AE61" i="1"/>
  <c r="AF61" i="1"/>
  <c r="AG61" i="1"/>
  <c r="AH61" i="1"/>
  <c r="AI61" i="1"/>
  <c r="AA62" i="1"/>
  <c r="AB62" i="1"/>
  <c r="AC62" i="1"/>
  <c r="AD62" i="1"/>
  <c r="AE62" i="1"/>
  <c r="AF62" i="1"/>
  <c r="AG62" i="1"/>
  <c r="AH62" i="1"/>
  <c r="AI62" i="1"/>
  <c r="AA63" i="1"/>
  <c r="AB63" i="1"/>
  <c r="AC63" i="1"/>
  <c r="AD63" i="1"/>
  <c r="AE63" i="1"/>
  <c r="AF63" i="1"/>
  <c r="AG63" i="1"/>
  <c r="AH63" i="1"/>
  <c r="AI63" i="1"/>
  <c r="AA64" i="1"/>
  <c r="AB64" i="1"/>
  <c r="AC64" i="1"/>
  <c r="AD64" i="1"/>
  <c r="AE64" i="1"/>
  <c r="AF64" i="1"/>
  <c r="AG64" i="1"/>
  <c r="AH64" i="1"/>
  <c r="AI64" i="1"/>
  <c r="AA65" i="1"/>
  <c r="AB65" i="1"/>
  <c r="AC65" i="1"/>
  <c r="AD65" i="1"/>
  <c r="AE65" i="1"/>
  <c r="AF65" i="1"/>
  <c r="AG65" i="1"/>
  <c r="AH65" i="1"/>
  <c r="AI65" i="1"/>
  <c r="AA66" i="1"/>
  <c r="AB66" i="1"/>
  <c r="AC66" i="1"/>
  <c r="AD66" i="1"/>
  <c r="AE66" i="1"/>
  <c r="AF66" i="1"/>
  <c r="AG66" i="1"/>
  <c r="AH66" i="1"/>
  <c r="AI66" i="1"/>
  <c r="AA67" i="1"/>
  <c r="AB67" i="1"/>
  <c r="AC67" i="1"/>
  <c r="AD67" i="1"/>
  <c r="AE67" i="1"/>
  <c r="AF67" i="1"/>
  <c r="AG67" i="1"/>
  <c r="AH67" i="1"/>
  <c r="AI67" i="1"/>
  <c r="AA68" i="1"/>
  <c r="AB68" i="1"/>
  <c r="AC68" i="1"/>
  <c r="AD68" i="1"/>
  <c r="AE68" i="1"/>
  <c r="AF68" i="1"/>
  <c r="AG68" i="1"/>
  <c r="AH68" i="1"/>
  <c r="AI68" i="1"/>
  <c r="AA69" i="1"/>
  <c r="AB69" i="1"/>
  <c r="AC69" i="1"/>
  <c r="AD69" i="1"/>
  <c r="AE69" i="1"/>
  <c r="AF69" i="1"/>
  <c r="AG69" i="1"/>
  <c r="AH69" i="1"/>
  <c r="AI69" i="1"/>
  <c r="AA70" i="1"/>
  <c r="AB70" i="1"/>
  <c r="AC70" i="1"/>
  <c r="AD70" i="1"/>
  <c r="AE70" i="1"/>
  <c r="AF70" i="1"/>
  <c r="AG70" i="1"/>
  <c r="AH70" i="1"/>
  <c r="AI70" i="1"/>
  <c r="AA71" i="1"/>
  <c r="AB71" i="1"/>
  <c r="AC71" i="1"/>
  <c r="AD71" i="1"/>
  <c r="AE71" i="1"/>
  <c r="AF71" i="1"/>
  <c r="AG71" i="1"/>
  <c r="AH71" i="1"/>
  <c r="AI71" i="1"/>
  <c r="AA72" i="1"/>
  <c r="AB72" i="1"/>
  <c r="AC72" i="1"/>
  <c r="AD72" i="1"/>
  <c r="AE72" i="1"/>
  <c r="AF72" i="1"/>
  <c r="AG72" i="1"/>
  <c r="AH72" i="1"/>
  <c r="AI72" i="1"/>
  <c r="AA73" i="1"/>
  <c r="AB73" i="1"/>
  <c r="AC73" i="1"/>
  <c r="AD73" i="1"/>
  <c r="AE73" i="1"/>
  <c r="AF73" i="1"/>
  <c r="AG73" i="1"/>
  <c r="AH73" i="1"/>
  <c r="AI73" i="1"/>
  <c r="AA74" i="1"/>
  <c r="AB74" i="1"/>
  <c r="AC74" i="1"/>
  <c r="AD74" i="1"/>
  <c r="AE74" i="1"/>
  <c r="AF74" i="1"/>
  <c r="AG74" i="1"/>
  <c r="AH74" i="1"/>
  <c r="AI74" i="1"/>
  <c r="AA75" i="1"/>
  <c r="AB75" i="1"/>
  <c r="AC75" i="1"/>
  <c r="AD75" i="1"/>
  <c r="AE75" i="1"/>
  <c r="AF75" i="1"/>
  <c r="AG75" i="1"/>
  <c r="AH75" i="1"/>
  <c r="AI75" i="1"/>
  <c r="AA76" i="1"/>
  <c r="AB76" i="1"/>
  <c r="AC76" i="1"/>
  <c r="AD76" i="1"/>
  <c r="AE76" i="1"/>
  <c r="AF76" i="1"/>
  <c r="AG76" i="1"/>
  <c r="AH76" i="1"/>
  <c r="AI76" i="1"/>
  <c r="AA77" i="1"/>
  <c r="AB77" i="1"/>
  <c r="AC77" i="1"/>
  <c r="AD77" i="1"/>
  <c r="AE77" i="1"/>
  <c r="AF77" i="1"/>
  <c r="AG77" i="1"/>
  <c r="AH77" i="1"/>
  <c r="AI77" i="1"/>
  <c r="AA78" i="1"/>
  <c r="AB78" i="1"/>
  <c r="AC78" i="1"/>
  <c r="AD78" i="1"/>
  <c r="AE78" i="1"/>
  <c r="AF78" i="1"/>
  <c r="AG78" i="1"/>
  <c r="AH78" i="1"/>
  <c r="AI78" i="1"/>
  <c r="AA79" i="1"/>
  <c r="AB79" i="1"/>
  <c r="AC79" i="1"/>
  <c r="AD79" i="1"/>
  <c r="AE79" i="1"/>
  <c r="AF79" i="1"/>
  <c r="AG79" i="1"/>
  <c r="AH79" i="1"/>
  <c r="AI79" i="1"/>
  <c r="AA80" i="1"/>
  <c r="AB80" i="1"/>
  <c r="AC80" i="1"/>
  <c r="AD80" i="1"/>
  <c r="AE80" i="1"/>
  <c r="AF80" i="1"/>
  <c r="AG80" i="1"/>
  <c r="AH80" i="1"/>
  <c r="AI80" i="1"/>
  <c r="AA81" i="1"/>
  <c r="AB81" i="1"/>
  <c r="AC81" i="1"/>
  <c r="AD81" i="1"/>
  <c r="AE81" i="1"/>
  <c r="AF81" i="1"/>
  <c r="AG81" i="1"/>
  <c r="AH81" i="1"/>
  <c r="AI81" i="1"/>
  <c r="AA82" i="1"/>
  <c r="AB82" i="1"/>
  <c r="AC82" i="1"/>
  <c r="AD82" i="1"/>
  <c r="AE82" i="1"/>
  <c r="AF82" i="1"/>
  <c r="AG82" i="1"/>
  <c r="AH82" i="1"/>
  <c r="AI82" i="1"/>
  <c r="AA83" i="1"/>
  <c r="AB83" i="1"/>
  <c r="AC83" i="1"/>
  <c r="AD83" i="1"/>
  <c r="AE83" i="1"/>
  <c r="AF83" i="1"/>
  <c r="AG83" i="1"/>
  <c r="AH83" i="1"/>
  <c r="AI83" i="1"/>
  <c r="AA84" i="1"/>
  <c r="AB84" i="1"/>
  <c r="AC84" i="1"/>
  <c r="AD84" i="1"/>
  <c r="AE84" i="1"/>
  <c r="AF84" i="1"/>
  <c r="AG84" i="1"/>
  <c r="AH84" i="1"/>
  <c r="AI84" i="1"/>
  <c r="AA85" i="1"/>
  <c r="AB85" i="1"/>
  <c r="AC85" i="1"/>
  <c r="AD85" i="1"/>
  <c r="AE85" i="1"/>
  <c r="AF85" i="1"/>
  <c r="AG85" i="1"/>
  <c r="AH85" i="1"/>
  <c r="AI85" i="1"/>
  <c r="AA86" i="1"/>
  <c r="AB86" i="1"/>
  <c r="AC86" i="1"/>
  <c r="AD86" i="1"/>
  <c r="AE86" i="1"/>
  <c r="AF86" i="1"/>
  <c r="AG86" i="1"/>
  <c r="AH86" i="1"/>
  <c r="AI86" i="1"/>
  <c r="AA87" i="1"/>
  <c r="AB87" i="1"/>
  <c r="AC87" i="1"/>
  <c r="AD87" i="1"/>
  <c r="AE87" i="1"/>
  <c r="AF87" i="1"/>
  <c r="AG87" i="1"/>
  <c r="AH87" i="1"/>
  <c r="AI87" i="1"/>
  <c r="AA88" i="1"/>
  <c r="AB88" i="1"/>
  <c r="AC88" i="1"/>
  <c r="AD88" i="1"/>
  <c r="AE88" i="1"/>
  <c r="AF88" i="1"/>
  <c r="AG88" i="1"/>
  <c r="AH88" i="1"/>
  <c r="AI88" i="1"/>
  <c r="AA89" i="1"/>
  <c r="AB89" i="1"/>
  <c r="AC89" i="1"/>
  <c r="AD89" i="1"/>
  <c r="AE89" i="1"/>
  <c r="AF89" i="1"/>
  <c r="AG89" i="1"/>
  <c r="AH89" i="1"/>
  <c r="AI89" i="1"/>
  <c r="AA90" i="1"/>
  <c r="AB90" i="1"/>
  <c r="AC90" i="1"/>
  <c r="AD90" i="1"/>
  <c r="AE90" i="1"/>
  <c r="AF90" i="1"/>
  <c r="AG90" i="1"/>
  <c r="AH90" i="1"/>
  <c r="AI90" i="1"/>
  <c r="AA91" i="1"/>
  <c r="AB91" i="1"/>
  <c r="AC91" i="1"/>
  <c r="AD91" i="1"/>
  <c r="AE91" i="1"/>
  <c r="AF91" i="1"/>
  <c r="AG91" i="1"/>
  <c r="AH91" i="1"/>
  <c r="AI91" i="1"/>
  <c r="AA92" i="1"/>
  <c r="AB92" i="1"/>
  <c r="AC92" i="1"/>
  <c r="AD92" i="1"/>
  <c r="AE92" i="1"/>
  <c r="AF92" i="1"/>
  <c r="AG92" i="1"/>
  <c r="AH92" i="1"/>
  <c r="AI92" i="1"/>
  <c r="AA93" i="1"/>
  <c r="AB93" i="1"/>
  <c r="AC93" i="1"/>
  <c r="AD93" i="1"/>
  <c r="AE93" i="1"/>
  <c r="AF93" i="1"/>
  <c r="AG93" i="1"/>
  <c r="AH93" i="1"/>
  <c r="AI93" i="1"/>
  <c r="AA94" i="1"/>
  <c r="AB94" i="1"/>
  <c r="AC94" i="1"/>
  <c r="AD94" i="1"/>
  <c r="AE94" i="1"/>
  <c r="AF94" i="1"/>
  <c r="AG94" i="1"/>
  <c r="AH94" i="1"/>
  <c r="AI94" i="1"/>
  <c r="AA95" i="1"/>
  <c r="AB95" i="1"/>
  <c r="AC95" i="1"/>
  <c r="AD95" i="1"/>
  <c r="AE95" i="1"/>
  <c r="AF95" i="1"/>
  <c r="AG95" i="1"/>
  <c r="AH95" i="1"/>
  <c r="AI95" i="1"/>
  <c r="AA96" i="1"/>
  <c r="AB96" i="1"/>
  <c r="AC96" i="1"/>
  <c r="AD96" i="1"/>
  <c r="AE96" i="1"/>
  <c r="AF96" i="1"/>
  <c r="AG96" i="1"/>
  <c r="AH96" i="1"/>
  <c r="AI96" i="1"/>
  <c r="AA97" i="1"/>
  <c r="AB97" i="1"/>
  <c r="AC97" i="1"/>
  <c r="AD97" i="1"/>
  <c r="AE97" i="1"/>
  <c r="AF97" i="1"/>
  <c r="AG97" i="1"/>
  <c r="AH97" i="1"/>
  <c r="AI97" i="1"/>
  <c r="AA98" i="1"/>
  <c r="AB98" i="1"/>
  <c r="AC98" i="1"/>
  <c r="AD98" i="1"/>
  <c r="AE98" i="1"/>
  <c r="AF98" i="1"/>
  <c r="AG98" i="1"/>
  <c r="AH98" i="1"/>
  <c r="AI98" i="1"/>
  <c r="AA99" i="1"/>
  <c r="AB99" i="1"/>
  <c r="AC99" i="1"/>
  <c r="AD99" i="1"/>
  <c r="AE99" i="1"/>
  <c r="AF99" i="1"/>
  <c r="AG99" i="1"/>
  <c r="AH99" i="1"/>
  <c r="AI99" i="1"/>
  <c r="AA100" i="1"/>
  <c r="AB100" i="1"/>
  <c r="AC100" i="1"/>
  <c r="AD100" i="1"/>
  <c r="AE100" i="1"/>
  <c r="AF100" i="1"/>
  <c r="AG100" i="1"/>
  <c r="AH100" i="1"/>
  <c r="AI100" i="1"/>
  <c r="AA101" i="1"/>
  <c r="AB101" i="1"/>
  <c r="AC101" i="1"/>
  <c r="AD101" i="1"/>
  <c r="AE101" i="1"/>
  <c r="AF101" i="1"/>
  <c r="AG101" i="1"/>
  <c r="AH101" i="1"/>
  <c r="AI101" i="1"/>
  <c r="AA102" i="1"/>
  <c r="AB102" i="1"/>
  <c r="AC102" i="1"/>
  <c r="AD102" i="1"/>
  <c r="AE102" i="1"/>
  <c r="AF102" i="1"/>
  <c r="AG102" i="1"/>
  <c r="AH102" i="1"/>
  <c r="AI102" i="1"/>
  <c r="AA103" i="1"/>
  <c r="AB103" i="1"/>
  <c r="AC103" i="1"/>
  <c r="AD103" i="1"/>
  <c r="AE103" i="1"/>
  <c r="AF103" i="1"/>
  <c r="AG103" i="1"/>
  <c r="AH103" i="1"/>
  <c r="AI103" i="1"/>
  <c r="AA104" i="1"/>
  <c r="AB104" i="1"/>
  <c r="AC104" i="1"/>
  <c r="AD104" i="1"/>
  <c r="AE104" i="1"/>
  <c r="AF104" i="1"/>
  <c r="AG104" i="1"/>
  <c r="AH104" i="1"/>
  <c r="AI104" i="1"/>
  <c r="AA105" i="1"/>
  <c r="AB105" i="1"/>
  <c r="AC105" i="1"/>
  <c r="AD105" i="1"/>
  <c r="AE105" i="1"/>
  <c r="AF105" i="1"/>
  <c r="AG105" i="1"/>
  <c r="AH105" i="1"/>
  <c r="AI105" i="1"/>
  <c r="AA106" i="1"/>
  <c r="AB106" i="1"/>
  <c r="AC106" i="1"/>
  <c r="AD106" i="1"/>
  <c r="AE106" i="1"/>
  <c r="AF106" i="1"/>
  <c r="AG106" i="1"/>
  <c r="AH106" i="1"/>
  <c r="AI106" i="1"/>
  <c r="AA107" i="1"/>
  <c r="AB107" i="1"/>
  <c r="AC107" i="1"/>
  <c r="AD107" i="1"/>
  <c r="AE107" i="1"/>
  <c r="AF107" i="1"/>
  <c r="AG107" i="1"/>
  <c r="AH107" i="1"/>
  <c r="AI107" i="1"/>
  <c r="AA108" i="1"/>
  <c r="AB108" i="1"/>
  <c r="AC108" i="1"/>
  <c r="AD108" i="1"/>
  <c r="AE108" i="1"/>
  <c r="AF108" i="1"/>
  <c r="AG108" i="1"/>
  <c r="AH108" i="1"/>
  <c r="AI108" i="1"/>
  <c r="AA109" i="1"/>
  <c r="AB109" i="1"/>
  <c r="AC109" i="1"/>
  <c r="AD109" i="1"/>
  <c r="AE109" i="1"/>
  <c r="AF109" i="1"/>
  <c r="AG109" i="1"/>
  <c r="AH109" i="1"/>
  <c r="AI109" i="1"/>
  <c r="AA110" i="1"/>
  <c r="AB110" i="1"/>
  <c r="AC110" i="1"/>
  <c r="AD110" i="1"/>
  <c r="AE110" i="1"/>
  <c r="AF110" i="1"/>
  <c r="AG110" i="1"/>
  <c r="AH110" i="1"/>
  <c r="AI110" i="1"/>
  <c r="AA111" i="1"/>
  <c r="AB111" i="1"/>
  <c r="AC111" i="1"/>
  <c r="AD111" i="1"/>
  <c r="AE111" i="1"/>
  <c r="AF111" i="1"/>
  <c r="AG111" i="1"/>
  <c r="AH111" i="1"/>
  <c r="AI111" i="1"/>
  <c r="AA112" i="1"/>
  <c r="AB112" i="1"/>
  <c r="AC112" i="1"/>
  <c r="AD112" i="1"/>
  <c r="AE112" i="1"/>
  <c r="AF112" i="1"/>
  <c r="AG112" i="1"/>
  <c r="AH112" i="1"/>
  <c r="AI112" i="1"/>
  <c r="AA113" i="1"/>
  <c r="AB113" i="1"/>
  <c r="AC113" i="1"/>
  <c r="AD113" i="1"/>
  <c r="AE113" i="1"/>
  <c r="AF113" i="1"/>
  <c r="AG113" i="1"/>
  <c r="AH113" i="1"/>
  <c r="AI113" i="1"/>
  <c r="AA114" i="1"/>
  <c r="AB114" i="1"/>
  <c r="AC114" i="1"/>
  <c r="AD114" i="1"/>
  <c r="AE114" i="1"/>
  <c r="AF114" i="1"/>
  <c r="AG114" i="1"/>
  <c r="AH114" i="1"/>
  <c r="AI114" i="1"/>
  <c r="AA115" i="1"/>
  <c r="AB115" i="1"/>
  <c r="AC115" i="1"/>
  <c r="AD115" i="1"/>
  <c r="AE115" i="1"/>
  <c r="AF115" i="1"/>
  <c r="AG115" i="1"/>
  <c r="AH115" i="1"/>
  <c r="AI115" i="1"/>
  <c r="AA116" i="1"/>
  <c r="AB116" i="1"/>
  <c r="AC116" i="1"/>
  <c r="AD116" i="1"/>
  <c r="AE116" i="1"/>
  <c r="AF116" i="1"/>
  <c r="AG116" i="1"/>
  <c r="AH116" i="1"/>
  <c r="AI116" i="1"/>
  <c r="AA117" i="1"/>
  <c r="AB117" i="1"/>
  <c r="AC117" i="1"/>
  <c r="AD117" i="1"/>
  <c r="AE117" i="1"/>
  <c r="AF117" i="1"/>
  <c r="AG117" i="1"/>
  <c r="AH117" i="1"/>
  <c r="AI117" i="1"/>
  <c r="AA118" i="1"/>
  <c r="AB118" i="1"/>
  <c r="AC118" i="1"/>
  <c r="AD118" i="1"/>
  <c r="AE118" i="1"/>
  <c r="AF118" i="1"/>
  <c r="AG118" i="1"/>
  <c r="AH118" i="1"/>
  <c r="AI118" i="1"/>
  <c r="AA119" i="1"/>
  <c r="AB119" i="1"/>
  <c r="AC119" i="1"/>
  <c r="AD119" i="1"/>
  <c r="AE119" i="1"/>
  <c r="AF119" i="1"/>
  <c r="AG119" i="1"/>
  <c r="AH119" i="1"/>
  <c r="AI119" i="1"/>
  <c r="AA120" i="1"/>
  <c r="AB120" i="1"/>
  <c r="AC120" i="1"/>
  <c r="AD120" i="1"/>
  <c r="AE120" i="1"/>
  <c r="AF120" i="1"/>
  <c r="AG120" i="1"/>
  <c r="AH120" i="1"/>
  <c r="AI120" i="1"/>
  <c r="AA121" i="1"/>
  <c r="AB121" i="1"/>
  <c r="AC121" i="1"/>
  <c r="AD121" i="1"/>
  <c r="AE121" i="1"/>
  <c r="AF121" i="1"/>
  <c r="AG121" i="1"/>
  <c r="AH121" i="1"/>
  <c r="AI121" i="1"/>
  <c r="AA122" i="1"/>
  <c r="AB122" i="1"/>
  <c r="AC122" i="1"/>
  <c r="AD122" i="1"/>
  <c r="AE122" i="1"/>
  <c r="AF122" i="1"/>
  <c r="AG122" i="1"/>
  <c r="AH122" i="1"/>
  <c r="AI122" i="1"/>
  <c r="AA123" i="1"/>
  <c r="AB123" i="1"/>
  <c r="AC123" i="1"/>
  <c r="AD123" i="1"/>
  <c r="AE123" i="1"/>
  <c r="AF123" i="1"/>
  <c r="AG123" i="1"/>
  <c r="AH123" i="1"/>
  <c r="AI123" i="1"/>
  <c r="AA124" i="1"/>
  <c r="AB124" i="1"/>
  <c r="AC124" i="1"/>
  <c r="AD124" i="1"/>
  <c r="AE124" i="1"/>
  <c r="AF124" i="1"/>
  <c r="AG124" i="1"/>
  <c r="AH124" i="1"/>
  <c r="AI124" i="1"/>
  <c r="AA125" i="1"/>
  <c r="AB125" i="1"/>
  <c r="AC125" i="1"/>
  <c r="AD125" i="1"/>
  <c r="AE125" i="1"/>
  <c r="AF125" i="1"/>
  <c r="AG125" i="1"/>
  <c r="AH125" i="1"/>
  <c r="AI125" i="1"/>
  <c r="AA126" i="1"/>
  <c r="AB126" i="1"/>
  <c r="AC126" i="1"/>
  <c r="AD126" i="1"/>
  <c r="AE126" i="1"/>
  <c r="AF126" i="1"/>
  <c r="AG126" i="1"/>
  <c r="AH126" i="1"/>
  <c r="AI126" i="1"/>
  <c r="AA127" i="1"/>
  <c r="AB127" i="1"/>
  <c r="AC127" i="1"/>
  <c r="AD127" i="1"/>
  <c r="AE127" i="1"/>
  <c r="AF127" i="1"/>
  <c r="AG127" i="1"/>
  <c r="AH127" i="1"/>
  <c r="AI127" i="1"/>
  <c r="AA128" i="1"/>
  <c r="AB128" i="1"/>
  <c r="AC128" i="1"/>
  <c r="AD128" i="1"/>
  <c r="AE128" i="1"/>
  <c r="AF128" i="1"/>
  <c r="AG128" i="1"/>
  <c r="AH128" i="1"/>
  <c r="AI128" i="1"/>
  <c r="AA129" i="1"/>
  <c r="AB129" i="1"/>
  <c r="AC129" i="1"/>
  <c r="AD129" i="1"/>
  <c r="AE129" i="1"/>
  <c r="AF129" i="1"/>
  <c r="AG129" i="1"/>
  <c r="AH129" i="1"/>
  <c r="AI129" i="1"/>
  <c r="AA130" i="1"/>
  <c r="AB130" i="1"/>
  <c r="AC130" i="1"/>
  <c r="AD130" i="1"/>
  <c r="AE130" i="1"/>
  <c r="AF130" i="1"/>
  <c r="AG130" i="1"/>
  <c r="AH130" i="1"/>
  <c r="AI130" i="1"/>
  <c r="AA131" i="1"/>
  <c r="AB131" i="1"/>
  <c r="AC131" i="1"/>
  <c r="AD131" i="1"/>
  <c r="AE131" i="1"/>
  <c r="AF131" i="1"/>
  <c r="AG131" i="1"/>
  <c r="AH131" i="1"/>
  <c r="AI131" i="1"/>
  <c r="AA132" i="1"/>
  <c r="AB132" i="1"/>
  <c r="AC132" i="1"/>
  <c r="AD132" i="1"/>
  <c r="AE132" i="1"/>
  <c r="AF132" i="1"/>
  <c r="AG132" i="1"/>
  <c r="AH132" i="1"/>
  <c r="AI132" i="1"/>
  <c r="AA133" i="1"/>
  <c r="AB133" i="1"/>
  <c r="AC133" i="1"/>
  <c r="AD133" i="1"/>
  <c r="AE133" i="1"/>
  <c r="AF133" i="1"/>
  <c r="AG133" i="1"/>
  <c r="AH133" i="1"/>
  <c r="AI133" i="1"/>
  <c r="AA134" i="1"/>
  <c r="AB134" i="1"/>
  <c r="AC134" i="1"/>
  <c r="AD134" i="1"/>
  <c r="AE134" i="1"/>
  <c r="AF134" i="1"/>
  <c r="AG134" i="1"/>
  <c r="AH134" i="1"/>
  <c r="AI134" i="1"/>
  <c r="AA135" i="1"/>
  <c r="AB135" i="1"/>
  <c r="AC135" i="1"/>
  <c r="AD135" i="1"/>
  <c r="AE135" i="1"/>
  <c r="AF135" i="1"/>
  <c r="AG135" i="1"/>
  <c r="AH135" i="1"/>
  <c r="AI135" i="1"/>
  <c r="AA136" i="1"/>
  <c r="AB136" i="1"/>
  <c r="AC136" i="1"/>
  <c r="AD136" i="1"/>
  <c r="AE136" i="1"/>
  <c r="AF136" i="1"/>
  <c r="AG136" i="1"/>
  <c r="AH136" i="1"/>
  <c r="AI136" i="1"/>
  <c r="AA137" i="1"/>
  <c r="AB137" i="1"/>
  <c r="AC137" i="1"/>
  <c r="AD137" i="1"/>
  <c r="AE137" i="1"/>
  <c r="AF137" i="1"/>
  <c r="AG137" i="1"/>
  <c r="AH137" i="1"/>
  <c r="AI137" i="1"/>
  <c r="AA138" i="1"/>
  <c r="AB138" i="1"/>
  <c r="AC138" i="1"/>
  <c r="AD138" i="1"/>
  <c r="AE138" i="1"/>
  <c r="AF138" i="1"/>
  <c r="AG138" i="1"/>
  <c r="AH138" i="1"/>
  <c r="AI138" i="1"/>
  <c r="AA139" i="1"/>
  <c r="AB139" i="1"/>
  <c r="AC139" i="1"/>
  <c r="AD139" i="1"/>
  <c r="AE139" i="1"/>
  <c r="AF139" i="1"/>
  <c r="AG139" i="1"/>
  <c r="AH139" i="1"/>
  <c r="AI139" i="1"/>
  <c r="AA140" i="1"/>
  <c r="AB140" i="1"/>
  <c r="AC140" i="1"/>
  <c r="AD140" i="1"/>
  <c r="AE140" i="1"/>
  <c r="AF140" i="1"/>
  <c r="AG140" i="1"/>
  <c r="AH140" i="1"/>
  <c r="AI140" i="1"/>
  <c r="AA141" i="1"/>
  <c r="AB141" i="1"/>
  <c r="AC141" i="1"/>
  <c r="AD141" i="1"/>
  <c r="AE141" i="1"/>
  <c r="AF141" i="1"/>
  <c r="AG141" i="1"/>
  <c r="AH141" i="1"/>
  <c r="AI141" i="1"/>
  <c r="AA142" i="1"/>
  <c r="AB142" i="1"/>
  <c r="AC142" i="1"/>
  <c r="AD142" i="1"/>
  <c r="AE142" i="1"/>
  <c r="AF142" i="1"/>
  <c r="AG142" i="1"/>
  <c r="AH142" i="1"/>
  <c r="AI142" i="1"/>
  <c r="AA143" i="1"/>
  <c r="AB143" i="1"/>
  <c r="AC143" i="1"/>
  <c r="AD143" i="1"/>
  <c r="AE143" i="1"/>
  <c r="AF143" i="1"/>
  <c r="AG143" i="1"/>
  <c r="AH143" i="1"/>
  <c r="AI143" i="1"/>
  <c r="AA144" i="1"/>
  <c r="AB144" i="1"/>
  <c r="AC144" i="1"/>
  <c r="AD144" i="1"/>
  <c r="AE144" i="1"/>
  <c r="AF144" i="1"/>
  <c r="AG144" i="1"/>
  <c r="AH144" i="1"/>
  <c r="AI144" i="1"/>
  <c r="AA145" i="1"/>
  <c r="AB145" i="1"/>
  <c r="AC145" i="1"/>
  <c r="AD145" i="1"/>
  <c r="AE145" i="1"/>
  <c r="AF145" i="1"/>
  <c r="AG145" i="1"/>
  <c r="AH145" i="1"/>
  <c r="AI145" i="1"/>
  <c r="AA146" i="1"/>
  <c r="AB146" i="1"/>
  <c r="AC146" i="1"/>
  <c r="AD146" i="1"/>
  <c r="AE146" i="1"/>
  <c r="AF146" i="1"/>
  <c r="AG146" i="1"/>
  <c r="AH146" i="1"/>
  <c r="AI146" i="1"/>
  <c r="AA147" i="1"/>
  <c r="AB147" i="1"/>
  <c r="AC147" i="1"/>
  <c r="AD147" i="1"/>
  <c r="AE147" i="1"/>
  <c r="AF147" i="1"/>
  <c r="AG147" i="1"/>
  <c r="AH147" i="1"/>
  <c r="AI147" i="1"/>
  <c r="AA148" i="1"/>
  <c r="AB148" i="1"/>
  <c r="AC148" i="1"/>
  <c r="AD148" i="1"/>
  <c r="AE148" i="1"/>
  <c r="AF148" i="1"/>
  <c r="AG148" i="1"/>
  <c r="AH148" i="1"/>
  <c r="AI148" i="1"/>
  <c r="AA149" i="1"/>
  <c r="AB149" i="1"/>
  <c r="AC149" i="1"/>
  <c r="AD149" i="1"/>
  <c r="AE149" i="1"/>
  <c r="AF149" i="1"/>
  <c r="AG149" i="1"/>
  <c r="AH149" i="1"/>
  <c r="AI149" i="1"/>
  <c r="AA150" i="1"/>
  <c r="AB150" i="1"/>
  <c r="AC150" i="1"/>
  <c r="AD150" i="1"/>
  <c r="AE150" i="1"/>
  <c r="AF150" i="1"/>
  <c r="AG150" i="1"/>
  <c r="AH150" i="1"/>
  <c r="AI150" i="1"/>
  <c r="AA151" i="1"/>
  <c r="AB151" i="1"/>
  <c r="AC151" i="1"/>
  <c r="AD151" i="1"/>
  <c r="AE151" i="1"/>
  <c r="AF151" i="1"/>
  <c r="AG151" i="1"/>
  <c r="AH151" i="1"/>
  <c r="AI151" i="1"/>
  <c r="AA152" i="1"/>
  <c r="AB152" i="1"/>
  <c r="AC152" i="1"/>
  <c r="AD152" i="1"/>
  <c r="AE152" i="1"/>
  <c r="AF152" i="1"/>
  <c r="AG152" i="1"/>
  <c r="AH152" i="1"/>
  <c r="AI152" i="1"/>
  <c r="AA153" i="1"/>
  <c r="AB153" i="1"/>
  <c r="AC153" i="1"/>
  <c r="AD153" i="1"/>
  <c r="AE153" i="1"/>
  <c r="AF153" i="1"/>
  <c r="AG153" i="1"/>
  <c r="AH153" i="1"/>
  <c r="AI153" i="1"/>
  <c r="AA154" i="1"/>
  <c r="AB154" i="1"/>
  <c r="AC154" i="1"/>
  <c r="AD154" i="1"/>
  <c r="AE154" i="1"/>
  <c r="AF154" i="1"/>
  <c r="AG154" i="1"/>
  <c r="AH154" i="1"/>
  <c r="AI154" i="1"/>
  <c r="AA155" i="1"/>
  <c r="AB155" i="1"/>
  <c r="AC155" i="1"/>
  <c r="AD155" i="1"/>
  <c r="AE155" i="1"/>
  <c r="AF155" i="1"/>
  <c r="AG155" i="1"/>
  <c r="AH155" i="1"/>
  <c r="AI155" i="1"/>
  <c r="AA156" i="1"/>
  <c r="AB156" i="1"/>
  <c r="AC156" i="1"/>
  <c r="AD156" i="1"/>
  <c r="AE156" i="1"/>
  <c r="AF156" i="1"/>
  <c r="AG156" i="1"/>
  <c r="AH156" i="1"/>
  <c r="AI156" i="1"/>
  <c r="AA157" i="1"/>
  <c r="AB157" i="1"/>
  <c r="AC157" i="1"/>
  <c r="AD157" i="1"/>
  <c r="AE157" i="1"/>
  <c r="AF157" i="1"/>
  <c r="AG157" i="1"/>
  <c r="AH157" i="1"/>
  <c r="AI157" i="1"/>
  <c r="AA158" i="1"/>
  <c r="AB158" i="1"/>
  <c r="AC158" i="1"/>
  <c r="AD158" i="1"/>
  <c r="AE158" i="1"/>
  <c r="AF158" i="1"/>
  <c r="AG158" i="1"/>
  <c r="AH158" i="1"/>
  <c r="AI158" i="1"/>
  <c r="AA159" i="1"/>
  <c r="AB159" i="1"/>
  <c r="AC159" i="1"/>
  <c r="AD159" i="1"/>
  <c r="AE159" i="1"/>
  <c r="AF159" i="1"/>
  <c r="AG159" i="1"/>
  <c r="AH159" i="1"/>
  <c r="AI159" i="1"/>
  <c r="AA160" i="1"/>
  <c r="AB160" i="1"/>
  <c r="AC160" i="1"/>
  <c r="AD160" i="1"/>
  <c r="AE160" i="1"/>
  <c r="AF160" i="1"/>
  <c r="AG160" i="1"/>
  <c r="AH160" i="1"/>
  <c r="AI160" i="1"/>
  <c r="AA161" i="1"/>
  <c r="AB161" i="1"/>
  <c r="AC161" i="1"/>
  <c r="AD161" i="1"/>
  <c r="AE161" i="1"/>
  <c r="AF161" i="1"/>
  <c r="AG161" i="1"/>
  <c r="AH161" i="1"/>
  <c r="AI161" i="1"/>
  <c r="AA162" i="1"/>
  <c r="AB162" i="1"/>
  <c r="AC162" i="1"/>
  <c r="AD162" i="1"/>
  <c r="AE162" i="1"/>
  <c r="AF162" i="1"/>
  <c r="AG162" i="1"/>
  <c r="AH162" i="1"/>
  <c r="AI162" i="1"/>
  <c r="AA163" i="1"/>
  <c r="AB163" i="1"/>
  <c r="AC163" i="1"/>
  <c r="AD163" i="1"/>
  <c r="AE163" i="1"/>
  <c r="AF163" i="1"/>
  <c r="AG163" i="1"/>
  <c r="AH163" i="1"/>
  <c r="AI163" i="1"/>
  <c r="AA164" i="1"/>
  <c r="AB164" i="1"/>
  <c r="AC164" i="1"/>
  <c r="AD164" i="1"/>
  <c r="AE164" i="1"/>
  <c r="AF164" i="1"/>
  <c r="AG164" i="1"/>
  <c r="AH164" i="1"/>
  <c r="AI164" i="1"/>
  <c r="AA165" i="1"/>
  <c r="AB165" i="1"/>
  <c r="AC165" i="1"/>
  <c r="AD165" i="1"/>
  <c r="AE165" i="1"/>
  <c r="AF165" i="1"/>
  <c r="AG165" i="1"/>
  <c r="AH165" i="1"/>
  <c r="AI165" i="1"/>
  <c r="AA166" i="1"/>
  <c r="AB166" i="1"/>
  <c r="AC166" i="1"/>
  <c r="AD166" i="1"/>
  <c r="AE166" i="1"/>
  <c r="AF166" i="1"/>
  <c r="AG166" i="1"/>
  <c r="AH166" i="1"/>
  <c r="AI166" i="1"/>
  <c r="AA167" i="1"/>
  <c r="AB167" i="1"/>
  <c r="AC167" i="1"/>
  <c r="AD167" i="1"/>
  <c r="AE167" i="1"/>
  <c r="AF167" i="1"/>
  <c r="AG167" i="1"/>
  <c r="AH167" i="1"/>
  <c r="AI167" i="1"/>
  <c r="AA168" i="1"/>
  <c r="AB168" i="1"/>
  <c r="AC168" i="1"/>
  <c r="AD168" i="1"/>
  <c r="AE168" i="1"/>
  <c r="AF168" i="1"/>
  <c r="AG168" i="1"/>
  <c r="AH168" i="1"/>
  <c r="AI168" i="1"/>
  <c r="AA169" i="1"/>
  <c r="AB169" i="1"/>
  <c r="AC169" i="1"/>
  <c r="AD169" i="1"/>
  <c r="AE169" i="1"/>
  <c r="AF169" i="1"/>
  <c r="AG169" i="1"/>
  <c r="AH169" i="1"/>
  <c r="AI169" i="1"/>
  <c r="AA170" i="1"/>
  <c r="AB170" i="1"/>
  <c r="AC170" i="1"/>
  <c r="AD170" i="1"/>
  <c r="AE170" i="1"/>
  <c r="AF170" i="1"/>
  <c r="AG170" i="1"/>
  <c r="AH170" i="1"/>
  <c r="AI170" i="1"/>
  <c r="AA171" i="1"/>
  <c r="AB171" i="1"/>
  <c r="AC171" i="1"/>
  <c r="AD171" i="1"/>
  <c r="AE171" i="1"/>
  <c r="AF171" i="1"/>
  <c r="AG171" i="1"/>
  <c r="AH171" i="1"/>
  <c r="AI171" i="1"/>
  <c r="AA172" i="1"/>
  <c r="AB172" i="1"/>
  <c r="AC172" i="1"/>
  <c r="AD172" i="1"/>
  <c r="AE172" i="1"/>
  <c r="AF172" i="1"/>
  <c r="AG172" i="1"/>
  <c r="AH172" i="1"/>
  <c r="AI172" i="1"/>
  <c r="AA173" i="1"/>
  <c r="AB173" i="1"/>
  <c r="AC173" i="1"/>
  <c r="AD173" i="1"/>
  <c r="AE173" i="1"/>
  <c r="AF173" i="1"/>
  <c r="AG173" i="1"/>
  <c r="AH173" i="1"/>
  <c r="AI173" i="1"/>
  <c r="AA174" i="1"/>
  <c r="AB174" i="1"/>
  <c r="AC174" i="1"/>
  <c r="AD174" i="1"/>
  <c r="AE174" i="1"/>
  <c r="AF174" i="1"/>
  <c r="AG174" i="1"/>
  <c r="AH174" i="1"/>
  <c r="AI174" i="1"/>
  <c r="AA175" i="1"/>
  <c r="AB175" i="1"/>
  <c r="AC175" i="1"/>
  <c r="AD175" i="1"/>
  <c r="AE175" i="1"/>
  <c r="AF175" i="1"/>
  <c r="AG175" i="1"/>
  <c r="AH175" i="1"/>
  <c r="AI175" i="1"/>
  <c r="AA176" i="1"/>
  <c r="AB176" i="1"/>
  <c r="AC176" i="1"/>
  <c r="AD176" i="1"/>
  <c r="AE176" i="1"/>
  <c r="AF176" i="1"/>
  <c r="AG176" i="1"/>
  <c r="AH176" i="1"/>
  <c r="AI176" i="1"/>
  <c r="AA177" i="1"/>
  <c r="AB177" i="1"/>
  <c r="AC177" i="1"/>
  <c r="AD177" i="1"/>
  <c r="AE177" i="1"/>
  <c r="AF177" i="1"/>
  <c r="AG177" i="1"/>
  <c r="AH177" i="1"/>
  <c r="AI177" i="1"/>
  <c r="AA178" i="1"/>
  <c r="AB178" i="1"/>
  <c r="AC178" i="1"/>
  <c r="AD178" i="1"/>
  <c r="AE178" i="1"/>
  <c r="AF178" i="1"/>
  <c r="AG178" i="1"/>
  <c r="AH178" i="1"/>
  <c r="AI178" i="1"/>
  <c r="AA179" i="1"/>
  <c r="AB179" i="1"/>
  <c r="AC179" i="1"/>
  <c r="AD179" i="1"/>
  <c r="AE179" i="1"/>
  <c r="AF179" i="1"/>
  <c r="AG179" i="1"/>
  <c r="AH179" i="1"/>
  <c r="AI179" i="1"/>
  <c r="AA180" i="1"/>
  <c r="AB180" i="1"/>
  <c r="AC180" i="1"/>
  <c r="AD180" i="1"/>
  <c r="AE180" i="1"/>
  <c r="AF180" i="1"/>
  <c r="AG180" i="1"/>
  <c r="AH180" i="1"/>
  <c r="AI180" i="1"/>
  <c r="AA181" i="1"/>
  <c r="AB181" i="1"/>
  <c r="AC181" i="1"/>
  <c r="AD181" i="1"/>
  <c r="AE181" i="1"/>
  <c r="AF181" i="1"/>
  <c r="AG181" i="1"/>
  <c r="AH181" i="1"/>
  <c r="AI181" i="1"/>
  <c r="AA182" i="1"/>
  <c r="AB182" i="1"/>
  <c r="AC182" i="1"/>
  <c r="AD182" i="1"/>
  <c r="AE182" i="1"/>
  <c r="AF182" i="1"/>
  <c r="AG182" i="1"/>
  <c r="AH182" i="1"/>
  <c r="AI182" i="1"/>
  <c r="AA183" i="1"/>
  <c r="AB183" i="1"/>
  <c r="AC183" i="1"/>
  <c r="AD183" i="1"/>
  <c r="AE183" i="1"/>
  <c r="AF183" i="1"/>
  <c r="AG183" i="1"/>
  <c r="AH183" i="1"/>
  <c r="AI183" i="1"/>
  <c r="AA184" i="1"/>
  <c r="AB184" i="1"/>
  <c r="AC184" i="1"/>
  <c r="AD184" i="1"/>
  <c r="AE184" i="1"/>
  <c r="AF184" i="1"/>
  <c r="AG184" i="1"/>
  <c r="AH184" i="1"/>
  <c r="AI184" i="1"/>
  <c r="AA185" i="1"/>
  <c r="AB185" i="1"/>
  <c r="AC185" i="1"/>
  <c r="AD185" i="1"/>
  <c r="AE185" i="1"/>
  <c r="AF185" i="1"/>
  <c r="AG185" i="1"/>
  <c r="AH185" i="1"/>
  <c r="AI185" i="1"/>
  <c r="AA186" i="1"/>
  <c r="AB186" i="1"/>
  <c r="AC186" i="1"/>
  <c r="AD186" i="1"/>
  <c r="AE186" i="1"/>
  <c r="AF186" i="1"/>
  <c r="AG186" i="1"/>
  <c r="AH186" i="1"/>
  <c r="AI186" i="1"/>
  <c r="AA187" i="1"/>
  <c r="AB187" i="1"/>
  <c r="AC187" i="1"/>
  <c r="AD187" i="1"/>
  <c r="AE187" i="1"/>
  <c r="AF187" i="1"/>
  <c r="AG187" i="1"/>
  <c r="AH187" i="1"/>
  <c r="AI187" i="1"/>
  <c r="AA188" i="1"/>
  <c r="AB188" i="1"/>
  <c r="AC188" i="1"/>
  <c r="AD188" i="1"/>
  <c r="AE188" i="1"/>
  <c r="AF188" i="1"/>
  <c r="AG188" i="1"/>
  <c r="AH188" i="1"/>
  <c r="AI188" i="1"/>
  <c r="AA189" i="1"/>
  <c r="AB189" i="1"/>
  <c r="AC189" i="1"/>
  <c r="AD189" i="1"/>
  <c r="AE189" i="1"/>
  <c r="AF189" i="1"/>
  <c r="AG189" i="1"/>
  <c r="AH189" i="1"/>
  <c r="AI189" i="1"/>
  <c r="AA190" i="1"/>
  <c r="AB190" i="1"/>
  <c r="AC190" i="1"/>
  <c r="AD190" i="1"/>
  <c r="AE190" i="1"/>
  <c r="AF190" i="1"/>
  <c r="AG190" i="1"/>
  <c r="AH190" i="1"/>
  <c r="AI190" i="1"/>
  <c r="AA191" i="1"/>
  <c r="AB191" i="1"/>
  <c r="AC191" i="1"/>
  <c r="AD191" i="1"/>
  <c r="AE191" i="1"/>
  <c r="AF191" i="1"/>
  <c r="AG191" i="1"/>
  <c r="AH191" i="1"/>
  <c r="AI191" i="1"/>
  <c r="AA192" i="1"/>
  <c r="AB192" i="1"/>
  <c r="AC192" i="1"/>
  <c r="AD192" i="1"/>
  <c r="AE192" i="1"/>
  <c r="AF192" i="1"/>
  <c r="AG192" i="1"/>
  <c r="AH192" i="1"/>
  <c r="AI192" i="1"/>
  <c r="AA193" i="1"/>
  <c r="AB193" i="1"/>
  <c r="AC193" i="1"/>
  <c r="AD193" i="1"/>
  <c r="AE193" i="1"/>
  <c r="AF193" i="1"/>
  <c r="AG193" i="1"/>
  <c r="AH193" i="1"/>
  <c r="AI193" i="1"/>
  <c r="AA194" i="1"/>
  <c r="AB194" i="1"/>
  <c r="AC194" i="1"/>
  <c r="AD194" i="1"/>
  <c r="AE194" i="1"/>
  <c r="AF194" i="1"/>
  <c r="AG194" i="1"/>
  <c r="AH194" i="1"/>
  <c r="AI194" i="1"/>
  <c r="AA195" i="1"/>
  <c r="AB195" i="1"/>
  <c r="AC195" i="1"/>
  <c r="AD195" i="1"/>
  <c r="AE195" i="1"/>
  <c r="AF195" i="1"/>
  <c r="AG195" i="1"/>
  <c r="AH195" i="1"/>
  <c r="AI195" i="1"/>
  <c r="AA196" i="1"/>
  <c r="AB196" i="1"/>
  <c r="AC196" i="1"/>
  <c r="AD196" i="1"/>
  <c r="AE196" i="1"/>
  <c r="AF196" i="1"/>
  <c r="AG196" i="1"/>
  <c r="AH196" i="1"/>
  <c r="AI196" i="1"/>
  <c r="AA197" i="1"/>
  <c r="AB197" i="1"/>
  <c r="AC197" i="1"/>
  <c r="AD197" i="1"/>
  <c r="AE197" i="1"/>
  <c r="AF197" i="1"/>
  <c r="AG197" i="1"/>
  <c r="AH197" i="1"/>
  <c r="AI197" i="1"/>
  <c r="AA198" i="1"/>
  <c r="AB198" i="1"/>
  <c r="AC198" i="1"/>
  <c r="AD198" i="1"/>
  <c r="AE198" i="1"/>
  <c r="AF198" i="1"/>
  <c r="AG198" i="1"/>
  <c r="AH198" i="1"/>
  <c r="AI198" i="1"/>
  <c r="AA199" i="1"/>
  <c r="AB199" i="1"/>
  <c r="AC199" i="1"/>
  <c r="AD199" i="1"/>
  <c r="AE199" i="1"/>
  <c r="AF199" i="1"/>
  <c r="AG199" i="1"/>
  <c r="AH199" i="1"/>
  <c r="AI199" i="1"/>
  <c r="AA200" i="1"/>
  <c r="AB200" i="1"/>
  <c r="AC200" i="1"/>
  <c r="AD200" i="1"/>
  <c r="AE200" i="1"/>
  <c r="AF200" i="1"/>
  <c r="AG200" i="1"/>
  <c r="AH200" i="1"/>
  <c r="AI200" i="1"/>
  <c r="AA201" i="1"/>
  <c r="AB201" i="1"/>
  <c r="AC201" i="1"/>
  <c r="AD201" i="1"/>
  <c r="AE201" i="1"/>
  <c r="AF201" i="1"/>
  <c r="AG201" i="1"/>
  <c r="AH201" i="1"/>
  <c r="AI201" i="1"/>
  <c r="AA202" i="1"/>
  <c r="AB202" i="1"/>
  <c r="AC202" i="1"/>
  <c r="AD202" i="1"/>
  <c r="AE202" i="1"/>
  <c r="AF202" i="1"/>
  <c r="AG202" i="1"/>
  <c r="AH202" i="1"/>
  <c r="AI202" i="1"/>
  <c r="AA203" i="1"/>
  <c r="AB203" i="1"/>
  <c r="AC203" i="1"/>
  <c r="AD203" i="1"/>
  <c r="AE203" i="1"/>
  <c r="AF203" i="1"/>
  <c r="AG203" i="1"/>
  <c r="AH203" i="1"/>
  <c r="AI203" i="1"/>
  <c r="AA204" i="1"/>
  <c r="AB204" i="1"/>
  <c r="AC204" i="1"/>
  <c r="AD204" i="1"/>
  <c r="AE204" i="1"/>
  <c r="AF204" i="1"/>
  <c r="AG204" i="1"/>
  <c r="AH204" i="1"/>
  <c r="AI204" i="1"/>
  <c r="AA205" i="1"/>
  <c r="AB205" i="1"/>
  <c r="AC205" i="1"/>
  <c r="AD205" i="1"/>
  <c r="AE205" i="1"/>
  <c r="AF205" i="1"/>
  <c r="AG205" i="1"/>
  <c r="AH205" i="1"/>
  <c r="AI205" i="1"/>
  <c r="AA206" i="1"/>
  <c r="AB206" i="1"/>
  <c r="AC206" i="1"/>
  <c r="AD206" i="1"/>
  <c r="AE206" i="1"/>
  <c r="AF206" i="1"/>
  <c r="AG206" i="1"/>
  <c r="AH206" i="1"/>
  <c r="AI206" i="1"/>
  <c r="AA207" i="1"/>
  <c r="AB207" i="1"/>
  <c r="AC207" i="1"/>
  <c r="AD207" i="1"/>
  <c r="AE207" i="1"/>
  <c r="AF207" i="1"/>
  <c r="AG207" i="1"/>
  <c r="AH207" i="1"/>
  <c r="AI207" i="1"/>
  <c r="AA208" i="1"/>
  <c r="AB208" i="1"/>
  <c r="AC208" i="1"/>
  <c r="AD208" i="1"/>
  <c r="AE208" i="1"/>
  <c r="AF208" i="1"/>
  <c r="AG208" i="1"/>
  <c r="AH208" i="1"/>
  <c r="AI208" i="1"/>
  <c r="AA209" i="1"/>
  <c r="AB209" i="1"/>
  <c r="AC209" i="1"/>
  <c r="AD209" i="1"/>
  <c r="AE209" i="1"/>
  <c r="AF209" i="1"/>
  <c r="AG209" i="1"/>
  <c r="AH209" i="1"/>
  <c r="AI209" i="1"/>
  <c r="AA210" i="1"/>
  <c r="AB210" i="1"/>
  <c r="AC210" i="1"/>
  <c r="AD210" i="1"/>
  <c r="AE210" i="1"/>
  <c r="AF210" i="1"/>
  <c r="AG210" i="1"/>
  <c r="AH210" i="1"/>
  <c r="AI210" i="1"/>
  <c r="AA211" i="1"/>
  <c r="AB211" i="1"/>
  <c r="AC211" i="1"/>
  <c r="AD211" i="1"/>
  <c r="AE211" i="1"/>
  <c r="AF211" i="1"/>
  <c r="AG211" i="1"/>
  <c r="AH211" i="1"/>
  <c r="AI211" i="1"/>
  <c r="AA212" i="1"/>
  <c r="AB212" i="1"/>
  <c r="AC212" i="1"/>
  <c r="AD212" i="1"/>
  <c r="AE212" i="1"/>
  <c r="AF212" i="1"/>
  <c r="AG212" i="1"/>
  <c r="AH212" i="1"/>
  <c r="AI212" i="1"/>
  <c r="AA213" i="1"/>
  <c r="AB213" i="1"/>
  <c r="AC213" i="1"/>
  <c r="AD213" i="1"/>
  <c r="AE213" i="1"/>
  <c r="AF213" i="1"/>
  <c r="AG213" i="1"/>
  <c r="AH213" i="1"/>
  <c r="AI213" i="1"/>
  <c r="AA214" i="1"/>
  <c r="AB214" i="1"/>
  <c r="AC214" i="1"/>
  <c r="AD214" i="1"/>
  <c r="AE214" i="1"/>
  <c r="AF214" i="1"/>
  <c r="AG214" i="1"/>
  <c r="AH214" i="1"/>
  <c r="AI214" i="1"/>
  <c r="AA215" i="1"/>
  <c r="AB215" i="1"/>
  <c r="AC215" i="1"/>
  <c r="AD215" i="1"/>
  <c r="AE215" i="1"/>
  <c r="AF215" i="1"/>
  <c r="AG215" i="1"/>
  <c r="AH215" i="1"/>
  <c r="AI215" i="1"/>
  <c r="AA216" i="1"/>
  <c r="AB216" i="1"/>
  <c r="AC216" i="1"/>
  <c r="AD216" i="1"/>
  <c r="AE216" i="1"/>
  <c r="AF216" i="1"/>
  <c r="AG216" i="1"/>
  <c r="AH216" i="1"/>
  <c r="AI216" i="1"/>
  <c r="AA217" i="1"/>
  <c r="AB217" i="1"/>
  <c r="AC217" i="1"/>
  <c r="AD217" i="1"/>
  <c r="AE217" i="1"/>
  <c r="AF217" i="1"/>
  <c r="AG217" i="1"/>
  <c r="AH217" i="1"/>
  <c r="AI217" i="1"/>
  <c r="AA218" i="1"/>
  <c r="AB218" i="1"/>
  <c r="AC218" i="1"/>
  <c r="AD218" i="1"/>
  <c r="AE218" i="1"/>
  <c r="AF218" i="1"/>
  <c r="AG218" i="1"/>
  <c r="AH218" i="1"/>
  <c r="AI218" i="1"/>
  <c r="AA219" i="1"/>
  <c r="AB219" i="1"/>
  <c r="AC219" i="1"/>
  <c r="AD219" i="1"/>
  <c r="AE219" i="1"/>
  <c r="AF219" i="1"/>
  <c r="AG219" i="1"/>
  <c r="AH219" i="1"/>
  <c r="AI219" i="1"/>
  <c r="AA220" i="1"/>
  <c r="AB220" i="1"/>
  <c r="AC220" i="1"/>
  <c r="AD220" i="1"/>
  <c r="AE220" i="1"/>
  <c r="AF220" i="1"/>
  <c r="AG220" i="1"/>
  <c r="AH220" i="1"/>
  <c r="AI220" i="1"/>
  <c r="AA221" i="1"/>
  <c r="AB221" i="1"/>
  <c r="AC221" i="1"/>
  <c r="AD221" i="1"/>
  <c r="AE221" i="1"/>
  <c r="AF221" i="1"/>
  <c r="AG221" i="1"/>
  <c r="AH221" i="1"/>
  <c r="AI221" i="1"/>
  <c r="AA222" i="1"/>
  <c r="AB222" i="1"/>
  <c r="AC222" i="1"/>
  <c r="AD222" i="1"/>
  <c r="AE222" i="1"/>
  <c r="AF222" i="1"/>
  <c r="AG222" i="1"/>
  <c r="AH222" i="1"/>
  <c r="AI222" i="1"/>
  <c r="AA223" i="1"/>
  <c r="AB223" i="1"/>
  <c r="AC223" i="1"/>
  <c r="AD223" i="1"/>
  <c r="AE223" i="1"/>
  <c r="AF223" i="1"/>
  <c r="AG223" i="1"/>
  <c r="AH223" i="1"/>
  <c r="AI223" i="1"/>
  <c r="AA224" i="1"/>
  <c r="AB224" i="1"/>
  <c r="AC224" i="1"/>
  <c r="AD224" i="1"/>
  <c r="AE224" i="1"/>
  <c r="AF224" i="1"/>
  <c r="AG224" i="1"/>
  <c r="AH224" i="1"/>
  <c r="AI224" i="1"/>
  <c r="AA225" i="1"/>
  <c r="AB225" i="1"/>
  <c r="AC225" i="1"/>
  <c r="AD225" i="1"/>
  <c r="AE225" i="1"/>
  <c r="AF225" i="1"/>
  <c r="AG225" i="1"/>
  <c r="AH225" i="1"/>
  <c r="AI225" i="1"/>
  <c r="AA226" i="1"/>
  <c r="AB226" i="1"/>
  <c r="AC226" i="1"/>
  <c r="AD226" i="1"/>
  <c r="AE226" i="1"/>
  <c r="AF226" i="1"/>
  <c r="AG226" i="1"/>
  <c r="AH226" i="1"/>
  <c r="AI226" i="1"/>
  <c r="AA227" i="1"/>
  <c r="AB227" i="1"/>
  <c r="AC227" i="1"/>
  <c r="AD227" i="1"/>
  <c r="AE227" i="1"/>
  <c r="AF227" i="1"/>
  <c r="AG227" i="1"/>
  <c r="AH227" i="1"/>
  <c r="AI227" i="1"/>
  <c r="AA228" i="1"/>
  <c r="AB228" i="1"/>
  <c r="AC228" i="1"/>
  <c r="AD228" i="1"/>
  <c r="AE228" i="1"/>
  <c r="AF228" i="1"/>
  <c r="AG228" i="1"/>
  <c r="AH228" i="1"/>
  <c r="AI228" i="1"/>
  <c r="AA229" i="1"/>
  <c r="AB229" i="1"/>
  <c r="AC229" i="1"/>
  <c r="AD229" i="1"/>
  <c r="AE229" i="1"/>
  <c r="AF229" i="1"/>
  <c r="AG229" i="1"/>
  <c r="AH229" i="1"/>
  <c r="AI229" i="1"/>
  <c r="AA230" i="1"/>
  <c r="AB230" i="1"/>
  <c r="AC230" i="1"/>
  <c r="AD230" i="1"/>
  <c r="AE230" i="1"/>
  <c r="AF230" i="1"/>
  <c r="AG230" i="1"/>
  <c r="AH230" i="1"/>
  <c r="AI230" i="1"/>
  <c r="AA231" i="1"/>
  <c r="AB231" i="1"/>
  <c r="AC231" i="1"/>
  <c r="AD231" i="1"/>
  <c r="AE231" i="1"/>
  <c r="AF231" i="1"/>
  <c r="AG231" i="1"/>
  <c r="AH231" i="1"/>
  <c r="AI231" i="1"/>
  <c r="AA232" i="1"/>
  <c r="AB232" i="1"/>
  <c r="AC232" i="1"/>
  <c r="AD232" i="1"/>
  <c r="AE232" i="1"/>
  <c r="AF232" i="1"/>
  <c r="AG232" i="1"/>
  <c r="AH232" i="1"/>
  <c r="AI232" i="1"/>
  <c r="AA233" i="1"/>
  <c r="AB233" i="1"/>
  <c r="AC233" i="1"/>
  <c r="AD233" i="1"/>
  <c r="AE233" i="1"/>
  <c r="AF233" i="1"/>
  <c r="AG233" i="1"/>
  <c r="AH233" i="1"/>
  <c r="AI233" i="1"/>
  <c r="AA234" i="1"/>
  <c r="AB234" i="1"/>
  <c r="AC234" i="1"/>
  <c r="AD234" i="1"/>
  <c r="AE234" i="1"/>
  <c r="AF234" i="1"/>
  <c r="AG234" i="1"/>
  <c r="AH234" i="1"/>
  <c r="AI234" i="1"/>
  <c r="AA235" i="1"/>
  <c r="AB235" i="1"/>
  <c r="AC235" i="1"/>
  <c r="AD235" i="1"/>
  <c r="AE235" i="1"/>
  <c r="AF235" i="1"/>
  <c r="AG235" i="1"/>
  <c r="AH235" i="1"/>
  <c r="AI235" i="1"/>
  <c r="AA236" i="1"/>
  <c r="AB236" i="1"/>
  <c r="AC236" i="1"/>
  <c r="AD236" i="1"/>
  <c r="AE236" i="1"/>
  <c r="AF236" i="1"/>
  <c r="AG236" i="1"/>
  <c r="AH236" i="1"/>
  <c r="AI236" i="1"/>
  <c r="AA237" i="1"/>
  <c r="AB237" i="1"/>
  <c r="AC237" i="1"/>
  <c r="AD237" i="1"/>
  <c r="AE237" i="1"/>
  <c r="AF237" i="1"/>
  <c r="AG237" i="1"/>
  <c r="AH237" i="1"/>
  <c r="AI237" i="1"/>
  <c r="AA238" i="1"/>
  <c r="AB238" i="1"/>
  <c r="AC238" i="1"/>
  <c r="AD238" i="1"/>
  <c r="AE238" i="1"/>
  <c r="AF238" i="1"/>
  <c r="AG238" i="1"/>
  <c r="AH238" i="1"/>
  <c r="AI238" i="1"/>
  <c r="AA239" i="1"/>
  <c r="AB239" i="1"/>
  <c r="AC239" i="1"/>
  <c r="AD239" i="1"/>
  <c r="AE239" i="1"/>
  <c r="AF239" i="1"/>
  <c r="AG239" i="1"/>
  <c r="AH239" i="1"/>
  <c r="AI239" i="1"/>
  <c r="AA240" i="1"/>
  <c r="AB240" i="1"/>
  <c r="AC240" i="1"/>
  <c r="AD240" i="1"/>
  <c r="AE240" i="1"/>
  <c r="AF240" i="1"/>
  <c r="AG240" i="1"/>
  <c r="AH240" i="1"/>
  <c r="AI240" i="1"/>
  <c r="AA241" i="1"/>
  <c r="AB241" i="1"/>
  <c r="AC241" i="1"/>
  <c r="AD241" i="1"/>
  <c r="AE241" i="1"/>
  <c r="AF241" i="1"/>
  <c r="AG241" i="1"/>
  <c r="AH241" i="1"/>
  <c r="AI241" i="1"/>
  <c r="AA242" i="1"/>
  <c r="AB242" i="1"/>
  <c r="AC242" i="1"/>
  <c r="AD242" i="1"/>
  <c r="AE242" i="1"/>
  <c r="AF242" i="1"/>
  <c r="AG242" i="1"/>
  <c r="AH242" i="1"/>
  <c r="AI242" i="1"/>
  <c r="AA243" i="1"/>
  <c r="AB243" i="1"/>
  <c r="AC243" i="1"/>
  <c r="AD243" i="1"/>
  <c r="AE243" i="1"/>
  <c r="AF243" i="1"/>
  <c r="AG243" i="1"/>
  <c r="AH243" i="1"/>
  <c r="AI243" i="1"/>
  <c r="AA244" i="1"/>
  <c r="AB244" i="1"/>
  <c r="AC244" i="1"/>
  <c r="AD244" i="1"/>
  <c r="AE244" i="1"/>
  <c r="AF244" i="1"/>
  <c r="AG244" i="1"/>
  <c r="AH244" i="1"/>
  <c r="AI244" i="1"/>
  <c r="AA245" i="1"/>
  <c r="AB245" i="1"/>
  <c r="AC245" i="1"/>
  <c r="AD245" i="1"/>
  <c r="AE245" i="1"/>
  <c r="AF245" i="1"/>
  <c r="AG245" i="1"/>
  <c r="AH245" i="1"/>
  <c r="AI245" i="1"/>
  <c r="AA246" i="1"/>
  <c r="AB246" i="1"/>
  <c r="AC246" i="1"/>
  <c r="AD246" i="1"/>
  <c r="AE246" i="1"/>
  <c r="AF246" i="1"/>
  <c r="AG246" i="1"/>
  <c r="AH246" i="1"/>
  <c r="AI246" i="1"/>
  <c r="AA247" i="1"/>
  <c r="AB247" i="1"/>
  <c r="AC247" i="1"/>
  <c r="AD247" i="1"/>
  <c r="AE247" i="1"/>
  <c r="AF247" i="1"/>
  <c r="AG247" i="1"/>
  <c r="AH247" i="1"/>
  <c r="AI247" i="1"/>
  <c r="AA248" i="1"/>
  <c r="AB248" i="1"/>
  <c r="AC248" i="1"/>
  <c r="AD248" i="1"/>
  <c r="AE248" i="1"/>
  <c r="AF248" i="1"/>
  <c r="AG248" i="1"/>
  <c r="AH248" i="1"/>
  <c r="AI248" i="1"/>
  <c r="AA249" i="1"/>
  <c r="AB249" i="1"/>
  <c r="AC249" i="1"/>
  <c r="AD249" i="1"/>
  <c r="AE249" i="1"/>
  <c r="AF249" i="1"/>
  <c r="AG249" i="1"/>
  <c r="AH249" i="1"/>
  <c r="AI249" i="1"/>
  <c r="AA250" i="1"/>
  <c r="AB250" i="1"/>
  <c r="AC250" i="1"/>
  <c r="AD250" i="1"/>
  <c r="AE250" i="1"/>
  <c r="AF250" i="1"/>
  <c r="AG250" i="1"/>
  <c r="AH250" i="1"/>
  <c r="AI250" i="1"/>
  <c r="AA251" i="1"/>
  <c r="AB251" i="1"/>
  <c r="AC251" i="1"/>
  <c r="AD251" i="1"/>
  <c r="AE251" i="1"/>
  <c r="AF251" i="1"/>
  <c r="AG251" i="1"/>
  <c r="AH251" i="1"/>
  <c r="AI251" i="1"/>
  <c r="AA252" i="1"/>
  <c r="AB252" i="1"/>
  <c r="AC252" i="1"/>
  <c r="AD252" i="1"/>
  <c r="AE252" i="1"/>
  <c r="AF252" i="1"/>
  <c r="AG252" i="1"/>
  <c r="AH252" i="1"/>
  <c r="AI252" i="1"/>
  <c r="AA253" i="1"/>
  <c r="AB253" i="1"/>
  <c r="AC253" i="1"/>
  <c r="AD253" i="1"/>
  <c r="AE253" i="1"/>
  <c r="AF253" i="1"/>
  <c r="AG253" i="1"/>
  <c r="AH253" i="1"/>
  <c r="AI253" i="1"/>
  <c r="AA254" i="1"/>
  <c r="AB254" i="1"/>
  <c r="AC254" i="1"/>
  <c r="AD254" i="1"/>
  <c r="AE254" i="1"/>
  <c r="AF254" i="1"/>
  <c r="AG254" i="1"/>
  <c r="AH254" i="1"/>
  <c r="AI254" i="1"/>
  <c r="AA255" i="1"/>
  <c r="AB255" i="1"/>
  <c r="AC255" i="1"/>
  <c r="AD255" i="1"/>
  <c r="AE255" i="1"/>
  <c r="AF255" i="1"/>
  <c r="AG255" i="1"/>
  <c r="AH255" i="1"/>
  <c r="AI255" i="1"/>
  <c r="AA256" i="1"/>
  <c r="AB256" i="1"/>
  <c r="AC256" i="1"/>
  <c r="AD256" i="1"/>
  <c r="AE256" i="1"/>
  <c r="AF256" i="1"/>
  <c r="AG256" i="1"/>
  <c r="AH256" i="1"/>
  <c r="AI256" i="1"/>
  <c r="AA257" i="1"/>
  <c r="AB257" i="1"/>
  <c r="AC257" i="1"/>
  <c r="AD257" i="1"/>
  <c r="AE257" i="1"/>
  <c r="AF257" i="1"/>
  <c r="AG257" i="1"/>
  <c r="AH257" i="1"/>
  <c r="AI257" i="1"/>
  <c r="AA258" i="1"/>
  <c r="AB258" i="1"/>
  <c r="AC258" i="1"/>
  <c r="AD258" i="1"/>
  <c r="AE258" i="1"/>
  <c r="AF258" i="1"/>
  <c r="AG258" i="1"/>
  <c r="AH258" i="1"/>
  <c r="AI258" i="1"/>
  <c r="AA259" i="1"/>
  <c r="AB259" i="1"/>
  <c r="AC259" i="1"/>
  <c r="AD259" i="1"/>
  <c r="AE259" i="1"/>
  <c r="AF259" i="1"/>
  <c r="AG259" i="1"/>
  <c r="AH259" i="1"/>
  <c r="AI259" i="1"/>
  <c r="AA260" i="1"/>
  <c r="AB260" i="1"/>
  <c r="AC260" i="1"/>
  <c r="AD260" i="1"/>
  <c r="AE260" i="1"/>
  <c r="AF260" i="1"/>
  <c r="AG260" i="1"/>
  <c r="AH260" i="1"/>
  <c r="AI260" i="1"/>
  <c r="AA261" i="1"/>
  <c r="AB261" i="1"/>
  <c r="AC261" i="1"/>
  <c r="AD261" i="1"/>
  <c r="AE261" i="1"/>
  <c r="AF261" i="1"/>
  <c r="AG261" i="1"/>
  <c r="AH261" i="1"/>
  <c r="AI261" i="1"/>
  <c r="AA262" i="1"/>
  <c r="AB262" i="1"/>
  <c r="AC262" i="1"/>
  <c r="AD262" i="1"/>
  <c r="AE262" i="1"/>
  <c r="AF262" i="1"/>
  <c r="AG262" i="1"/>
  <c r="AH262" i="1"/>
  <c r="AI262" i="1"/>
  <c r="AA263" i="1"/>
  <c r="AB263" i="1"/>
  <c r="AC263" i="1"/>
  <c r="AD263" i="1"/>
  <c r="AE263" i="1"/>
  <c r="AF263" i="1"/>
  <c r="AG263" i="1"/>
  <c r="AH263" i="1"/>
  <c r="AI263" i="1"/>
  <c r="AA264" i="1"/>
  <c r="AB264" i="1"/>
  <c r="AC264" i="1"/>
  <c r="AD264" i="1"/>
  <c r="AE264" i="1"/>
  <c r="AF264" i="1"/>
  <c r="AG264" i="1"/>
  <c r="AH264" i="1"/>
  <c r="AI264" i="1"/>
  <c r="AA265" i="1"/>
  <c r="AB265" i="1"/>
  <c r="AC265" i="1"/>
  <c r="AD265" i="1"/>
  <c r="AE265" i="1"/>
  <c r="AF265" i="1"/>
  <c r="AG265" i="1"/>
  <c r="AH265" i="1"/>
  <c r="AI265" i="1"/>
  <c r="AA266" i="1"/>
  <c r="AB266" i="1"/>
  <c r="AC266" i="1"/>
  <c r="AD266" i="1"/>
  <c r="AE266" i="1"/>
  <c r="AF266" i="1"/>
  <c r="AG266" i="1"/>
  <c r="AH266" i="1"/>
  <c r="AI266" i="1"/>
  <c r="AA267" i="1"/>
  <c r="AB267" i="1"/>
  <c r="AC267" i="1"/>
  <c r="AD267" i="1"/>
  <c r="AE267" i="1"/>
  <c r="AF267" i="1"/>
  <c r="AG267" i="1"/>
  <c r="AH267" i="1"/>
  <c r="AI267" i="1"/>
  <c r="AA268" i="1"/>
  <c r="AB268" i="1"/>
  <c r="AC268" i="1"/>
  <c r="AD268" i="1"/>
  <c r="AE268" i="1"/>
  <c r="AF268" i="1"/>
  <c r="AG268" i="1"/>
  <c r="AH268" i="1"/>
  <c r="AI268" i="1"/>
  <c r="AA269" i="1"/>
  <c r="AB269" i="1"/>
  <c r="AC269" i="1"/>
  <c r="AD269" i="1"/>
  <c r="AE269" i="1"/>
  <c r="AF269" i="1"/>
  <c r="AG269" i="1"/>
  <c r="AH269" i="1"/>
  <c r="AI269" i="1"/>
  <c r="AA270" i="1"/>
  <c r="AB270" i="1"/>
  <c r="AC270" i="1"/>
  <c r="AD270" i="1"/>
  <c r="AE270" i="1"/>
  <c r="AF270" i="1"/>
  <c r="AG270" i="1"/>
  <c r="AH270" i="1"/>
  <c r="AI270" i="1"/>
  <c r="AA271" i="1"/>
  <c r="AB271" i="1"/>
  <c r="AC271" i="1"/>
  <c r="AD271" i="1"/>
  <c r="AE271" i="1"/>
  <c r="AF271" i="1"/>
  <c r="AG271" i="1"/>
  <c r="AH271" i="1"/>
  <c r="AI271" i="1"/>
  <c r="AA272" i="1"/>
  <c r="AB272" i="1"/>
  <c r="AC272" i="1"/>
  <c r="AD272" i="1"/>
  <c r="AE272" i="1"/>
  <c r="AF272" i="1"/>
  <c r="AG272" i="1"/>
  <c r="AH272" i="1"/>
  <c r="AI272" i="1"/>
  <c r="AA273" i="1"/>
  <c r="AB273" i="1"/>
  <c r="AC273" i="1"/>
  <c r="AD273" i="1"/>
  <c r="AE273" i="1"/>
  <c r="AF273" i="1"/>
  <c r="AG273" i="1"/>
  <c r="AH273" i="1"/>
  <c r="AI273" i="1"/>
  <c r="AA274" i="1"/>
  <c r="AB274" i="1"/>
  <c r="AC274" i="1"/>
  <c r="AD274" i="1"/>
  <c r="AE274" i="1"/>
  <c r="AF274" i="1"/>
  <c r="AG274" i="1"/>
  <c r="AH274" i="1"/>
  <c r="AI274" i="1"/>
  <c r="AA275" i="1"/>
  <c r="AB275" i="1"/>
  <c r="AC275" i="1"/>
  <c r="AD275" i="1"/>
  <c r="AE275" i="1"/>
  <c r="AF275" i="1"/>
  <c r="AG275" i="1"/>
  <c r="AH275" i="1"/>
  <c r="AI275" i="1"/>
  <c r="AA276" i="1"/>
  <c r="AB276" i="1"/>
  <c r="AC276" i="1"/>
  <c r="AD276" i="1"/>
  <c r="AE276" i="1"/>
  <c r="AF276" i="1"/>
  <c r="AG276" i="1"/>
  <c r="AH276" i="1"/>
  <c r="AI276" i="1"/>
  <c r="AA277" i="1"/>
  <c r="AB277" i="1"/>
  <c r="AC277" i="1"/>
  <c r="AD277" i="1"/>
  <c r="AE277" i="1"/>
  <c r="AF277" i="1"/>
  <c r="AG277" i="1"/>
  <c r="AH277" i="1"/>
  <c r="AI277" i="1"/>
  <c r="AA278" i="1"/>
  <c r="AB278" i="1"/>
  <c r="AC278" i="1"/>
  <c r="AD278" i="1"/>
  <c r="AE278" i="1"/>
  <c r="AF278" i="1"/>
  <c r="AG278" i="1"/>
  <c r="AH278" i="1"/>
  <c r="AI278" i="1"/>
  <c r="AA279" i="1"/>
  <c r="AB279" i="1"/>
  <c r="AC279" i="1"/>
  <c r="AD279" i="1"/>
  <c r="AE279" i="1"/>
  <c r="AF279" i="1"/>
  <c r="AG279" i="1"/>
  <c r="AH279" i="1"/>
  <c r="AI279" i="1"/>
  <c r="AA280" i="1"/>
  <c r="AB280" i="1"/>
  <c r="AC280" i="1"/>
  <c r="AD280" i="1"/>
  <c r="AE280" i="1"/>
  <c r="AF280" i="1"/>
  <c r="AG280" i="1"/>
  <c r="AH280" i="1"/>
  <c r="AI280" i="1"/>
  <c r="AA281" i="1"/>
  <c r="AB281" i="1"/>
  <c r="AC281" i="1"/>
  <c r="AD281" i="1"/>
  <c r="AE281" i="1"/>
  <c r="AF281" i="1"/>
  <c r="AG281" i="1"/>
  <c r="AH281" i="1"/>
  <c r="AI281" i="1"/>
  <c r="AA282" i="1"/>
  <c r="AB282" i="1"/>
  <c r="AC282" i="1"/>
  <c r="AD282" i="1"/>
  <c r="AE282" i="1"/>
  <c r="AF282" i="1"/>
  <c r="AG282" i="1"/>
  <c r="AH282" i="1"/>
  <c r="AI282" i="1"/>
  <c r="AA283" i="1"/>
  <c r="AB283" i="1"/>
  <c r="AC283" i="1"/>
  <c r="AD283" i="1"/>
  <c r="AE283" i="1"/>
  <c r="AF283" i="1"/>
  <c r="AG283" i="1"/>
  <c r="AH283" i="1"/>
  <c r="AI283" i="1"/>
  <c r="AA284" i="1"/>
  <c r="AB284" i="1"/>
  <c r="AC284" i="1"/>
  <c r="AD284" i="1"/>
  <c r="AE284" i="1"/>
  <c r="AF284" i="1"/>
  <c r="AG284" i="1"/>
  <c r="AH284" i="1"/>
  <c r="AI284" i="1"/>
  <c r="AA285" i="1"/>
  <c r="AB285" i="1"/>
  <c r="AC285" i="1"/>
  <c r="AD285" i="1"/>
  <c r="AE285" i="1"/>
  <c r="AF285" i="1"/>
  <c r="AG285" i="1"/>
  <c r="AH285" i="1"/>
  <c r="AI285" i="1"/>
  <c r="AA286" i="1"/>
  <c r="AB286" i="1"/>
  <c r="AC286" i="1"/>
  <c r="AD286" i="1"/>
  <c r="AE286" i="1"/>
  <c r="AF286" i="1"/>
  <c r="AG286" i="1"/>
  <c r="AH286" i="1"/>
  <c r="AI286" i="1"/>
  <c r="AA287" i="1"/>
  <c r="AB287" i="1"/>
  <c r="AC287" i="1"/>
  <c r="AD287" i="1"/>
  <c r="AE287" i="1"/>
  <c r="AF287" i="1"/>
  <c r="AG287" i="1"/>
  <c r="AH287" i="1"/>
  <c r="AI287" i="1"/>
  <c r="AA288" i="1"/>
  <c r="AB288" i="1"/>
  <c r="AC288" i="1"/>
  <c r="AD288" i="1"/>
  <c r="AE288" i="1"/>
  <c r="AF288" i="1"/>
  <c r="AG288" i="1"/>
  <c r="AH288" i="1"/>
  <c r="AI288" i="1"/>
  <c r="AA289" i="1"/>
  <c r="AB289" i="1"/>
  <c r="AC289" i="1"/>
  <c r="AD289" i="1"/>
  <c r="AE289" i="1"/>
  <c r="AF289" i="1"/>
  <c r="AG289" i="1"/>
  <c r="AH289" i="1"/>
  <c r="AI289" i="1"/>
  <c r="AA290" i="1"/>
  <c r="AB290" i="1"/>
  <c r="AC290" i="1"/>
  <c r="AD290" i="1"/>
  <c r="AE290" i="1"/>
  <c r="AF290" i="1"/>
  <c r="AG290" i="1"/>
  <c r="AH290" i="1"/>
  <c r="AI290" i="1"/>
  <c r="AA291" i="1"/>
  <c r="AB291" i="1"/>
  <c r="AC291" i="1"/>
  <c r="AD291" i="1"/>
  <c r="AE291" i="1"/>
  <c r="AF291" i="1"/>
  <c r="AG291" i="1"/>
  <c r="AH291" i="1"/>
  <c r="AI291" i="1"/>
  <c r="AA292" i="1"/>
  <c r="AB292" i="1"/>
  <c r="AC292" i="1"/>
  <c r="AD292" i="1"/>
  <c r="AE292" i="1"/>
  <c r="AF292" i="1"/>
  <c r="AG292" i="1"/>
  <c r="AH292" i="1"/>
  <c r="AI292" i="1"/>
  <c r="AA293" i="1"/>
  <c r="AB293" i="1"/>
  <c r="AC293" i="1"/>
  <c r="AD293" i="1"/>
  <c r="AE293" i="1"/>
  <c r="AF293" i="1"/>
  <c r="AG293" i="1"/>
  <c r="AH293" i="1"/>
  <c r="AI293" i="1"/>
  <c r="AA294" i="1"/>
  <c r="AB294" i="1"/>
  <c r="AC294" i="1"/>
  <c r="AD294" i="1"/>
  <c r="AE294" i="1"/>
  <c r="AF294" i="1"/>
  <c r="AG294" i="1"/>
  <c r="AH294" i="1"/>
  <c r="AI294" i="1"/>
  <c r="AA295" i="1"/>
  <c r="AB295" i="1"/>
  <c r="AC295" i="1"/>
  <c r="AD295" i="1"/>
  <c r="AE295" i="1"/>
  <c r="AF295" i="1"/>
  <c r="AG295" i="1"/>
  <c r="AH295" i="1"/>
  <c r="AI295" i="1"/>
  <c r="AA296" i="1"/>
  <c r="AB296" i="1"/>
  <c r="AC296" i="1"/>
  <c r="AD296" i="1"/>
  <c r="AE296" i="1"/>
  <c r="AF296" i="1"/>
  <c r="AG296" i="1"/>
  <c r="AH296" i="1"/>
  <c r="AI296" i="1"/>
  <c r="AA297" i="1"/>
  <c r="AB297" i="1"/>
  <c r="AC297" i="1"/>
  <c r="AD297" i="1"/>
  <c r="AE297" i="1"/>
  <c r="AF297" i="1"/>
  <c r="AG297" i="1"/>
  <c r="AH297" i="1"/>
  <c r="AI297" i="1"/>
  <c r="AA298" i="1"/>
  <c r="AB298" i="1"/>
  <c r="AC298" i="1"/>
  <c r="AD298" i="1"/>
  <c r="AE298" i="1"/>
  <c r="AF298" i="1"/>
  <c r="AG298" i="1"/>
  <c r="AH298" i="1"/>
  <c r="AI298" i="1"/>
  <c r="AA299" i="1"/>
  <c r="AB299" i="1"/>
  <c r="AC299" i="1"/>
  <c r="AD299" i="1"/>
  <c r="AE299" i="1"/>
  <c r="AF299" i="1"/>
  <c r="AG299" i="1"/>
  <c r="AH299" i="1"/>
  <c r="AI299" i="1"/>
  <c r="AA300" i="1"/>
  <c r="AB300" i="1"/>
  <c r="AC300" i="1"/>
  <c r="AD300" i="1"/>
  <c r="AE300" i="1"/>
  <c r="AF300" i="1"/>
  <c r="AG300" i="1"/>
  <c r="AH300" i="1"/>
  <c r="AI300" i="1"/>
  <c r="AA301" i="1"/>
  <c r="AB301" i="1"/>
  <c r="AC301" i="1"/>
  <c r="AD301" i="1"/>
  <c r="AE301" i="1"/>
  <c r="AF301" i="1"/>
  <c r="AG301" i="1"/>
  <c r="AH301" i="1"/>
  <c r="AI301" i="1"/>
  <c r="AA302" i="1"/>
  <c r="AB302" i="1"/>
  <c r="AC302" i="1"/>
  <c r="AD302" i="1"/>
  <c r="AE302" i="1"/>
  <c r="AF302" i="1"/>
  <c r="AG302" i="1"/>
  <c r="AH302" i="1"/>
  <c r="AI302" i="1"/>
  <c r="AA303" i="1"/>
  <c r="AB303" i="1"/>
  <c r="AC303" i="1"/>
  <c r="AD303" i="1"/>
  <c r="AE303" i="1"/>
  <c r="AF303" i="1"/>
  <c r="AG303" i="1"/>
  <c r="AH303" i="1"/>
  <c r="AI303" i="1"/>
  <c r="AA304" i="1"/>
  <c r="AB304" i="1"/>
  <c r="AC304" i="1"/>
  <c r="AD304" i="1"/>
  <c r="AE304" i="1"/>
  <c r="AF304" i="1"/>
  <c r="AG304" i="1"/>
  <c r="AH304" i="1"/>
  <c r="AI304" i="1"/>
  <c r="AA305" i="1"/>
  <c r="AB305" i="1"/>
  <c r="AC305" i="1"/>
  <c r="AD305" i="1"/>
  <c r="AE305" i="1"/>
  <c r="AF305" i="1"/>
  <c r="AG305" i="1"/>
  <c r="AH305" i="1"/>
  <c r="AI305" i="1"/>
  <c r="AA306" i="1"/>
  <c r="AB306" i="1"/>
  <c r="AC306" i="1"/>
  <c r="AD306" i="1"/>
  <c r="AE306" i="1"/>
  <c r="AF306" i="1"/>
  <c r="AG306" i="1"/>
  <c r="AH306" i="1"/>
  <c r="AI306" i="1"/>
  <c r="AA307" i="1"/>
  <c r="AB307" i="1"/>
  <c r="AC307" i="1"/>
  <c r="AD307" i="1"/>
  <c r="AE307" i="1"/>
  <c r="AF307" i="1"/>
  <c r="AG307" i="1"/>
  <c r="AH307" i="1"/>
  <c r="AI307" i="1"/>
  <c r="AA308" i="1"/>
  <c r="AB308" i="1"/>
  <c r="AC308" i="1"/>
  <c r="AD308" i="1"/>
  <c r="AE308" i="1"/>
  <c r="AF308" i="1"/>
  <c r="AG308" i="1"/>
  <c r="AH308" i="1"/>
  <c r="AI308" i="1"/>
  <c r="AA309" i="1"/>
  <c r="AB309" i="1"/>
  <c r="AC309" i="1"/>
  <c r="AD309" i="1"/>
  <c r="AE309" i="1"/>
  <c r="AF309" i="1"/>
  <c r="AG309" i="1"/>
  <c r="AH309" i="1"/>
  <c r="AI309" i="1"/>
  <c r="AA310" i="1"/>
  <c r="AB310" i="1"/>
  <c r="AC310" i="1"/>
  <c r="AD310" i="1"/>
  <c r="AE310" i="1"/>
  <c r="AF310" i="1"/>
  <c r="AG310" i="1"/>
  <c r="AH310" i="1"/>
  <c r="AI310" i="1"/>
  <c r="AA311" i="1"/>
  <c r="AB311" i="1"/>
  <c r="AC311" i="1"/>
  <c r="AD311" i="1"/>
  <c r="AE311" i="1"/>
  <c r="AF311" i="1"/>
  <c r="AG311" i="1"/>
  <c r="AH311" i="1"/>
  <c r="AI311" i="1"/>
  <c r="AA312" i="1"/>
  <c r="AB312" i="1"/>
  <c r="AC312" i="1"/>
  <c r="AD312" i="1"/>
  <c r="AE312" i="1"/>
  <c r="AF312" i="1"/>
  <c r="AG312" i="1"/>
  <c r="AH312" i="1"/>
  <c r="AI312" i="1"/>
  <c r="AA313" i="1"/>
  <c r="AB313" i="1"/>
  <c r="AC313" i="1"/>
  <c r="AD313" i="1"/>
  <c r="AE313" i="1"/>
  <c r="AF313" i="1"/>
  <c r="AG313" i="1"/>
  <c r="AH313" i="1"/>
  <c r="AI313" i="1"/>
  <c r="AA314" i="1"/>
  <c r="AB314" i="1"/>
  <c r="AC314" i="1"/>
  <c r="AD314" i="1"/>
  <c r="AE314" i="1"/>
  <c r="AF314" i="1"/>
  <c r="AG314" i="1"/>
  <c r="AH314" i="1"/>
  <c r="AI314" i="1"/>
  <c r="AA315" i="1"/>
  <c r="AB315" i="1"/>
  <c r="AC315" i="1"/>
  <c r="AD315" i="1"/>
  <c r="AE315" i="1"/>
  <c r="AF315" i="1"/>
  <c r="AG315" i="1"/>
  <c r="AH315" i="1"/>
  <c r="AI315" i="1"/>
  <c r="AA316" i="1"/>
  <c r="AB316" i="1"/>
  <c r="AC316" i="1"/>
  <c r="AD316" i="1"/>
  <c r="AE316" i="1"/>
  <c r="AF316" i="1"/>
  <c r="AG316" i="1"/>
  <c r="AH316" i="1"/>
  <c r="AI316" i="1"/>
  <c r="AA317" i="1"/>
  <c r="AB317" i="1"/>
  <c r="AC317" i="1"/>
  <c r="AD317" i="1"/>
  <c r="AE317" i="1"/>
  <c r="AF317" i="1"/>
  <c r="AG317" i="1"/>
  <c r="AH317" i="1"/>
  <c r="AI317" i="1"/>
  <c r="AA318" i="1"/>
  <c r="AB318" i="1"/>
  <c r="AC318" i="1"/>
  <c r="AD318" i="1"/>
  <c r="AE318" i="1"/>
  <c r="AF318" i="1"/>
  <c r="AG318" i="1"/>
  <c r="AH318" i="1"/>
  <c r="AI318" i="1"/>
  <c r="AA319" i="1"/>
  <c r="AB319" i="1"/>
  <c r="AC319" i="1"/>
  <c r="AD319" i="1"/>
  <c r="AE319" i="1"/>
  <c r="AF319" i="1"/>
  <c r="AG319" i="1"/>
  <c r="AH319" i="1"/>
  <c r="AI319" i="1"/>
  <c r="AA320" i="1"/>
  <c r="AB320" i="1"/>
  <c r="AC320" i="1"/>
  <c r="AD320" i="1"/>
  <c r="AE320" i="1"/>
  <c r="AF320" i="1"/>
  <c r="AG320" i="1"/>
  <c r="AH320" i="1"/>
  <c r="AI320" i="1"/>
  <c r="AA321" i="1"/>
  <c r="AB321" i="1"/>
  <c r="AC321" i="1"/>
  <c r="AD321" i="1"/>
  <c r="AE321" i="1"/>
  <c r="AF321" i="1"/>
  <c r="AG321" i="1"/>
  <c r="AH321" i="1"/>
  <c r="AI321" i="1"/>
  <c r="AA322" i="1"/>
  <c r="AB322" i="1"/>
  <c r="AC322" i="1"/>
  <c r="AD322" i="1"/>
  <c r="AE322" i="1"/>
  <c r="AF322" i="1"/>
  <c r="AG322" i="1"/>
  <c r="AH322" i="1"/>
  <c r="AI322" i="1"/>
  <c r="AA323" i="1"/>
  <c r="AB323" i="1"/>
  <c r="AC323" i="1"/>
  <c r="AD323" i="1"/>
  <c r="AE323" i="1"/>
  <c r="AF323" i="1"/>
  <c r="AG323" i="1"/>
  <c r="AH323" i="1"/>
  <c r="AI323" i="1"/>
  <c r="AA324" i="1"/>
  <c r="AB324" i="1"/>
  <c r="AC324" i="1"/>
  <c r="AD324" i="1"/>
  <c r="AE324" i="1"/>
  <c r="AF324" i="1"/>
  <c r="AG324" i="1"/>
  <c r="AH324" i="1"/>
  <c r="AI324" i="1"/>
  <c r="AA325" i="1"/>
  <c r="AB325" i="1"/>
  <c r="AC325" i="1"/>
  <c r="AD325" i="1"/>
  <c r="AE325" i="1"/>
  <c r="AF325" i="1"/>
  <c r="AG325" i="1"/>
  <c r="AH325" i="1"/>
  <c r="AI325" i="1"/>
  <c r="AA326" i="1"/>
  <c r="AB326" i="1"/>
  <c r="AC326" i="1"/>
  <c r="AD326" i="1"/>
  <c r="AE326" i="1"/>
  <c r="AF326" i="1"/>
  <c r="AG326" i="1"/>
  <c r="AH326" i="1"/>
  <c r="AI326" i="1"/>
  <c r="AA327" i="1"/>
  <c r="AB327" i="1"/>
  <c r="AC327" i="1"/>
  <c r="AD327" i="1"/>
  <c r="AE327" i="1"/>
  <c r="AF327" i="1"/>
  <c r="AG327" i="1"/>
  <c r="AH327" i="1"/>
  <c r="AI327" i="1"/>
  <c r="AA328" i="1"/>
  <c r="AB328" i="1"/>
  <c r="AC328" i="1"/>
  <c r="AD328" i="1"/>
  <c r="AE328" i="1"/>
  <c r="AF328" i="1"/>
  <c r="AG328" i="1"/>
  <c r="AH328" i="1"/>
  <c r="AI328" i="1"/>
  <c r="AA329" i="1"/>
  <c r="AB329" i="1"/>
  <c r="AC329" i="1"/>
  <c r="AD329" i="1"/>
  <c r="AE329" i="1"/>
  <c r="AF329" i="1"/>
  <c r="AG329" i="1"/>
  <c r="AH329" i="1"/>
  <c r="AI329" i="1"/>
  <c r="AA330" i="1"/>
  <c r="AB330" i="1"/>
  <c r="AC330" i="1"/>
  <c r="AD330" i="1"/>
  <c r="AE330" i="1"/>
  <c r="AF330" i="1"/>
  <c r="AG330" i="1"/>
  <c r="AH330" i="1"/>
  <c r="AI330" i="1"/>
  <c r="AA331" i="1"/>
  <c r="AB331" i="1"/>
  <c r="AC331" i="1"/>
  <c r="AD331" i="1"/>
  <c r="AE331" i="1"/>
  <c r="AF331" i="1"/>
  <c r="AG331" i="1"/>
  <c r="AH331" i="1"/>
  <c r="AI331" i="1"/>
  <c r="AA332" i="1"/>
  <c r="AB332" i="1"/>
  <c r="AC332" i="1"/>
  <c r="AD332" i="1"/>
  <c r="AE332" i="1"/>
  <c r="AF332" i="1"/>
  <c r="AG332" i="1"/>
  <c r="AH332" i="1"/>
  <c r="AI332" i="1"/>
  <c r="AA333" i="1"/>
  <c r="AB333" i="1"/>
  <c r="AC333" i="1"/>
  <c r="AD333" i="1"/>
  <c r="AE333" i="1"/>
  <c r="AF333" i="1"/>
  <c r="AG333" i="1"/>
  <c r="AH333" i="1"/>
  <c r="AI333" i="1"/>
  <c r="AA334" i="1"/>
  <c r="AB334" i="1"/>
  <c r="AC334" i="1"/>
  <c r="AD334" i="1"/>
  <c r="AE334" i="1"/>
  <c r="AF334" i="1"/>
  <c r="AG334" i="1"/>
  <c r="AH334" i="1"/>
  <c r="AI334" i="1"/>
  <c r="AA335" i="1"/>
  <c r="AB335" i="1"/>
  <c r="AC335" i="1"/>
  <c r="AD335" i="1"/>
  <c r="AE335" i="1"/>
  <c r="AF335" i="1"/>
  <c r="AG335" i="1"/>
  <c r="AH335" i="1"/>
  <c r="AI335" i="1"/>
  <c r="AA336" i="1"/>
  <c r="AB336" i="1"/>
  <c r="AC336" i="1"/>
  <c r="AD336" i="1"/>
  <c r="AE336" i="1"/>
  <c r="AF336" i="1"/>
  <c r="AG336" i="1"/>
  <c r="AH336" i="1"/>
  <c r="AI336" i="1"/>
  <c r="AA337" i="1"/>
  <c r="AB337" i="1"/>
  <c r="AC337" i="1"/>
  <c r="AD337" i="1"/>
  <c r="AE337" i="1"/>
  <c r="AF337" i="1"/>
  <c r="AG337" i="1"/>
  <c r="AH337" i="1"/>
  <c r="AI337" i="1"/>
  <c r="AA338" i="1"/>
  <c r="AB338" i="1"/>
  <c r="AC338" i="1"/>
  <c r="AD338" i="1"/>
  <c r="AE338" i="1"/>
  <c r="AF338" i="1"/>
  <c r="AG338" i="1"/>
  <c r="AH338" i="1"/>
  <c r="AI338" i="1"/>
  <c r="AA339" i="1"/>
  <c r="AB339" i="1"/>
  <c r="AC339" i="1"/>
  <c r="AD339" i="1"/>
  <c r="AE339" i="1"/>
  <c r="AF339" i="1"/>
  <c r="AG339" i="1"/>
  <c r="AH339" i="1"/>
  <c r="AI339" i="1"/>
  <c r="AA340" i="1"/>
  <c r="AB340" i="1"/>
  <c r="AC340" i="1"/>
  <c r="AD340" i="1"/>
  <c r="AE340" i="1"/>
  <c r="AF340" i="1"/>
  <c r="AG340" i="1"/>
  <c r="AH340" i="1"/>
  <c r="AI340" i="1"/>
  <c r="AA341" i="1"/>
  <c r="AB341" i="1"/>
  <c r="AC341" i="1"/>
  <c r="AD341" i="1"/>
  <c r="AE341" i="1"/>
  <c r="AF341" i="1"/>
  <c r="AG341" i="1"/>
  <c r="AH341" i="1"/>
  <c r="AI341" i="1"/>
  <c r="AA342" i="1"/>
  <c r="AB342" i="1"/>
  <c r="AC342" i="1"/>
  <c r="AD342" i="1"/>
  <c r="AE342" i="1"/>
  <c r="AF342" i="1"/>
  <c r="AG342" i="1"/>
  <c r="AH342" i="1"/>
  <c r="AI342" i="1"/>
  <c r="AA343" i="1"/>
  <c r="AB343" i="1"/>
  <c r="AC343" i="1"/>
  <c r="AD343" i="1"/>
  <c r="AE343" i="1"/>
  <c r="AF343" i="1"/>
  <c r="AG343" i="1"/>
  <c r="AH343" i="1"/>
  <c r="AI343" i="1"/>
  <c r="AA344" i="1"/>
  <c r="AB344" i="1"/>
  <c r="AC344" i="1"/>
  <c r="AD344" i="1"/>
  <c r="AE344" i="1"/>
  <c r="AF344" i="1"/>
  <c r="AG344" i="1"/>
  <c r="AH344" i="1"/>
  <c r="AI344" i="1"/>
  <c r="AA345" i="1"/>
  <c r="AB345" i="1"/>
  <c r="AC345" i="1"/>
  <c r="AD345" i="1"/>
  <c r="AE345" i="1"/>
  <c r="AF345" i="1"/>
  <c r="AG345" i="1"/>
  <c r="AH345" i="1"/>
  <c r="AI345" i="1"/>
  <c r="AA346" i="1"/>
  <c r="AB346" i="1"/>
  <c r="AC346" i="1"/>
  <c r="AD346" i="1"/>
  <c r="AE346" i="1"/>
  <c r="AF346" i="1"/>
  <c r="AG346" i="1"/>
  <c r="AH346" i="1"/>
  <c r="AI346" i="1"/>
  <c r="AA347" i="1"/>
  <c r="AB347" i="1"/>
  <c r="AC347" i="1"/>
  <c r="AD347" i="1"/>
  <c r="AE347" i="1"/>
  <c r="AF347" i="1"/>
  <c r="AG347" i="1"/>
  <c r="AH347" i="1"/>
  <c r="AI347" i="1"/>
  <c r="AA348" i="1"/>
  <c r="AB348" i="1"/>
  <c r="AC348" i="1"/>
  <c r="AD348" i="1"/>
  <c r="AE348" i="1"/>
  <c r="AF348" i="1"/>
  <c r="AG348" i="1"/>
  <c r="AH348" i="1"/>
  <c r="AI348" i="1"/>
  <c r="AA349" i="1"/>
  <c r="AB349" i="1"/>
  <c r="AC349" i="1"/>
  <c r="AD349" i="1"/>
  <c r="AE349" i="1"/>
  <c r="AF349" i="1"/>
  <c r="AG349" i="1"/>
  <c r="AH349" i="1"/>
  <c r="AI349" i="1"/>
  <c r="AA350" i="1"/>
  <c r="AB350" i="1"/>
  <c r="AC350" i="1"/>
  <c r="AD350" i="1"/>
  <c r="AE350" i="1"/>
  <c r="AF350" i="1"/>
  <c r="AG350" i="1"/>
  <c r="AH350" i="1"/>
  <c r="AI350" i="1"/>
  <c r="AA351" i="1"/>
  <c r="AB351" i="1"/>
  <c r="AC351" i="1"/>
  <c r="AD351" i="1"/>
  <c r="AE351" i="1"/>
  <c r="AF351" i="1"/>
  <c r="AG351" i="1"/>
  <c r="AH351" i="1"/>
  <c r="AI351" i="1"/>
  <c r="AA352" i="1"/>
  <c r="AB352" i="1"/>
  <c r="AC352" i="1"/>
  <c r="AD352" i="1"/>
  <c r="AE352" i="1"/>
  <c r="AF352" i="1"/>
  <c r="AG352" i="1"/>
  <c r="AH352" i="1"/>
  <c r="AI352" i="1"/>
  <c r="AA353" i="1"/>
  <c r="AB353" i="1"/>
  <c r="AC353" i="1"/>
  <c r="AD353" i="1"/>
  <c r="AE353" i="1"/>
  <c r="AF353" i="1"/>
  <c r="AG353" i="1"/>
  <c r="AH353" i="1"/>
  <c r="AI353" i="1"/>
  <c r="AA354" i="1"/>
  <c r="AB354" i="1"/>
  <c r="AC354" i="1"/>
  <c r="AD354" i="1"/>
  <c r="AE354" i="1"/>
  <c r="AF354" i="1"/>
  <c r="AG354" i="1"/>
  <c r="AH354" i="1"/>
  <c r="AI354" i="1"/>
  <c r="AA355" i="1"/>
  <c r="AB355" i="1"/>
  <c r="AC355" i="1"/>
  <c r="AD355" i="1"/>
  <c r="AE355" i="1"/>
  <c r="AF355" i="1"/>
  <c r="AG355" i="1"/>
  <c r="AH355" i="1"/>
  <c r="AI355" i="1"/>
  <c r="AA356" i="1"/>
  <c r="AB356" i="1"/>
  <c r="AC356" i="1"/>
  <c r="AD356" i="1"/>
  <c r="AE356" i="1"/>
  <c r="AF356" i="1"/>
  <c r="AG356" i="1"/>
  <c r="AH356" i="1"/>
  <c r="AI356" i="1"/>
  <c r="AA357" i="1"/>
  <c r="AB357" i="1"/>
  <c r="AC357" i="1"/>
  <c r="AD357" i="1"/>
  <c r="AE357" i="1"/>
  <c r="AF357" i="1"/>
  <c r="AG357" i="1"/>
  <c r="AH357" i="1"/>
  <c r="AI357" i="1"/>
  <c r="AA358" i="1"/>
  <c r="AB358" i="1"/>
  <c r="AC358" i="1"/>
  <c r="AD358" i="1"/>
  <c r="AE358" i="1"/>
  <c r="AF358" i="1"/>
  <c r="AG358" i="1"/>
  <c r="AH358" i="1"/>
  <c r="AI358" i="1"/>
  <c r="AA359" i="1"/>
  <c r="AB359" i="1"/>
  <c r="AC359" i="1"/>
  <c r="AD359" i="1"/>
  <c r="AE359" i="1"/>
  <c r="AF359" i="1"/>
  <c r="AG359" i="1"/>
  <c r="AH359" i="1"/>
  <c r="AI359" i="1"/>
  <c r="AA360" i="1"/>
  <c r="AB360" i="1"/>
  <c r="AC360" i="1"/>
  <c r="AD360" i="1"/>
  <c r="AE360" i="1"/>
  <c r="AF360" i="1"/>
  <c r="AG360" i="1"/>
  <c r="AH360" i="1"/>
  <c r="AI360" i="1"/>
  <c r="AA361" i="1"/>
  <c r="AB361" i="1"/>
  <c r="AC361" i="1"/>
  <c r="AD361" i="1"/>
  <c r="AE361" i="1"/>
  <c r="AF361" i="1"/>
  <c r="AG361" i="1"/>
  <c r="AH361" i="1"/>
  <c r="AI361" i="1"/>
  <c r="AA362" i="1"/>
  <c r="AB362" i="1"/>
  <c r="AC362" i="1"/>
  <c r="AD362" i="1"/>
  <c r="AE362" i="1"/>
  <c r="AF362" i="1"/>
  <c r="AG362" i="1"/>
  <c r="AH362" i="1"/>
  <c r="AI362" i="1"/>
  <c r="AA363" i="1"/>
  <c r="AB363" i="1"/>
  <c r="AC363" i="1"/>
  <c r="AD363" i="1"/>
  <c r="AE363" i="1"/>
  <c r="AF363" i="1"/>
  <c r="AG363" i="1"/>
  <c r="AH363" i="1"/>
  <c r="AI363" i="1"/>
  <c r="AA364" i="1"/>
  <c r="AB364" i="1"/>
  <c r="AC364" i="1"/>
  <c r="AD364" i="1"/>
  <c r="AE364" i="1"/>
  <c r="AF364" i="1"/>
  <c r="AG364" i="1"/>
  <c r="AH364" i="1"/>
  <c r="AI364" i="1"/>
  <c r="AA365" i="1"/>
  <c r="AB365" i="1"/>
  <c r="AC365" i="1"/>
  <c r="AD365" i="1"/>
  <c r="AE365" i="1"/>
  <c r="AF365" i="1"/>
  <c r="AG365" i="1"/>
  <c r="AH365" i="1"/>
  <c r="AI365" i="1"/>
  <c r="AA366" i="1"/>
  <c r="AB366" i="1"/>
  <c r="AC366" i="1"/>
  <c r="AD366" i="1"/>
  <c r="AE366" i="1"/>
  <c r="AF366" i="1"/>
  <c r="AG366" i="1"/>
  <c r="AH366" i="1"/>
  <c r="AI366" i="1"/>
  <c r="AA367" i="1"/>
  <c r="AB367" i="1"/>
  <c r="AC367" i="1"/>
  <c r="AD367" i="1"/>
  <c r="AE367" i="1"/>
  <c r="AF367" i="1"/>
  <c r="AG367" i="1"/>
  <c r="AH367" i="1"/>
  <c r="AI367" i="1"/>
  <c r="AA368" i="1"/>
  <c r="AB368" i="1"/>
  <c r="AC368" i="1"/>
  <c r="AD368" i="1"/>
  <c r="AE368" i="1"/>
  <c r="AF368" i="1"/>
  <c r="AG368" i="1"/>
  <c r="AH368" i="1"/>
  <c r="AI368" i="1"/>
  <c r="AA369" i="1"/>
  <c r="AB369" i="1"/>
  <c r="AC369" i="1"/>
  <c r="AD369" i="1"/>
  <c r="AE369" i="1"/>
  <c r="AF369" i="1"/>
  <c r="AG369" i="1"/>
  <c r="AH369" i="1"/>
  <c r="AI369" i="1"/>
  <c r="AA370" i="1"/>
  <c r="AB370" i="1"/>
  <c r="AC370" i="1"/>
  <c r="AD370" i="1"/>
  <c r="AE370" i="1"/>
  <c r="AF370" i="1"/>
  <c r="AG370" i="1"/>
  <c r="AH370" i="1"/>
  <c r="AI370" i="1"/>
  <c r="AA371" i="1"/>
  <c r="AB371" i="1"/>
  <c r="AC371" i="1"/>
  <c r="AD371" i="1"/>
  <c r="AE371" i="1"/>
  <c r="AF371" i="1"/>
  <c r="AG371" i="1"/>
  <c r="AH371" i="1"/>
  <c r="AI371" i="1"/>
  <c r="AA372" i="1"/>
  <c r="AB372" i="1"/>
  <c r="AC372" i="1"/>
  <c r="AD372" i="1"/>
  <c r="AE372" i="1"/>
  <c r="AF372" i="1"/>
  <c r="AG372" i="1"/>
  <c r="AH372" i="1"/>
  <c r="AI372" i="1"/>
  <c r="AA373" i="1"/>
  <c r="AB373" i="1"/>
  <c r="AC373" i="1"/>
  <c r="AD373" i="1"/>
  <c r="AE373" i="1"/>
  <c r="AF373" i="1"/>
  <c r="AG373" i="1"/>
  <c r="AH373" i="1"/>
  <c r="AI373" i="1"/>
  <c r="AA374" i="1"/>
  <c r="AB374" i="1"/>
  <c r="AC374" i="1"/>
  <c r="AD374" i="1"/>
  <c r="AE374" i="1"/>
  <c r="AF374" i="1"/>
  <c r="AG374" i="1"/>
  <c r="AH374" i="1"/>
  <c r="AI374" i="1"/>
  <c r="AA375" i="1"/>
  <c r="AB375" i="1"/>
  <c r="AC375" i="1"/>
  <c r="AD375" i="1"/>
  <c r="AE375" i="1"/>
  <c r="AF375" i="1"/>
  <c r="AG375" i="1"/>
  <c r="AH375" i="1"/>
  <c r="AI375" i="1"/>
  <c r="AA376" i="1"/>
  <c r="AB376" i="1"/>
  <c r="AC376" i="1"/>
  <c r="AD376" i="1"/>
  <c r="AE376" i="1"/>
  <c r="AF376" i="1"/>
  <c r="AG376" i="1"/>
  <c r="AH376" i="1"/>
  <c r="AI376" i="1"/>
  <c r="AA377" i="1"/>
  <c r="AB377" i="1"/>
  <c r="AC377" i="1"/>
  <c r="AD377" i="1"/>
  <c r="AE377" i="1"/>
  <c r="AF377" i="1"/>
  <c r="AG377" i="1"/>
  <c r="AH377" i="1"/>
  <c r="AI377" i="1"/>
  <c r="AA378" i="1"/>
  <c r="AB378" i="1"/>
  <c r="AC378" i="1"/>
  <c r="AD378" i="1"/>
  <c r="AE378" i="1"/>
  <c r="AF378" i="1"/>
  <c r="AG378" i="1"/>
  <c r="AH378" i="1"/>
  <c r="AI378" i="1"/>
  <c r="AA379" i="1"/>
  <c r="AB379" i="1"/>
  <c r="AC379" i="1"/>
  <c r="AD379" i="1"/>
  <c r="AE379" i="1"/>
  <c r="AF379" i="1"/>
  <c r="AG379" i="1"/>
  <c r="AH379" i="1"/>
  <c r="AI379" i="1"/>
  <c r="AA380" i="1"/>
  <c r="AB380" i="1"/>
  <c r="AC380" i="1"/>
  <c r="AD380" i="1"/>
  <c r="AE380" i="1"/>
  <c r="AF380" i="1"/>
  <c r="AG380" i="1"/>
  <c r="AH380" i="1"/>
  <c r="AI380" i="1"/>
  <c r="AA381" i="1"/>
  <c r="AB381" i="1"/>
  <c r="AC381" i="1"/>
  <c r="AD381" i="1"/>
  <c r="AE381" i="1"/>
  <c r="AF381" i="1"/>
  <c r="AG381" i="1"/>
  <c r="AH381" i="1"/>
  <c r="AI381" i="1"/>
  <c r="AA382" i="1"/>
  <c r="AB382" i="1"/>
  <c r="AC382" i="1"/>
  <c r="AD382" i="1"/>
  <c r="AE382" i="1"/>
  <c r="AF382" i="1"/>
  <c r="AG382" i="1"/>
  <c r="AH382" i="1"/>
  <c r="AI382" i="1"/>
  <c r="AA383" i="1"/>
  <c r="AB383" i="1"/>
  <c r="AC383" i="1"/>
  <c r="AD383" i="1"/>
  <c r="AE383" i="1"/>
  <c r="AF383" i="1"/>
  <c r="AG383" i="1"/>
  <c r="AH383" i="1"/>
  <c r="AI383" i="1"/>
  <c r="AA384" i="1"/>
  <c r="AB384" i="1"/>
  <c r="AC384" i="1"/>
  <c r="AD384" i="1"/>
  <c r="AE384" i="1"/>
  <c r="AF384" i="1"/>
  <c r="AG384" i="1"/>
  <c r="AH384" i="1"/>
  <c r="AI384" i="1"/>
  <c r="AA385" i="1"/>
  <c r="AB385" i="1"/>
  <c r="AC385" i="1"/>
  <c r="AD385" i="1"/>
  <c r="AE385" i="1"/>
  <c r="AF385" i="1"/>
  <c r="AG385" i="1"/>
  <c r="AH385" i="1"/>
  <c r="AI385" i="1"/>
  <c r="AA386" i="1"/>
  <c r="AB386" i="1"/>
  <c r="AC386" i="1"/>
  <c r="AD386" i="1"/>
  <c r="AE386" i="1"/>
  <c r="AF386" i="1"/>
  <c r="AG386" i="1"/>
  <c r="AH386" i="1"/>
  <c r="AI386" i="1"/>
  <c r="AA387" i="1"/>
  <c r="AB387" i="1"/>
  <c r="AC387" i="1"/>
  <c r="AD387" i="1"/>
  <c r="AE387" i="1"/>
  <c r="AF387" i="1"/>
  <c r="AG387" i="1"/>
  <c r="AH387" i="1"/>
  <c r="AI387" i="1"/>
  <c r="AA388" i="1"/>
  <c r="AB388" i="1"/>
  <c r="AC388" i="1"/>
  <c r="AD388" i="1"/>
  <c r="AE388" i="1"/>
  <c r="AF388" i="1"/>
  <c r="AG388" i="1"/>
  <c r="AH388" i="1"/>
  <c r="AI388" i="1"/>
  <c r="AA389" i="1"/>
  <c r="AB389" i="1"/>
  <c r="AC389" i="1"/>
  <c r="AD389" i="1"/>
  <c r="AE389" i="1"/>
  <c r="AF389" i="1"/>
  <c r="AG389" i="1"/>
  <c r="AH389" i="1"/>
  <c r="AI389" i="1"/>
  <c r="AA390" i="1"/>
  <c r="AB390" i="1"/>
  <c r="AC390" i="1"/>
  <c r="AD390" i="1"/>
  <c r="AE390" i="1"/>
  <c r="AF390" i="1"/>
  <c r="AG390" i="1"/>
  <c r="AH390" i="1"/>
  <c r="AI390" i="1"/>
  <c r="AA391" i="1"/>
  <c r="AB391" i="1"/>
  <c r="AC391" i="1"/>
  <c r="AD391" i="1"/>
  <c r="AE391" i="1"/>
  <c r="AF391" i="1"/>
  <c r="AG391" i="1"/>
  <c r="AH391" i="1"/>
  <c r="AI391" i="1"/>
  <c r="AA392" i="1"/>
  <c r="AB392" i="1"/>
  <c r="AC392" i="1"/>
  <c r="AD392" i="1"/>
  <c r="AE392" i="1"/>
  <c r="AF392" i="1"/>
  <c r="AG392" i="1"/>
  <c r="AH392" i="1"/>
  <c r="AI392" i="1"/>
  <c r="AA393" i="1"/>
  <c r="AB393" i="1"/>
  <c r="AC393" i="1"/>
  <c r="AD393" i="1"/>
  <c r="AE393" i="1"/>
  <c r="AF393" i="1"/>
  <c r="AG393" i="1"/>
  <c r="AH393" i="1"/>
  <c r="AI393" i="1"/>
  <c r="AA394" i="1"/>
  <c r="AB394" i="1"/>
  <c r="AC394" i="1"/>
  <c r="AD394" i="1"/>
  <c r="AE394" i="1"/>
  <c r="AF394" i="1"/>
  <c r="AG394" i="1"/>
  <c r="AH394" i="1"/>
  <c r="AI394" i="1"/>
  <c r="AA395" i="1"/>
  <c r="AB395" i="1"/>
  <c r="AC395" i="1"/>
  <c r="AD395" i="1"/>
  <c r="AE395" i="1"/>
  <c r="AF395" i="1"/>
  <c r="AG395" i="1"/>
  <c r="AH395" i="1"/>
  <c r="AI395" i="1"/>
  <c r="AA396" i="1"/>
  <c r="AB396" i="1"/>
  <c r="AC396" i="1"/>
  <c r="AD396" i="1"/>
  <c r="AE396" i="1"/>
  <c r="AF396" i="1"/>
  <c r="AG396" i="1"/>
  <c r="AH396" i="1"/>
  <c r="AI396" i="1"/>
  <c r="AA397" i="1"/>
  <c r="AB397" i="1"/>
  <c r="AC397" i="1"/>
  <c r="AD397" i="1"/>
  <c r="AE397" i="1"/>
  <c r="AF397" i="1"/>
  <c r="AG397" i="1"/>
  <c r="AH397" i="1"/>
  <c r="AI397" i="1"/>
  <c r="AA398" i="1"/>
  <c r="AB398" i="1"/>
  <c r="AC398" i="1"/>
  <c r="AD398" i="1"/>
  <c r="AE398" i="1"/>
  <c r="AF398" i="1"/>
  <c r="AG398" i="1"/>
  <c r="AH398" i="1"/>
  <c r="AI398" i="1"/>
  <c r="AA399" i="1"/>
  <c r="AB399" i="1"/>
  <c r="AC399" i="1"/>
  <c r="AD399" i="1"/>
  <c r="AE399" i="1"/>
  <c r="AF399" i="1"/>
  <c r="AG399" i="1"/>
  <c r="AH399" i="1"/>
  <c r="AI399" i="1"/>
  <c r="AA400" i="1"/>
  <c r="AB400" i="1"/>
  <c r="AC400" i="1"/>
  <c r="AD400" i="1"/>
  <c r="AE400" i="1"/>
  <c r="AF400" i="1"/>
  <c r="AG400" i="1"/>
  <c r="AH400" i="1"/>
  <c r="AI400" i="1"/>
  <c r="AA401" i="1"/>
  <c r="AB401" i="1"/>
  <c r="AC401" i="1"/>
  <c r="AD401" i="1"/>
  <c r="AE401" i="1"/>
  <c r="AF401" i="1"/>
  <c r="AG401" i="1"/>
  <c r="AH401" i="1"/>
  <c r="AI401" i="1"/>
  <c r="AA402" i="1"/>
  <c r="AB402" i="1"/>
  <c r="AC402" i="1"/>
  <c r="AD402" i="1"/>
  <c r="AE402" i="1"/>
  <c r="AF402" i="1"/>
  <c r="AG402" i="1"/>
  <c r="AH402" i="1"/>
  <c r="AI402" i="1"/>
  <c r="AA403" i="1"/>
  <c r="AB403" i="1"/>
  <c r="AC403" i="1"/>
  <c r="AD403" i="1"/>
  <c r="AE403" i="1"/>
  <c r="AF403" i="1"/>
  <c r="AG403" i="1"/>
  <c r="AH403" i="1"/>
  <c r="AI403" i="1"/>
  <c r="AA404" i="1"/>
  <c r="AB404" i="1"/>
  <c r="AC404" i="1"/>
  <c r="AD404" i="1"/>
  <c r="AE404" i="1"/>
  <c r="AF404" i="1"/>
  <c r="AG404" i="1"/>
  <c r="AH404" i="1"/>
  <c r="AI404" i="1"/>
  <c r="AA405" i="1"/>
  <c r="AB405" i="1"/>
  <c r="AC405" i="1"/>
  <c r="AD405" i="1"/>
  <c r="AE405" i="1"/>
  <c r="AF405" i="1"/>
  <c r="AG405" i="1"/>
  <c r="AH405" i="1"/>
  <c r="AI405" i="1"/>
  <c r="AA406" i="1"/>
  <c r="AB406" i="1"/>
  <c r="AC406" i="1"/>
  <c r="AD406" i="1"/>
  <c r="AE406" i="1"/>
  <c r="AF406" i="1"/>
  <c r="AG406" i="1"/>
  <c r="AH406" i="1"/>
  <c r="AI406" i="1"/>
  <c r="AA407" i="1"/>
  <c r="AB407" i="1"/>
  <c r="AC407" i="1"/>
  <c r="AD407" i="1"/>
  <c r="AE407" i="1"/>
  <c r="AF407" i="1"/>
  <c r="AG407" i="1"/>
  <c r="AH407" i="1"/>
  <c r="AI407" i="1"/>
  <c r="AA408" i="1"/>
  <c r="AB408" i="1"/>
  <c r="AC408" i="1"/>
  <c r="AD408" i="1"/>
  <c r="AE408" i="1"/>
  <c r="AF408" i="1"/>
  <c r="AG408" i="1"/>
  <c r="AH408" i="1"/>
  <c r="AI408" i="1"/>
  <c r="AA409" i="1"/>
  <c r="AB409" i="1"/>
  <c r="AC409" i="1"/>
  <c r="AD409" i="1"/>
  <c r="AE409" i="1"/>
  <c r="AF409" i="1"/>
  <c r="AG409" i="1"/>
  <c r="AH409" i="1"/>
  <c r="AI409" i="1"/>
  <c r="AA410" i="1"/>
  <c r="AB410" i="1"/>
  <c r="AC410" i="1"/>
  <c r="AD410" i="1"/>
  <c r="AE410" i="1"/>
  <c r="AF410" i="1"/>
  <c r="AG410" i="1"/>
  <c r="AH410" i="1"/>
  <c r="AI410" i="1"/>
  <c r="AA411" i="1"/>
  <c r="AB411" i="1"/>
  <c r="AC411" i="1"/>
  <c r="AD411" i="1"/>
  <c r="AE411" i="1"/>
  <c r="AF411" i="1"/>
  <c r="AG411" i="1"/>
  <c r="AH411" i="1"/>
  <c r="AI411" i="1"/>
  <c r="AA412" i="1"/>
  <c r="AB412" i="1"/>
  <c r="AC412" i="1"/>
  <c r="AD412" i="1"/>
  <c r="AE412" i="1"/>
  <c r="AF412" i="1"/>
  <c r="AG412" i="1"/>
  <c r="AH412" i="1"/>
  <c r="AI412" i="1"/>
  <c r="AA413" i="1"/>
  <c r="AB413" i="1"/>
  <c r="AC413" i="1"/>
  <c r="AD413" i="1"/>
  <c r="AE413" i="1"/>
  <c r="AF413" i="1"/>
  <c r="AG413" i="1"/>
  <c r="AH413" i="1"/>
  <c r="AI413" i="1"/>
  <c r="AA414" i="1"/>
  <c r="AB414" i="1"/>
  <c r="AC414" i="1"/>
  <c r="AD414" i="1"/>
  <c r="AE414" i="1"/>
  <c r="AF414" i="1"/>
  <c r="AG414" i="1"/>
  <c r="AH414" i="1"/>
  <c r="AI414" i="1"/>
  <c r="AA415" i="1"/>
  <c r="AB415" i="1"/>
  <c r="AC415" i="1"/>
  <c r="AD415" i="1"/>
  <c r="AE415" i="1"/>
  <c r="AF415" i="1"/>
  <c r="AG415" i="1"/>
  <c r="AH415" i="1"/>
  <c r="AI415" i="1"/>
  <c r="AA416" i="1"/>
  <c r="AB416" i="1"/>
  <c r="AC416" i="1"/>
  <c r="AD416" i="1"/>
  <c r="AE416" i="1"/>
  <c r="AF416" i="1"/>
  <c r="AG416" i="1"/>
  <c r="AH416" i="1"/>
  <c r="AI416" i="1"/>
  <c r="AA417" i="1"/>
  <c r="AB417" i="1"/>
  <c r="AC417" i="1"/>
  <c r="AD417" i="1"/>
  <c r="AE417" i="1"/>
  <c r="AF417" i="1"/>
  <c r="AG417" i="1"/>
  <c r="AH417" i="1"/>
  <c r="AI417" i="1"/>
  <c r="AA418" i="1"/>
  <c r="AB418" i="1"/>
  <c r="AC418" i="1"/>
  <c r="AD418" i="1"/>
  <c r="AE418" i="1"/>
  <c r="AF418" i="1"/>
  <c r="AG418" i="1"/>
  <c r="AH418" i="1"/>
  <c r="AI418" i="1"/>
  <c r="AA419" i="1"/>
  <c r="AB419" i="1"/>
  <c r="AC419" i="1"/>
  <c r="AD419" i="1"/>
  <c r="AE419" i="1"/>
  <c r="AF419" i="1"/>
  <c r="AG419" i="1"/>
  <c r="AH419" i="1"/>
  <c r="AI419" i="1"/>
  <c r="AA420" i="1"/>
  <c r="AB420" i="1"/>
  <c r="AC420" i="1"/>
  <c r="AD420" i="1"/>
  <c r="AE420" i="1"/>
  <c r="AF420" i="1"/>
  <c r="AG420" i="1"/>
  <c r="AH420" i="1"/>
  <c r="AI420" i="1"/>
  <c r="AA421" i="1"/>
  <c r="AB421" i="1"/>
  <c r="AC421" i="1"/>
  <c r="AD421" i="1"/>
  <c r="AE421" i="1"/>
  <c r="AF421" i="1"/>
  <c r="AG421" i="1"/>
  <c r="AH421" i="1"/>
  <c r="AI421" i="1"/>
  <c r="AA422" i="1"/>
  <c r="AB422" i="1"/>
  <c r="AC422" i="1"/>
  <c r="AD422" i="1"/>
  <c r="AE422" i="1"/>
  <c r="AF422" i="1"/>
  <c r="AG422" i="1"/>
  <c r="AH422" i="1"/>
  <c r="AI422" i="1"/>
  <c r="AA423" i="1"/>
  <c r="AB423" i="1"/>
  <c r="AC423" i="1"/>
  <c r="AD423" i="1"/>
  <c r="AE423" i="1"/>
  <c r="AF423" i="1"/>
  <c r="AG423" i="1"/>
  <c r="AH423" i="1"/>
  <c r="AI423" i="1"/>
  <c r="AA424" i="1"/>
  <c r="AB424" i="1"/>
  <c r="AC424" i="1"/>
  <c r="AD424" i="1"/>
  <c r="AE424" i="1"/>
  <c r="AF424" i="1"/>
  <c r="AG424" i="1"/>
  <c r="AH424" i="1"/>
  <c r="AI424" i="1"/>
  <c r="AA425" i="1"/>
  <c r="AB425" i="1"/>
  <c r="AC425" i="1"/>
  <c r="AD425" i="1"/>
  <c r="AE425" i="1"/>
  <c r="AF425" i="1"/>
  <c r="AG425" i="1"/>
  <c r="AH425" i="1"/>
  <c r="AI425" i="1"/>
  <c r="AA426" i="1"/>
  <c r="AB426" i="1"/>
  <c r="AC426" i="1"/>
  <c r="AD426" i="1"/>
  <c r="AE426" i="1"/>
  <c r="AF426" i="1"/>
  <c r="AG426" i="1"/>
  <c r="AH426" i="1"/>
  <c r="AI426" i="1"/>
  <c r="AA427" i="1"/>
  <c r="AB427" i="1"/>
  <c r="AC427" i="1"/>
  <c r="AD427" i="1"/>
  <c r="AE427" i="1"/>
  <c r="AF427" i="1"/>
  <c r="AG427" i="1"/>
  <c r="AH427" i="1"/>
  <c r="AI427" i="1"/>
  <c r="AA428" i="1"/>
  <c r="AB428" i="1"/>
  <c r="AC428" i="1"/>
  <c r="AD428" i="1"/>
  <c r="AE428" i="1"/>
  <c r="AF428" i="1"/>
  <c r="AG428" i="1"/>
  <c r="AH428" i="1"/>
  <c r="AI428" i="1"/>
  <c r="AA429" i="1"/>
  <c r="AB429" i="1"/>
  <c r="AC429" i="1"/>
  <c r="AD429" i="1"/>
  <c r="AE429" i="1"/>
  <c r="AF429" i="1"/>
  <c r="AG429" i="1"/>
  <c r="AH429" i="1"/>
  <c r="AI429" i="1"/>
  <c r="AA430" i="1"/>
  <c r="AB430" i="1"/>
  <c r="AC430" i="1"/>
  <c r="AD430" i="1"/>
  <c r="AE430" i="1"/>
  <c r="AF430" i="1"/>
  <c r="AG430" i="1"/>
  <c r="AH430" i="1"/>
  <c r="AI430" i="1"/>
  <c r="AA431" i="1"/>
  <c r="AB431" i="1"/>
  <c r="AC431" i="1"/>
  <c r="AD431" i="1"/>
  <c r="AE431" i="1"/>
  <c r="AF431" i="1"/>
  <c r="AG431" i="1"/>
  <c r="AH431" i="1"/>
  <c r="AI431" i="1"/>
  <c r="AA432" i="1"/>
  <c r="AB432" i="1"/>
  <c r="AC432" i="1"/>
  <c r="AD432" i="1"/>
  <c r="AE432" i="1"/>
  <c r="AF432" i="1"/>
  <c r="AG432" i="1"/>
  <c r="AH432" i="1"/>
  <c r="AI432" i="1"/>
  <c r="AA433" i="1"/>
  <c r="AB433" i="1"/>
  <c r="AC433" i="1"/>
  <c r="AD433" i="1"/>
  <c r="AE433" i="1"/>
  <c r="AF433" i="1"/>
  <c r="AG433" i="1"/>
  <c r="AH433" i="1"/>
  <c r="AI433" i="1"/>
  <c r="AA434" i="1"/>
  <c r="AB434" i="1"/>
  <c r="AC434" i="1"/>
  <c r="AD434" i="1"/>
  <c r="AE434" i="1"/>
  <c r="AF434" i="1"/>
  <c r="AG434" i="1"/>
  <c r="AH434" i="1"/>
  <c r="AI434" i="1"/>
  <c r="AA435" i="1"/>
  <c r="AB435" i="1"/>
  <c r="AC435" i="1"/>
  <c r="AD435" i="1"/>
  <c r="AE435" i="1"/>
  <c r="AF435" i="1"/>
  <c r="AG435" i="1"/>
  <c r="AH435" i="1"/>
  <c r="AI435" i="1"/>
  <c r="AA436" i="1"/>
  <c r="AB436" i="1"/>
  <c r="AC436" i="1"/>
  <c r="AD436" i="1"/>
  <c r="AE436" i="1"/>
  <c r="AF436" i="1"/>
  <c r="AG436" i="1"/>
  <c r="AH436" i="1"/>
  <c r="AI436" i="1"/>
  <c r="AA437" i="1"/>
  <c r="AB437" i="1"/>
  <c r="AC437" i="1"/>
  <c r="AD437" i="1"/>
  <c r="AE437" i="1"/>
  <c r="AF437" i="1"/>
  <c r="AG437" i="1"/>
  <c r="AH437" i="1"/>
  <c r="AI437" i="1"/>
  <c r="AA438" i="1"/>
  <c r="AB438" i="1"/>
  <c r="AC438" i="1"/>
  <c r="AD438" i="1"/>
  <c r="AE438" i="1"/>
  <c r="AF438" i="1"/>
  <c r="AG438" i="1"/>
  <c r="AH438" i="1"/>
  <c r="AI438" i="1"/>
  <c r="AA439" i="1"/>
  <c r="AB439" i="1"/>
  <c r="AC439" i="1"/>
  <c r="AD439" i="1"/>
  <c r="AE439" i="1"/>
  <c r="AF439" i="1"/>
  <c r="AG439" i="1"/>
  <c r="AH439" i="1"/>
  <c r="AI439" i="1"/>
  <c r="AA440" i="1"/>
  <c r="AB440" i="1"/>
  <c r="AC440" i="1"/>
  <c r="AD440" i="1"/>
  <c r="AE440" i="1"/>
  <c r="AF440" i="1"/>
  <c r="AG440" i="1"/>
  <c r="AH440" i="1"/>
  <c r="AI440" i="1"/>
  <c r="AA441" i="1"/>
  <c r="AB441" i="1"/>
  <c r="AC441" i="1"/>
  <c r="AD441" i="1"/>
  <c r="AE441" i="1"/>
  <c r="AF441" i="1"/>
  <c r="AG441" i="1"/>
  <c r="AH441" i="1"/>
  <c r="AI441" i="1"/>
  <c r="AA442" i="1"/>
  <c r="AB442" i="1"/>
  <c r="AC442" i="1"/>
  <c r="AD442" i="1"/>
  <c r="AE442" i="1"/>
  <c r="AF442" i="1"/>
  <c r="AG442" i="1"/>
  <c r="AH442" i="1"/>
  <c r="AI442" i="1"/>
  <c r="AA443" i="1"/>
  <c r="AB443" i="1"/>
  <c r="AC443" i="1"/>
  <c r="AD443" i="1"/>
  <c r="AE443" i="1"/>
  <c r="AF443" i="1"/>
  <c r="AG443" i="1"/>
  <c r="AH443" i="1"/>
  <c r="AI443" i="1"/>
  <c r="AA444" i="1"/>
  <c r="AB444" i="1"/>
  <c r="AC444" i="1"/>
  <c r="AD444" i="1"/>
  <c r="AE444" i="1"/>
  <c r="AF444" i="1"/>
  <c r="AG444" i="1"/>
  <c r="AH444" i="1"/>
  <c r="AI444" i="1"/>
  <c r="AA445" i="1"/>
  <c r="AB445" i="1"/>
  <c r="AC445" i="1"/>
  <c r="AD445" i="1"/>
  <c r="AE445" i="1"/>
  <c r="AF445" i="1"/>
  <c r="AG445" i="1"/>
  <c r="AH445" i="1"/>
  <c r="AI445" i="1"/>
  <c r="AA446" i="1"/>
  <c r="AB446" i="1"/>
  <c r="AC446" i="1"/>
  <c r="AD446" i="1"/>
  <c r="AE446" i="1"/>
  <c r="AF446" i="1"/>
  <c r="AG446" i="1"/>
  <c r="AH446" i="1"/>
  <c r="AI446" i="1"/>
  <c r="AA447" i="1"/>
  <c r="AB447" i="1"/>
  <c r="AC447" i="1"/>
  <c r="AD447" i="1"/>
  <c r="AE447" i="1"/>
  <c r="AF447" i="1"/>
  <c r="AG447" i="1"/>
  <c r="AH447" i="1"/>
  <c r="AI447" i="1"/>
  <c r="AA448" i="1"/>
  <c r="AB448" i="1"/>
  <c r="AC448" i="1"/>
  <c r="AD448" i="1"/>
  <c r="AE448" i="1"/>
  <c r="AF448" i="1"/>
  <c r="AG448" i="1"/>
  <c r="AH448" i="1"/>
  <c r="AI448" i="1"/>
  <c r="AA449" i="1"/>
  <c r="AB449" i="1"/>
  <c r="AC449" i="1"/>
  <c r="AD449" i="1"/>
  <c r="AE449" i="1"/>
  <c r="AF449" i="1"/>
  <c r="AG449" i="1"/>
  <c r="AH449" i="1"/>
  <c r="AI449" i="1"/>
  <c r="AA450" i="1"/>
  <c r="AB450" i="1"/>
  <c r="AC450" i="1"/>
  <c r="AD450" i="1"/>
  <c r="AE450" i="1"/>
  <c r="AF450" i="1"/>
  <c r="AG450" i="1"/>
  <c r="AH450" i="1"/>
  <c r="AI450" i="1"/>
  <c r="AA451" i="1"/>
  <c r="AB451" i="1"/>
  <c r="AC451" i="1"/>
  <c r="AD451" i="1"/>
  <c r="AE451" i="1"/>
  <c r="AF451" i="1"/>
  <c r="AG451" i="1"/>
  <c r="AH451" i="1"/>
  <c r="AI451" i="1"/>
  <c r="AA452" i="1"/>
  <c r="AB452" i="1"/>
  <c r="AC452" i="1"/>
  <c r="AD452" i="1"/>
  <c r="AE452" i="1"/>
  <c r="AF452" i="1"/>
  <c r="AG452" i="1"/>
  <c r="AH452" i="1"/>
  <c r="AI452" i="1"/>
  <c r="AA453" i="1"/>
  <c r="AB453" i="1"/>
  <c r="AC453" i="1"/>
  <c r="AD453" i="1"/>
  <c r="AE453" i="1"/>
  <c r="AF453" i="1"/>
  <c r="AG453" i="1"/>
  <c r="AH453" i="1"/>
  <c r="AI453" i="1"/>
  <c r="AA454" i="1"/>
  <c r="AB454" i="1"/>
  <c r="AC454" i="1"/>
  <c r="AD454" i="1"/>
  <c r="AE454" i="1"/>
  <c r="AF454" i="1"/>
  <c r="AG454" i="1"/>
  <c r="AH454" i="1"/>
  <c r="AI454" i="1"/>
  <c r="AA455" i="1"/>
  <c r="AB455" i="1"/>
  <c r="AC455" i="1"/>
  <c r="AD455" i="1"/>
  <c r="AE455" i="1"/>
  <c r="AF455" i="1"/>
  <c r="AG455" i="1"/>
  <c r="AH455" i="1"/>
  <c r="AI455" i="1"/>
  <c r="AA456" i="1"/>
  <c r="AB456" i="1"/>
  <c r="AC456" i="1"/>
  <c r="AD456" i="1"/>
  <c r="AE456" i="1"/>
  <c r="AF456" i="1"/>
  <c r="AG456" i="1"/>
  <c r="AH456" i="1"/>
  <c r="AI456" i="1"/>
  <c r="AA457" i="1"/>
  <c r="AB457" i="1"/>
  <c r="AC457" i="1"/>
  <c r="AD457" i="1"/>
  <c r="AE457" i="1"/>
  <c r="AF457" i="1"/>
  <c r="AG457" i="1"/>
  <c r="AH457" i="1"/>
  <c r="AI457" i="1"/>
  <c r="AA458" i="1"/>
  <c r="AB458" i="1"/>
  <c r="AC458" i="1"/>
  <c r="AD458" i="1"/>
  <c r="AE458" i="1"/>
  <c r="AF458" i="1"/>
  <c r="AG458" i="1"/>
  <c r="AH458" i="1"/>
  <c r="AI458" i="1"/>
  <c r="AA459" i="1"/>
  <c r="AB459" i="1"/>
  <c r="AC459" i="1"/>
  <c r="AD459" i="1"/>
  <c r="AE459" i="1"/>
  <c r="AF459" i="1"/>
  <c r="AG459" i="1"/>
  <c r="AH459" i="1"/>
  <c r="AI459" i="1"/>
  <c r="AA460" i="1"/>
  <c r="AB460" i="1"/>
  <c r="AC460" i="1"/>
  <c r="AD460" i="1"/>
  <c r="AE460" i="1"/>
  <c r="AF460" i="1"/>
  <c r="AG460" i="1"/>
  <c r="AH460" i="1"/>
  <c r="AI460" i="1"/>
  <c r="AA461" i="1"/>
  <c r="AB461" i="1"/>
  <c r="AC461" i="1"/>
  <c r="AD461" i="1"/>
  <c r="AE461" i="1"/>
  <c r="AF461" i="1"/>
  <c r="AG461" i="1"/>
  <c r="AH461" i="1"/>
  <c r="AI461" i="1"/>
  <c r="AA462" i="1"/>
  <c r="AB462" i="1"/>
  <c r="AC462" i="1"/>
  <c r="AD462" i="1"/>
  <c r="AE462" i="1"/>
  <c r="AF462" i="1"/>
  <c r="AG462" i="1"/>
  <c r="AH462" i="1"/>
  <c r="AI462" i="1"/>
  <c r="AA463" i="1"/>
  <c r="AB463" i="1"/>
  <c r="AC463" i="1"/>
  <c r="AD463" i="1"/>
  <c r="AE463" i="1"/>
  <c r="AF463" i="1"/>
  <c r="AG463" i="1"/>
  <c r="AH463" i="1"/>
  <c r="AI463" i="1"/>
  <c r="AA464" i="1"/>
  <c r="AB464" i="1"/>
  <c r="AC464" i="1"/>
  <c r="AD464" i="1"/>
  <c r="AE464" i="1"/>
  <c r="AF464" i="1"/>
  <c r="AG464" i="1"/>
  <c r="AH464" i="1"/>
  <c r="AI464" i="1"/>
  <c r="AA465" i="1"/>
  <c r="AB465" i="1"/>
  <c r="AC465" i="1"/>
  <c r="AD465" i="1"/>
  <c r="AE465" i="1"/>
  <c r="AF465" i="1"/>
  <c r="AG465" i="1"/>
  <c r="AH465" i="1"/>
  <c r="AI465" i="1"/>
  <c r="AA466" i="1"/>
  <c r="AB466" i="1"/>
  <c r="AC466" i="1"/>
  <c r="AD466" i="1"/>
  <c r="AE466" i="1"/>
  <c r="AF466" i="1"/>
  <c r="AG466" i="1"/>
  <c r="AH466" i="1"/>
  <c r="AI466" i="1"/>
  <c r="AA467" i="1"/>
  <c r="AB467" i="1"/>
  <c r="AC467" i="1"/>
  <c r="AD467" i="1"/>
  <c r="AE467" i="1"/>
  <c r="AF467" i="1"/>
  <c r="AG467" i="1"/>
  <c r="AH467" i="1"/>
  <c r="AI467" i="1"/>
  <c r="AA468" i="1"/>
  <c r="AB468" i="1"/>
  <c r="AC468" i="1"/>
  <c r="AD468" i="1"/>
  <c r="AE468" i="1"/>
  <c r="AF468" i="1"/>
  <c r="AG468" i="1"/>
  <c r="AH468" i="1"/>
  <c r="AI468" i="1"/>
  <c r="AA469" i="1"/>
  <c r="AB469" i="1"/>
  <c r="AC469" i="1"/>
  <c r="AD469" i="1"/>
  <c r="AE469" i="1"/>
  <c r="AF469" i="1"/>
  <c r="AG469" i="1"/>
  <c r="AH469" i="1"/>
  <c r="AI469" i="1"/>
  <c r="AA470" i="1"/>
  <c r="AB470" i="1"/>
  <c r="AC470" i="1"/>
  <c r="AD470" i="1"/>
  <c r="AE470" i="1"/>
  <c r="AF470" i="1"/>
  <c r="AG470" i="1"/>
  <c r="AH470" i="1"/>
  <c r="AI470" i="1"/>
  <c r="AA471" i="1"/>
  <c r="AB471" i="1"/>
  <c r="AC471" i="1"/>
  <c r="AD471" i="1"/>
  <c r="AE471" i="1"/>
  <c r="AF471" i="1"/>
  <c r="AG471" i="1"/>
  <c r="AH471" i="1"/>
  <c r="AI471" i="1"/>
  <c r="AA472" i="1"/>
  <c r="AB472" i="1"/>
  <c r="AC472" i="1"/>
  <c r="AD472" i="1"/>
  <c r="AE472" i="1"/>
  <c r="AF472" i="1"/>
  <c r="AG472" i="1"/>
  <c r="AH472" i="1"/>
  <c r="AI472" i="1"/>
  <c r="AA473" i="1"/>
  <c r="AB473" i="1"/>
  <c r="AC473" i="1"/>
  <c r="AD473" i="1"/>
  <c r="AE473" i="1"/>
  <c r="AF473" i="1"/>
  <c r="AG473" i="1"/>
  <c r="AH473" i="1"/>
  <c r="AI473" i="1"/>
  <c r="AA474" i="1"/>
  <c r="AB474" i="1"/>
  <c r="AC474" i="1"/>
  <c r="AD474" i="1"/>
  <c r="AE474" i="1"/>
  <c r="AF474" i="1"/>
  <c r="AG474" i="1"/>
  <c r="AH474" i="1"/>
  <c r="AI474" i="1"/>
  <c r="AA475" i="1"/>
  <c r="AB475" i="1"/>
  <c r="AC475" i="1"/>
  <c r="AD475" i="1"/>
  <c r="AE475" i="1"/>
  <c r="AF475" i="1"/>
  <c r="AG475" i="1"/>
  <c r="AH475" i="1"/>
  <c r="AI475" i="1"/>
  <c r="AA476" i="1"/>
  <c r="AB476" i="1"/>
  <c r="AC476" i="1"/>
  <c r="AD476" i="1"/>
  <c r="AE476" i="1"/>
  <c r="AF476" i="1"/>
  <c r="AG476" i="1"/>
  <c r="AH476" i="1"/>
  <c r="AI476" i="1"/>
  <c r="AA477" i="1"/>
  <c r="AB477" i="1"/>
  <c r="AC477" i="1"/>
  <c r="AD477" i="1"/>
  <c r="AE477" i="1"/>
  <c r="AF477" i="1"/>
  <c r="AG477" i="1"/>
  <c r="AH477" i="1"/>
  <c r="AI477" i="1"/>
  <c r="AA478" i="1"/>
  <c r="AB478" i="1"/>
  <c r="AC478" i="1"/>
  <c r="AD478" i="1"/>
  <c r="AE478" i="1"/>
  <c r="AF478" i="1"/>
  <c r="AG478" i="1"/>
  <c r="AH478" i="1"/>
  <c r="AI478" i="1"/>
  <c r="AA479" i="1"/>
  <c r="AB479" i="1"/>
  <c r="AC479" i="1"/>
  <c r="AD479" i="1"/>
  <c r="AE479" i="1"/>
  <c r="AF479" i="1"/>
  <c r="AG479" i="1"/>
  <c r="AH479" i="1"/>
  <c r="AI479" i="1"/>
  <c r="AA480" i="1"/>
  <c r="AB480" i="1"/>
  <c r="AC480" i="1"/>
  <c r="AD480" i="1"/>
  <c r="AE480" i="1"/>
  <c r="AF480" i="1"/>
  <c r="AG480" i="1"/>
  <c r="AH480" i="1"/>
  <c r="AI480" i="1"/>
  <c r="AA481" i="1"/>
  <c r="AB481" i="1"/>
  <c r="AC481" i="1"/>
  <c r="AD481" i="1"/>
  <c r="AE481" i="1"/>
  <c r="AF481" i="1"/>
  <c r="AG481" i="1"/>
  <c r="AH481" i="1"/>
  <c r="AI481" i="1"/>
  <c r="AA482" i="1"/>
  <c r="AB482" i="1"/>
  <c r="AC482" i="1"/>
  <c r="AD482" i="1"/>
  <c r="AE482" i="1"/>
  <c r="AF482" i="1"/>
  <c r="AG482" i="1"/>
  <c r="AH482" i="1"/>
  <c r="AI482" i="1"/>
  <c r="AA483" i="1"/>
  <c r="AB483" i="1"/>
  <c r="AC483" i="1"/>
  <c r="AD483" i="1"/>
  <c r="AE483" i="1"/>
  <c r="AF483" i="1"/>
  <c r="AG483" i="1"/>
  <c r="AH483" i="1"/>
  <c r="AI483" i="1"/>
  <c r="AA484" i="1"/>
  <c r="AB484" i="1"/>
  <c r="AC484" i="1"/>
  <c r="AD484" i="1"/>
  <c r="AE484" i="1"/>
  <c r="AF484" i="1"/>
  <c r="AG484" i="1"/>
  <c r="AH484" i="1"/>
  <c r="AI484" i="1"/>
  <c r="AA485" i="1"/>
  <c r="AB485" i="1"/>
  <c r="AC485" i="1"/>
  <c r="AD485" i="1"/>
  <c r="AE485" i="1"/>
  <c r="AF485" i="1"/>
  <c r="AG485" i="1"/>
  <c r="AH485" i="1"/>
  <c r="AI485" i="1"/>
  <c r="AA486" i="1"/>
  <c r="AB486" i="1"/>
  <c r="AC486" i="1"/>
  <c r="AD486" i="1"/>
  <c r="AE486" i="1"/>
  <c r="AF486" i="1"/>
  <c r="AG486" i="1"/>
  <c r="AH486" i="1"/>
  <c r="AI486" i="1"/>
  <c r="AA487" i="1"/>
  <c r="AB487" i="1"/>
  <c r="AC487" i="1"/>
  <c r="AD487" i="1"/>
  <c r="AE487" i="1"/>
  <c r="AF487" i="1"/>
  <c r="AG487" i="1"/>
  <c r="AH487" i="1"/>
  <c r="AI487" i="1"/>
  <c r="AA488" i="1"/>
  <c r="AB488" i="1"/>
  <c r="AC488" i="1"/>
  <c r="AD488" i="1"/>
  <c r="AE488" i="1"/>
  <c r="AF488" i="1"/>
  <c r="AG488" i="1"/>
  <c r="AH488" i="1"/>
  <c r="AI488" i="1"/>
  <c r="AA489" i="1"/>
  <c r="AB489" i="1"/>
  <c r="AC489" i="1"/>
  <c r="AD489" i="1"/>
  <c r="AE489" i="1"/>
  <c r="AF489" i="1"/>
  <c r="AG489" i="1"/>
  <c r="AH489" i="1"/>
  <c r="AI489" i="1"/>
  <c r="AA490" i="1"/>
  <c r="AB490" i="1"/>
  <c r="AC490" i="1"/>
  <c r="AD490" i="1"/>
  <c r="AE490" i="1"/>
  <c r="AF490" i="1"/>
  <c r="AG490" i="1"/>
  <c r="AH490" i="1"/>
  <c r="AI490" i="1"/>
  <c r="AA491" i="1"/>
  <c r="AB491" i="1"/>
  <c r="AC491" i="1"/>
  <c r="AD491" i="1"/>
  <c r="AE491" i="1"/>
  <c r="AF491" i="1"/>
  <c r="AG491" i="1"/>
  <c r="AH491" i="1"/>
  <c r="AI491" i="1"/>
  <c r="AA492" i="1"/>
  <c r="AB492" i="1"/>
  <c r="AC492" i="1"/>
  <c r="AD492" i="1"/>
  <c r="AE492" i="1"/>
  <c r="AF492" i="1"/>
  <c r="AG492" i="1"/>
  <c r="AH492" i="1"/>
  <c r="AI492" i="1"/>
  <c r="AA493" i="1"/>
  <c r="AB493" i="1"/>
  <c r="AC493" i="1"/>
  <c r="AD493" i="1"/>
  <c r="AE493" i="1"/>
  <c r="AF493" i="1"/>
  <c r="AG493" i="1"/>
  <c r="AH493" i="1"/>
  <c r="AI493" i="1"/>
  <c r="AA494" i="1"/>
  <c r="AB494" i="1"/>
  <c r="AC494" i="1"/>
  <c r="AD494" i="1"/>
  <c r="AE494" i="1"/>
  <c r="AF494" i="1"/>
  <c r="AG494" i="1"/>
  <c r="AH494" i="1"/>
  <c r="AI494" i="1"/>
  <c r="AA495" i="1"/>
  <c r="AB495" i="1"/>
  <c r="AC495" i="1"/>
  <c r="AD495" i="1"/>
  <c r="AE495" i="1"/>
  <c r="AF495" i="1"/>
  <c r="AG495" i="1"/>
  <c r="AH495" i="1"/>
  <c r="AI495" i="1"/>
  <c r="AA496" i="1"/>
  <c r="AB496" i="1"/>
  <c r="AC496" i="1"/>
  <c r="AD496" i="1"/>
  <c r="AE496" i="1"/>
  <c r="AF496" i="1"/>
  <c r="AG496" i="1"/>
  <c r="AH496" i="1"/>
  <c r="AI496" i="1"/>
  <c r="AA497" i="1"/>
  <c r="AB497" i="1"/>
  <c r="AC497" i="1"/>
  <c r="AD497" i="1"/>
  <c r="AE497" i="1"/>
  <c r="AF497" i="1"/>
  <c r="AG497" i="1"/>
  <c r="AH497" i="1"/>
  <c r="AI497" i="1"/>
  <c r="AA498" i="1"/>
  <c r="AB498" i="1"/>
  <c r="AC498" i="1"/>
  <c r="AD498" i="1"/>
  <c r="AE498" i="1"/>
  <c r="AF498" i="1"/>
  <c r="AG498" i="1"/>
  <c r="AH498" i="1"/>
  <c r="AI498" i="1"/>
  <c r="AA499" i="1"/>
  <c r="AB499" i="1"/>
  <c r="AC499" i="1"/>
  <c r="AD499" i="1"/>
  <c r="AE499" i="1"/>
  <c r="AF499" i="1"/>
  <c r="AG499" i="1"/>
  <c r="AH499" i="1"/>
  <c r="AI499" i="1"/>
  <c r="AA500" i="1"/>
  <c r="AB500" i="1"/>
  <c r="AC500" i="1"/>
  <c r="AD500" i="1"/>
  <c r="AE500" i="1"/>
  <c r="AF500" i="1"/>
  <c r="AG500" i="1"/>
  <c r="AH500" i="1"/>
  <c r="AI500" i="1"/>
  <c r="AA501" i="1"/>
  <c r="AB501" i="1"/>
  <c r="AC501" i="1"/>
  <c r="AD501" i="1"/>
  <c r="AE501" i="1"/>
  <c r="AF501" i="1"/>
  <c r="AG501" i="1"/>
  <c r="AH501" i="1"/>
  <c r="AI501" i="1"/>
  <c r="AA502" i="1"/>
  <c r="AB502" i="1"/>
  <c r="AC502" i="1"/>
  <c r="AD502" i="1"/>
  <c r="AE502" i="1"/>
  <c r="AF502" i="1"/>
  <c r="AG502" i="1"/>
  <c r="AH502" i="1"/>
  <c r="AI502" i="1"/>
  <c r="AA503" i="1"/>
  <c r="AB503" i="1"/>
  <c r="AC503" i="1"/>
  <c r="AD503" i="1"/>
  <c r="AE503" i="1"/>
  <c r="AF503" i="1"/>
  <c r="AG503" i="1"/>
  <c r="AH503" i="1"/>
  <c r="AI503" i="1"/>
  <c r="AA504" i="1"/>
  <c r="AB504" i="1"/>
  <c r="AC504" i="1"/>
  <c r="AD504" i="1"/>
  <c r="AE504" i="1"/>
  <c r="AF504" i="1"/>
  <c r="AG504" i="1"/>
  <c r="AH504" i="1"/>
  <c r="AI504" i="1"/>
  <c r="AA505" i="1"/>
  <c r="AB505" i="1"/>
  <c r="AC505" i="1"/>
  <c r="AD505" i="1"/>
  <c r="AE505" i="1"/>
  <c r="AF505" i="1"/>
  <c r="AG505" i="1"/>
  <c r="AH505" i="1"/>
  <c r="AI505" i="1"/>
  <c r="AA506" i="1"/>
  <c r="AB506" i="1"/>
  <c r="AC506" i="1"/>
  <c r="AD506" i="1"/>
  <c r="AE506" i="1"/>
  <c r="AF506" i="1"/>
  <c r="AG506" i="1"/>
  <c r="AH506" i="1"/>
  <c r="AI506" i="1"/>
  <c r="AA507" i="1"/>
  <c r="AB507" i="1"/>
  <c r="AC507" i="1"/>
  <c r="AD507" i="1"/>
  <c r="AE507" i="1"/>
  <c r="AF507" i="1"/>
  <c r="AG507" i="1"/>
  <c r="AH507" i="1"/>
  <c r="AI507" i="1"/>
  <c r="AA508" i="1"/>
  <c r="AB508" i="1"/>
  <c r="AC508" i="1"/>
  <c r="AD508" i="1"/>
  <c r="AE508" i="1"/>
  <c r="AF508" i="1"/>
  <c r="AG508" i="1"/>
  <c r="AH508" i="1"/>
  <c r="AI508" i="1"/>
  <c r="AA509" i="1"/>
  <c r="AB509" i="1"/>
  <c r="AC509" i="1"/>
  <c r="AD509" i="1"/>
  <c r="AE509" i="1"/>
  <c r="AF509" i="1"/>
  <c r="AG509" i="1"/>
  <c r="AH509" i="1"/>
  <c r="AI509" i="1"/>
  <c r="AA510" i="1"/>
  <c r="AB510" i="1"/>
  <c r="AC510" i="1"/>
  <c r="AD510" i="1"/>
  <c r="AE510" i="1"/>
  <c r="AF510" i="1"/>
  <c r="AG510" i="1"/>
  <c r="AH510" i="1"/>
  <c r="AI510" i="1"/>
  <c r="AA511" i="1"/>
  <c r="AB511" i="1"/>
  <c r="AC511" i="1"/>
  <c r="AD511" i="1"/>
  <c r="AE511" i="1"/>
  <c r="AF511" i="1"/>
  <c r="AG511" i="1"/>
  <c r="AH511" i="1"/>
  <c r="AI511" i="1"/>
  <c r="AA512" i="1"/>
  <c r="AB512" i="1"/>
  <c r="AC512" i="1"/>
  <c r="AD512" i="1"/>
  <c r="AE512" i="1"/>
  <c r="AF512" i="1"/>
  <c r="AG512" i="1"/>
  <c r="AH512" i="1"/>
  <c r="AI512" i="1"/>
  <c r="AA513" i="1"/>
  <c r="AB513" i="1"/>
  <c r="AC513" i="1"/>
  <c r="AD513" i="1"/>
  <c r="AE513" i="1"/>
  <c r="AF513" i="1"/>
  <c r="AG513" i="1"/>
  <c r="AH513" i="1"/>
  <c r="AI513" i="1"/>
  <c r="AA514" i="1"/>
  <c r="AB514" i="1"/>
  <c r="AC514" i="1"/>
  <c r="AD514" i="1"/>
  <c r="AE514" i="1"/>
  <c r="AF514" i="1"/>
  <c r="AG514" i="1"/>
  <c r="AH514" i="1"/>
  <c r="AI514" i="1"/>
  <c r="AA515" i="1"/>
  <c r="AB515" i="1"/>
  <c r="AC515" i="1"/>
  <c r="AD515" i="1"/>
  <c r="AE515" i="1"/>
  <c r="AF515" i="1"/>
  <c r="AG515" i="1"/>
  <c r="AH515" i="1"/>
  <c r="AI515" i="1"/>
  <c r="AA516" i="1"/>
  <c r="AB516" i="1"/>
  <c r="AC516" i="1"/>
  <c r="AD516" i="1"/>
  <c r="AE516" i="1"/>
  <c r="AF516" i="1"/>
  <c r="AG516" i="1"/>
  <c r="AH516" i="1"/>
  <c r="AI516" i="1"/>
  <c r="AA517" i="1"/>
  <c r="AB517" i="1"/>
  <c r="AC517" i="1"/>
  <c r="AD517" i="1"/>
  <c r="AE517" i="1"/>
  <c r="AF517" i="1"/>
  <c r="AG517" i="1"/>
  <c r="AH517" i="1"/>
  <c r="AI517" i="1"/>
  <c r="AA518" i="1"/>
  <c r="AB518" i="1"/>
  <c r="AC518" i="1"/>
  <c r="AD518" i="1"/>
  <c r="AE518" i="1"/>
  <c r="AF518" i="1"/>
  <c r="AG518" i="1"/>
  <c r="AH518" i="1"/>
  <c r="AI518" i="1"/>
  <c r="AA519" i="1"/>
  <c r="AB519" i="1"/>
  <c r="AC519" i="1"/>
  <c r="AD519" i="1"/>
  <c r="AE519" i="1"/>
  <c r="AF519" i="1"/>
  <c r="AG519" i="1"/>
  <c r="AH519" i="1"/>
  <c r="AI519" i="1"/>
  <c r="AA520" i="1"/>
  <c r="AB520" i="1"/>
  <c r="AC520" i="1"/>
  <c r="AD520" i="1"/>
  <c r="AE520" i="1"/>
  <c r="AF520" i="1"/>
  <c r="AG520" i="1"/>
  <c r="AH520" i="1"/>
  <c r="AI520" i="1"/>
  <c r="AA521" i="1"/>
  <c r="AB521" i="1"/>
  <c r="AC521" i="1"/>
  <c r="AD521" i="1"/>
  <c r="AE521" i="1"/>
  <c r="AF521" i="1"/>
  <c r="AG521" i="1"/>
  <c r="AH521" i="1"/>
  <c r="AI521" i="1"/>
  <c r="AA522" i="1"/>
  <c r="AB522" i="1"/>
  <c r="AC522" i="1"/>
  <c r="AD522" i="1"/>
  <c r="AE522" i="1"/>
  <c r="AF522" i="1"/>
  <c r="AG522" i="1"/>
  <c r="AH522" i="1"/>
  <c r="AI522" i="1"/>
  <c r="AA523" i="1"/>
  <c r="AB523" i="1"/>
  <c r="AC523" i="1"/>
  <c r="AD523" i="1"/>
  <c r="AE523" i="1"/>
  <c r="AF523" i="1"/>
  <c r="AG523" i="1"/>
  <c r="AH523" i="1"/>
  <c r="AI523" i="1"/>
  <c r="AA524" i="1"/>
  <c r="AB524" i="1"/>
  <c r="AC524" i="1"/>
  <c r="AD524" i="1"/>
  <c r="AE524" i="1"/>
  <c r="AF524" i="1"/>
  <c r="AG524" i="1"/>
  <c r="AH524" i="1"/>
  <c r="AI524" i="1"/>
  <c r="AA525" i="1"/>
  <c r="AB525" i="1"/>
  <c r="AC525" i="1"/>
  <c r="AD525" i="1"/>
  <c r="AE525" i="1"/>
  <c r="AF525" i="1"/>
  <c r="AG525" i="1"/>
  <c r="AH525" i="1"/>
  <c r="AI525" i="1"/>
  <c r="AA526" i="1"/>
  <c r="AB526" i="1"/>
  <c r="AC526" i="1"/>
  <c r="AD526" i="1"/>
  <c r="AE526" i="1"/>
  <c r="AF526" i="1"/>
  <c r="AG526" i="1"/>
  <c r="AH526" i="1"/>
  <c r="AI526" i="1"/>
  <c r="AA527" i="1"/>
  <c r="AB527" i="1"/>
  <c r="AC527" i="1"/>
  <c r="AD527" i="1"/>
  <c r="AE527" i="1"/>
  <c r="AF527" i="1"/>
  <c r="AG527" i="1"/>
  <c r="AH527" i="1"/>
  <c r="AI527" i="1"/>
  <c r="AA528" i="1"/>
  <c r="AB528" i="1"/>
  <c r="AC528" i="1"/>
  <c r="AD528" i="1"/>
  <c r="AE528" i="1"/>
  <c r="AF528" i="1"/>
  <c r="AG528" i="1"/>
  <c r="AH528" i="1"/>
  <c r="AI528" i="1"/>
  <c r="AA529" i="1"/>
  <c r="AB529" i="1"/>
  <c r="AC529" i="1"/>
  <c r="AD529" i="1"/>
  <c r="AE529" i="1"/>
  <c r="AF529" i="1"/>
  <c r="AG529" i="1"/>
  <c r="AH529" i="1"/>
  <c r="AI529" i="1"/>
  <c r="AA530" i="1"/>
  <c r="AB530" i="1"/>
  <c r="AC530" i="1"/>
  <c r="AD530" i="1"/>
  <c r="AE530" i="1"/>
  <c r="AF530" i="1"/>
  <c r="AG530" i="1"/>
  <c r="AH530" i="1"/>
  <c r="AI530" i="1"/>
  <c r="AA531" i="1"/>
  <c r="AB531" i="1"/>
  <c r="AC531" i="1"/>
  <c r="AD531" i="1"/>
  <c r="AE531" i="1"/>
  <c r="AF531" i="1"/>
  <c r="AG531" i="1"/>
  <c r="AH531" i="1"/>
  <c r="AI531" i="1"/>
  <c r="AA532" i="1"/>
  <c r="AB532" i="1"/>
  <c r="AC532" i="1"/>
  <c r="AD532" i="1"/>
  <c r="AE532" i="1"/>
  <c r="AF532" i="1"/>
  <c r="AG532" i="1"/>
  <c r="AH532" i="1"/>
  <c r="AI532" i="1"/>
  <c r="AA533" i="1"/>
  <c r="AB533" i="1"/>
  <c r="AC533" i="1"/>
  <c r="AD533" i="1"/>
  <c r="AE533" i="1"/>
  <c r="AF533" i="1"/>
  <c r="AG533" i="1"/>
  <c r="AH533" i="1"/>
  <c r="AI533" i="1"/>
  <c r="AA534" i="1"/>
  <c r="AB534" i="1"/>
  <c r="AC534" i="1"/>
  <c r="AD534" i="1"/>
  <c r="AE534" i="1"/>
  <c r="AF534" i="1"/>
  <c r="AG534" i="1"/>
  <c r="AH534" i="1"/>
  <c r="AI534" i="1"/>
  <c r="AA535" i="1"/>
  <c r="AB535" i="1"/>
  <c r="AC535" i="1"/>
  <c r="AD535" i="1"/>
  <c r="AE535" i="1"/>
  <c r="AF535" i="1"/>
  <c r="AG535" i="1"/>
  <c r="AH535" i="1"/>
  <c r="AI535" i="1"/>
  <c r="AA536" i="1"/>
  <c r="AB536" i="1"/>
  <c r="AC536" i="1"/>
  <c r="AD536" i="1"/>
  <c r="AE536" i="1"/>
  <c r="AF536" i="1"/>
  <c r="AG536" i="1"/>
  <c r="AH536" i="1"/>
  <c r="AI536" i="1"/>
  <c r="AA537" i="1"/>
  <c r="AB537" i="1"/>
  <c r="AC537" i="1"/>
  <c r="AD537" i="1"/>
  <c r="AE537" i="1"/>
  <c r="AF537" i="1"/>
  <c r="AG537" i="1"/>
  <c r="AH537" i="1"/>
  <c r="AI537" i="1"/>
  <c r="AA538" i="1"/>
  <c r="AB538" i="1"/>
  <c r="AC538" i="1"/>
  <c r="AD538" i="1"/>
  <c r="AE538" i="1"/>
  <c r="AF538" i="1"/>
  <c r="AG538" i="1"/>
  <c r="AH538" i="1"/>
  <c r="AI538" i="1"/>
  <c r="AA539" i="1"/>
  <c r="AB539" i="1"/>
  <c r="AC539" i="1"/>
  <c r="AD539" i="1"/>
  <c r="AE539" i="1"/>
  <c r="AF539" i="1"/>
  <c r="AG539" i="1"/>
  <c r="AH539" i="1"/>
  <c r="AI539" i="1"/>
  <c r="AA540" i="1"/>
  <c r="AB540" i="1"/>
  <c r="AC540" i="1"/>
  <c r="AD540" i="1"/>
  <c r="AE540" i="1"/>
  <c r="AF540" i="1"/>
  <c r="AG540" i="1"/>
  <c r="AH540" i="1"/>
  <c r="AI540" i="1"/>
  <c r="AA541" i="1"/>
  <c r="AB541" i="1"/>
  <c r="AC541" i="1"/>
  <c r="AD541" i="1"/>
  <c r="AE541" i="1"/>
  <c r="AF541" i="1"/>
  <c r="AG541" i="1"/>
  <c r="AH541" i="1"/>
  <c r="AI541" i="1"/>
  <c r="AA542" i="1"/>
  <c r="AB542" i="1"/>
  <c r="AC542" i="1"/>
  <c r="AD542" i="1"/>
  <c r="AE542" i="1"/>
  <c r="AF542" i="1"/>
  <c r="AG542" i="1"/>
  <c r="AH542" i="1"/>
  <c r="AI542" i="1"/>
  <c r="AA543" i="1"/>
  <c r="AB543" i="1"/>
  <c r="AC543" i="1"/>
  <c r="AD543" i="1"/>
  <c r="AE543" i="1"/>
  <c r="AF543" i="1"/>
  <c r="AG543" i="1"/>
  <c r="AH543" i="1"/>
  <c r="AI543" i="1"/>
  <c r="AA544" i="1"/>
  <c r="AB544" i="1"/>
  <c r="AC544" i="1"/>
  <c r="AD544" i="1"/>
  <c r="AE544" i="1"/>
  <c r="AF544" i="1"/>
  <c r="AG544" i="1"/>
  <c r="AH544" i="1"/>
  <c r="AI544" i="1"/>
  <c r="AA545" i="1"/>
  <c r="AB545" i="1"/>
  <c r="AC545" i="1"/>
  <c r="AD545" i="1"/>
  <c r="AE545" i="1"/>
  <c r="AF545" i="1"/>
  <c r="AG545" i="1"/>
  <c r="AH545" i="1"/>
  <c r="AI545" i="1"/>
  <c r="AA546" i="1"/>
  <c r="AB546" i="1"/>
  <c r="AC546" i="1"/>
  <c r="AD546" i="1"/>
  <c r="AE546" i="1"/>
  <c r="AF546" i="1"/>
  <c r="AG546" i="1"/>
  <c r="AH546" i="1"/>
  <c r="AI546" i="1"/>
  <c r="AA547" i="1"/>
  <c r="AB547" i="1"/>
  <c r="AC547" i="1"/>
  <c r="AD547" i="1"/>
  <c r="AE547" i="1"/>
  <c r="AF547" i="1"/>
  <c r="AG547" i="1"/>
  <c r="AH547" i="1"/>
  <c r="AI547" i="1"/>
  <c r="AA548" i="1"/>
  <c r="AB548" i="1"/>
  <c r="AC548" i="1"/>
  <c r="AD548" i="1"/>
  <c r="AE548" i="1"/>
  <c r="AF548" i="1"/>
  <c r="AG548" i="1"/>
  <c r="AH548" i="1"/>
  <c r="AI548" i="1"/>
  <c r="AA549" i="1"/>
  <c r="AB549" i="1"/>
  <c r="AC549" i="1"/>
  <c r="AD549" i="1"/>
  <c r="AE549" i="1"/>
  <c r="AF549" i="1"/>
  <c r="AG549" i="1"/>
  <c r="AH549" i="1"/>
  <c r="AI549" i="1"/>
  <c r="AA550" i="1"/>
  <c r="AB550" i="1"/>
  <c r="AC550" i="1"/>
  <c r="AD550" i="1"/>
  <c r="AE550" i="1"/>
  <c r="AF550" i="1"/>
  <c r="AG550" i="1"/>
  <c r="AH550" i="1"/>
  <c r="AI550" i="1"/>
  <c r="AA551" i="1"/>
  <c r="AB551" i="1"/>
  <c r="AC551" i="1"/>
  <c r="AD551" i="1"/>
  <c r="AE551" i="1"/>
  <c r="AF551" i="1"/>
  <c r="AG551" i="1"/>
  <c r="AH551" i="1"/>
  <c r="AI551" i="1"/>
  <c r="AA552" i="1"/>
  <c r="AB552" i="1"/>
  <c r="AC552" i="1"/>
  <c r="AD552" i="1"/>
  <c r="AE552" i="1"/>
  <c r="AF552" i="1"/>
  <c r="AG552" i="1"/>
  <c r="AH552" i="1"/>
  <c r="AI552" i="1"/>
  <c r="AA553" i="1"/>
  <c r="AB553" i="1"/>
  <c r="AC553" i="1"/>
  <c r="AD553" i="1"/>
  <c r="AE553" i="1"/>
  <c r="AF553" i="1"/>
  <c r="AG553" i="1"/>
  <c r="AH553" i="1"/>
  <c r="AI553" i="1"/>
  <c r="AA554" i="1"/>
  <c r="AB554" i="1"/>
  <c r="AC554" i="1"/>
  <c r="AD554" i="1"/>
  <c r="AE554" i="1"/>
  <c r="AF554" i="1"/>
  <c r="AG554" i="1"/>
  <c r="AH554" i="1"/>
  <c r="AI554" i="1"/>
  <c r="AA555" i="1"/>
  <c r="AB555" i="1"/>
  <c r="AC555" i="1"/>
  <c r="AD555" i="1"/>
  <c r="AE555" i="1"/>
  <c r="AF555" i="1"/>
  <c r="AG555" i="1"/>
  <c r="AH555" i="1"/>
  <c r="AI555" i="1"/>
  <c r="AA556" i="1"/>
  <c r="AB556" i="1"/>
  <c r="AC556" i="1"/>
  <c r="AD556" i="1"/>
  <c r="AE556" i="1"/>
  <c r="AF556" i="1"/>
  <c r="AG556" i="1"/>
  <c r="AH556" i="1"/>
  <c r="AI556" i="1"/>
  <c r="AA557" i="1"/>
  <c r="AB557" i="1"/>
  <c r="AC557" i="1"/>
  <c r="AD557" i="1"/>
  <c r="AE557" i="1"/>
  <c r="AF557" i="1"/>
  <c r="AG557" i="1"/>
  <c r="AH557" i="1"/>
  <c r="AI557" i="1"/>
  <c r="AA558" i="1"/>
  <c r="AB558" i="1"/>
  <c r="AC558" i="1"/>
  <c r="AD558" i="1"/>
  <c r="AE558" i="1"/>
  <c r="AF558" i="1"/>
  <c r="AG558" i="1"/>
  <c r="AH558" i="1"/>
  <c r="AI558" i="1"/>
  <c r="AA559" i="1"/>
  <c r="AB559" i="1"/>
  <c r="AC559" i="1"/>
  <c r="AD559" i="1"/>
  <c r="AE559" i="1"/>
  <c r="AF559" i="1"/>
  <c r="AG559" i="1"/>
  <c r="AH559" i="1"/>
  <c r="AI559" i="1"/>
  <c r="AA560" i="1"/>
  <c r="AB560" i="1"/>
  <c r="AC560" i="1"/>
  <c r="AD560" i="1"/>
  <c r="AE560" i="1"/>
  <c r="AF560" i="1"/>
  <c r="AG560" i="1"/>
  <c r="AH560" i="1"/>
  <c r="AI560" i="1"/>
  <c r="AA561" i="1"/>
  <c r="AB561" i="1"/>
  <c r="AC561" i="1"/>
  <c r="AD561" i="1"/>
  <c r="AE561" i="1"/>
  <c r="AF561" i="1"/>
  <c r="AG561" i="1"/>
  <c r="AH561" i="1"/>
  <c r="AI561" i="1"/>
  <c r="AA562" i="1"/>
  <c r="AB562" i="1"/>
  <c r="AC562" i="1"/>
  <c r="AD562" i="1"/>
  <c r="AE562" i="1"/>
  <c r="AF562" i="1"/>
  <c r="AG562" i="1"/>
  <c r="AH562" i="1"/>
  <c r="AI562" i="1"/>
  <c r="AA563" i="1"/>
  <c r="AB563" i="1"/>
  <c r="AC563" i="1"/>
  <c r="AD563" i="1"/>
  <c r="AE563" i="1"/>
  <c r="AF563" i="1"/>
  <c r="AG563" i="1"/>
  <c r="AH563" i="1"/>
  <c r="AI563" i="1"/>
  <c r="AA564" i="1"/>
  <c r="AB564" i="1"/>
  <c r="AC564" i="1"/>
  <c r="AD564" i="1"/>
  <c r="AE564" i="1"/>
  <c r="AF564" i="1"/>
  <c r="AG564" i="1"/>
  <c r="AH564" i="1"/>
  <c r="AI564" i="1"/>
  <c r="AA565" i="1"/>
  <c r="AB565" i="1"/>
  <c r="AC565" i="1"/>
  <c r="AD565" i="1"/>
  <c r="AE565" i="1"/>
  <c r="AF565" i="1"/>
  <c r="AG565" i="1"/>
  <c r="AH565" i="1"/>
  <c r="AI565" i="1"/>
  <c r="AA566" i="1"/>
  <c r="AB566" i="1"/>
  <c r="AC566" i="1"/>
  <c r="AD566" i="1"/>
  <c r="AE566" i="1"/>
  <c r="AF566" i="1"/>
  <c r="AG566" i="1"/>
  <c r="AH566" i="1"/>
  <c r="AI566" i="1"/>
  <c r="AA567" i="1"/>
  <c r="AB567" i="1"/>
  <c r="AC567" i="1"/>
  <c r="AD567" i="1"/>
  <c r="AE567" i="1"/>
  <c r="AF567" i="1"/>
  <c r="AG567" i="1"/>
  <c r="AH567" i="1"/>
  <c r="AI567" i="1"/>
  <c r="AA568" i="1"/>
  <c r="AB568" i="1"/>
  <c r="AC568" i="1"/>
  <c r="AD568" i="1"/>
  <c r="AE568" i="1"/>
  <c r="AF568" i="1"/>
  <c r="AG568" i="1"/>
  <c r="AH568" i="1"/>
  <c r="AI568" i="1"/>
  <c r="AA569" i="1"/>
  <c r="AB569" i="1"/>
  <c r="AC569" i="1"/>
  <c r="AD569" i="1"/>
  <c r="AE569" i="1"/>
  <c r="AF569" i="1"/>
  <c r="AG569" i="1"/>
  <c r="AH569" i="1"/>
  <c r="AI569" i="1"/>
  <c r="AA570" i="1"/>
  <c r="AB570" i="1"/>
  <c r="AC570" i="1"/>
  <c r="AD570" i="1"/>
  <c r="AE570" i="1"/>
  <c r="AF570" i="1"/>
  <c r="AG570" i="1"/>
  <c r="AH570" i="1"/>
  <c r="AI570" i="1"/>
  <c r="AA571" i="1"/>
  <c r="AB571" i="1"/>
  <c r="AC571" i="1"/>
  <c r="AD571" i="1"/>
  <c r="AE571" i="1"/>
  <c r="AF571" i="1"/>
  <c r="AG571" i="1"/>
  <c r="AH571" i="1"/>
  <c r="AI571" i="1"/>
  <c r="AA572" i="1"/>
  <c r="AB572" i="1"/>
  <c r="AC572" i="1"/>
  <c r="AD572" i="1"/>
  <c r="AE572" i="1"/>
  <c r="AF572" i="1"/>
  <c r="AG572" i="1"/>
  <c r="AH572" i="1"/>
  <c r="AI572" i="1"/>
  <c r="AA573" i="1"/>
  <c r="AB573" i="1"/>
  <c r="AC573" i="1"/>
  <c r="AD573" i="1"/>
  <c r="AE573" i="1"/>
  <c r="AF573" i="1"/>
  <c r="AG573" i="1"/>
  <c r="AH573" i="1"/>
  <c r="AI573" i="1"/>
  <c r="AA574" i="1"/>
  <c r="AB574" i="1"/>
  <c r="AC574" i="1"/>
  <c r="AD574" i="1"/>
  <c r="AE574" i="1"/>
  <c r="AF574" i="1"/>
  <c r="AG574" i="1"/>
  <c r="AH574" i="1"/>
  <c r="AI574" i="1"/>
  <c r="AA575" i="1"/>
  <c r="AB575" i="1"/>
  <c r="AC575" i="1"/>
  <c r="AD575" i="1"/>
  <c r="AE575" i="1"/>
  <c r="AF575" i="1"/>
  <c r="AG575" i="1"/>
  <c r="AH575" i="1"/>
  <c r="AI575" i="1"/>
  <c r="AA576" i="1"/>
  <c r="AB576" i="1"/>
  <c r="AC576" i="1"/>
  <c r="AD576" i="1"/>
  <c r="AE576" i="1"/>
  <c r="AF576" i="1"/>
  <c r="AG576" i="1"/>
  <c r="AH576" i="1"/>
  <c r="AI576" i="1"/>
  <c r="AA577" i="1"/>
  <c r="AB577" i="1"/>
  <c r="AC577" i="1"/>
  <c r="AD577" i="1"/>
  <c r="AE577" i="1"/>
  <c r="AF577" i="1"/>
  <c r="AG577" i="1"/>
  <c r="AH577" i="1"/>
  <c r="AI577" i="1"/>
  <c r="AA578" i="1"/>
  <c r="AB578" i="1"/>
  <c r="AC578" i="1"/>
  <c r="AD578" i="1"/>
  <c r="AE578" i="1"/>
  <c r="AF578" i="1"/>
  <c r="AG578" i="1"/>
  <c r="AH578" i="1"/>
  <c r="AI578" i="1"/>
  <c r="AA579" i="1"/>
  <c r="AB579" i="1"/>
  <c r="AC579" i="1"/>
  <c r="AD579" i="1"/>
  <c r="AE579" i="1"/>
  <c r="AF579" i="1"/>
  <c r="AG579" i="1"/>
  <c r="AH579" i="1"/>
  <c r="AI579" i="1"/>
  <c r="AA580" i="1"/>
  <c r="AB580" i="1"/>
  <c r="AC580" i="1"/>
  <c r="AD580" i="1"/>
  <c r="AE580" i="1"/>
  <c r="AF580" i="1"/>
  <c r="AG580" i="1"/>
  <c r="AH580" i="1"/>
  <c r="AI580" i="1"/>
  <c r="AA581" i="1"/>
  <c r="AB581" i="1"/>
  <c r="AC581" i="1"/>
  <c r="AD581" i="1"/>
  <c r="AE581" i="1"/>
  <c r="AF581" i="1"/>
  <c r="AG581" i="1"/>
  <c r="AH581" i="1"/>
  <c r="AI581" i="1"/>
  <c r="AA582" i="1"/>
  <c r="AB582" i="1"/>
  <c r="AC582" i="1"/>
  <c r="AD582" i="1"/>
  <c r="AE582" i="1"/>
  <c r="AF582" i="1"/>
  <c r="AG582" i="1"/>
  <c r="AH582" i="1"/>
  <c r="AI582" i="1"/>
  <c r="AA583" i="1"/>
  <c r="AB583" i="1"/>
  <c r="AC583" i="1"/>
  <c r="AD583" i="1"/>
  <c r="AE583" i="1"/>
  <c r="AF583" i="1"/>
  <c r="AG583" i="1"/>
  <c r="AH583" i="1"/>
  <c r="AI583" i="1"/>
  <c r="AA584" i="1"/>
  <c r="AB584" i="1"/>
  <c r="AC584" i="1"/>
  <c r="AD584" i="1"/>
  <c r="AE584" i="1"/>
  <c r="AF584" i="1"/>
  <c r="AG584" i="1"/>
  <c r="AH584" i="1"/>
  <c r="AI584" i="1"/>
  <c r="AA585" i="1"/>
  <c r="AB585" i="1"/>
  <c r="AC585" i="1"/>
  <c r="AD585" i="1"/>
  <c r="AE585" i="1"/>
  <c r="AF585" i="1"/>
  <c r="AG585" i="1"/>
  <c r="AH585" i="1"/>
  <c r="AI585" i="1"/>
  <c r="AA586" i="1"/>
  <c r="AB586" i="1"/>
  <c r="AC586" i="1"/>
  <c r="AD586" i="1"/>
  <c r="AE586" i="1"/>
  <c r="AF586" i="1"/>
  <c r="AG586" i="1"/>
  <c r="AH586" i="1"/>
  <c r="AI586" i="1"/>
  <c r="AA587" i="1"/>
  <c r="AB587" i="1"/>
  <c r="AC587" i="1"/>
  <c r="AD587" i="1"/>
  <c r="AE587" i="1"/>
  <c r="AF587" i="1"/>
  <c r="AG587" i="1"/>
  <c r="AH587" i="1"/>
  <c r="AI587" i="1"/>
  <c r="AA588" i="1"/>
  <c r="AB588" i="1"/>
  <c r="AC588" i="1"/>
  <c r="AD588" i="1"/>
  <c r="AE588" i="1"/>
  <c r="AF588" i="1"/>
  <c r="AG588" i="1"/>
  <c r="AH588" i="1"/>
  <c r="AI588" i="1"/>
  <c r="AA589" i="1"/>
  <c r="AB589" i="1"/>
  <c r="AC589" i="1"/>
  <c r="AD589" i="1"/>
  <c r="AE589" i="1"/>
  <c r="AF589" i="1"/>
  <c r="AG589" i="1"/>
  <c r="AH589" i="1"/>
  <c r="AI589" i="1"/>
  <c r="AA590" i="1"/>
  <c r="AB590" i="1"/>
  <c r="AC590" i="1"/>
  <c r="AD590" i="1"/>
  <c r="AE590" i="1"/>
  <c r="AF590" i="1"/>
  <c r="AG590" i="1"/>
  <c r="AH590" i="1"/>
  <c r="AI590" i="1"/>
  <c r="AA591" i="1"/>
  <c r="AB591" i="1"/>
  <c r="AC591" i="1"/>
  <c r="AD591" i="1"/>
  <c r="AE591" i="1"/>
  <c r="AF591" i="1"/>
  <c r="AG591" i="1"/>
  <c r="AH591" i="1"/>
  <c r="AI591" i="1"/>
  <c r="AA592" i="1"/>
  <c r="AB592" i="1"/>
  <c r="AC592" i="1"/>
  <c r="AD592" i="1"/>
  <c r="AE592" i="1"/>
  <c r="AF592" i="1"/>
  <c r="AG592" i="1"/>
  <c r="AH592" i="1"/>
  <c r="AI592" i="1"/>
  <c r="AA593" i="1"/>
  <c r="AB593" i="1"/>
  <c r="AC593" i="1"/>
  <c r="AD593" i="1"/>
  <c r="AE593" i="1"/>
  <c r="AF593" i="1"/>
  <c r="AG593" i="1"/>
  <c r="AH593" i="1"/>
  <c r="AI593" i="1"/>
  <c r="AA594" i="1"/>
  <c r="AB594" i="1"/>
  <c r="AC594" i="1"/>
  <c r="AD594" i="1"/>
  <c r="AE594" i="1"/>
  <c r="AF594" i="1"/>
  <c r="AG594" i="1"/>
  <c r="AH594" i="1"/>
  <c r="AI594" i="1"/>
  <c r="AA595" i="1"/>
  <c r="AB595" i="1"/>
  <c r="AC595" i="1"/>
  <c r="AD595" i="1"/>
  <c r="AE595" i="1"/>
  <c r="AF595" i="1"/>
  <c r="AG595" i="1"/>
  <c r="AH595" i="1"/>
  <c r="AI595" i="1"/>
  <c r="AA596" i="1"/>
  <c r="AB596" i="1"/>
  <c r="AC596" i="1"/>
  <c r="AD596" i="1"/>
  <c r="AE596" i="1"/>
  <c r="AF596" i="1"/>
  <c r="AG596" i="1"/>
  <c r="AH596" i="1"/>
  <c r="AI596" i="1"/>
  <c r="AA597" i="1"/>
  <c r="AB597" i="1"/>
  <c r="AC597" i="1"/>
  <c r="AD597" i="1"/>
  <c r="AE597" i="1"/>
  <c r="AF597" i="1"/>
  <c r="AG597" i="1"/>
  <c r="AH597" i="1"/>
  <c r="AI597" i="1"/>
  <c r="AA598" i="1"/>
  <c r="AB598" i="1"/>
  <c r="AC598" i="1"/>
  <c r="AD598" i="1"/>
  <c r="AE598" i="1"/>
  <c r="AF598" i="1"/>
  <c r="AG598" i="1"/>
  <c r="AH598" i="1"/>
  <c r="AI598" i="1"/>
  <c r="AA599" i="1"/>
  <c r="AB599" i="1"/>
  <c r="AC599" i="1"/>
  <c r="AD599" i="1"/>
  <c r="AE599" i="1"/>
  <c r="AF599" i="1"/>
  <c r="AG599" i="1"/>
  <c r="AH599" i="1"/>
  <c r="AI599" i="1"/>
  <c r="AA600" i="1"/>
  <c r="AB600" i="1"/>
  <c r="AC600" i="1"/>
  <c r="AD600" i="1"/>
  <c r="AE600" i="1"/>
  <c r="AF600" i="1"/>
  <c r="AG600" i="1"/>
  <c r="AH600" i="1"/>
  <c r="AI600" i="1"/>
  <c r="AA601" i="1"/>
  <c r="AB601" i="1"/>
  <c r="AC601" i="1"/>
  <c r="AD601" i="1"/>
  <c r="AE601" i="1"/>
  <c r="AF601" i="1"/>
  <c r="AG601" i="1"/>
  <c r="AH601" i="1"/>
  <c r="AI601" i="1"/>
  <c r="AA602" i="1"/>
  <c r="AB602" i="1"/>
  <c r="AC602" i="1"/>
  <c r="AD602" i="1"/>
  <c r="AE602" i="1"/>
  <c r="AF602" i="1"/>
  <c r="AG602" i="1"/>
  <c r="AH602" i="1"/>
  <c r="AI602" i="1"/>
  <c r="AA603" i="1"/>
  <c r="AB603" i="1"/>
  <c r="AC603" i="1"/>
  <c r="AD603" i="1"/>
  <c r="AE603" i="1"/>
  <c r="AF603" i="1"/>
  <c r="AG603" i="1"/>
  <c r="AH603" i="1"/>
  <c r="AI603" i="1"/>
  <c r="AA604" i="1"/>
  <c r="AB604" i="1"/>
  <c r="AC604" i="1"/>
  <c r="AD604" i="1"/>
  <c r="AE604" i="1"/>
  <c r="AF604" i="1"/>
  <c r="AG604" i="1"/>
  <c r="AH604" i="1"/>
  <c r="AI604" i="1"/>
  <c r="AA605" i="1"/>
  <c r="AB605" i="1"/>
  <c r="AC605" i="1"/>
  <c r="AD605" i="1"/>
  <c r="AE605" i="1"/>
  <c r="AF605" i="1"/>
  <c r="AG605" i="1"/>
  <c r="AH605" i="1"/>
  <c r="AI605" i="1"/>
  <c r="AA606" i="1"/>
  <c r="AB606" i="1"/>
  <c r="AC606" i="1"/>
  <c r="AD606" i="1"/>
  <c r="AE606" i="1"/>
  <c r="AF606" i="1"/>
  <c r="AG606" i="1"/>
  <c r="AH606" i="1"/>
  <c r="AI606" i="1"/>
  <c r="AA607" i="1"/>
  <c r="AB607" i="1"/>
  <c r="AC607" i="1"/>
  <c r="AD607" i="1"/>
  <c r="AE607" i="1"/>
  <c r="AF607" i="1"/>
  <c r="AG607" i="1"/>
  <c r="AH607" i="1"/>
  <c r="AI607" i="1"/>
  <c r="AA608" i="1"/>
  <c r="AB608" i="1"/>
  <c r="AC608" i="1"/>
  <c r="AD608" i="1"/>
  <c r="AE608" i="1"/>
  <c r="AF608" i="1"/>
  <c r="AG608" i="1"/>
  <c r="AH608" i="1"/>
  <c r="AI608" i="1"/>
  <c r="AA609" i="1"/>
  <c r="AB609" i="1"/>
  <c r="AC609" i="1"/>
  <c r="AD609" i="1"/>
  <c r="AE609" i="1"/>
  <c r="AF609" i="1"/>
  <c r="AG609" i="1"/>
  <c r="AH609" i="1"/>
  <c r="AI609" i="1"/>
  <c r="AA610" i="1"/>
  <c r="AB610" i="1"/>
  <c r="AC610" i="1"/>
  <c r="AD610" i="1"/>
  <c r="AE610" i="1"/>
  <c r="AF610" i="1"/>
  <c r="AG610" i="1"/>
  <c r="AH610" i="1"/>
  <c r="AI610" i="1"/>
  <c r="AA611" i="1"/>
  <c r="AB611" i="1"/>
  <c r="AC611" i="1"/>
  <c r="AD611" i="1"/>
  <c r="AE611" i="1"/>
  <c r="AF611" i="1"/>
  <c r="AG611" i="1"/>
  <c r="AH611" i="1"/>
  <c r="AI611" i="1"/>
  <c r="AA612" i="1"/>
  <c r="AB612" i="1"/>
  <c r="AC612" i="1"/>
  <c r="AD612" i="1"/>
  <c r="AE612" i="1"/>
  <c r="AF612" i="1"/>
  <c r="AG612" i="1"/>
  <c r="AH612" i="1"/>
  <c r="AI612" i="1"/>
  <c r="AA613" i="1"/>
  <c r="AB613" i="1"/>
  <c r="AC613" i="1"/>
  <c r="AD613" i="1"/>
  <c r="AE613" i="1"/>
  <c r="AF613" i="1"/>
  <c r="AG613" i="1"/>
  <c r="AH613" i="1"/>
  <c r="AI613" i="1"/>
  <c r="AA614" i="1"/>
  <c r="AB614" i="1"/>
  <c r="AC614" i="1"/>
  <c r="AD614" i="1"/>
  <c r="AE614" i="1"/>
  <c r="AF614" i="1"/>
  <c r="AG614" i="1"/>
  <c r="AH614" i="1"/>
  <c r="AI614" i="1"/>
  <c r="AA615" i="1"/>
  <c r="AB615" i="1"/>
  <c r="AC615" i="1"/>
  <c r="AD615" i="1"/>
  <c r="AE615" i="1"/>
  <c r="AF615" i="1"/>
  <c r="AG615" i="1"/>
  <c r="AH615" i="1"/>
  <c r="AI615" i="1"/>
  <c r="AA616" i="1"/>
  <c r="AB616" i="1"/>
  <c r="AC616" i="1"/>
  <c r="AD616" i="1"/>
  <c r="AE616" i="1"/>
  <c r="AF616" i="1"/>
  <c r="AG616" i="1"/>
  <c r="AH616" i="1"/>
  <c r="AI616" i="1"/>
  <c r="AA617" i="1"/>
  <c r="AB617" i="1"/>
  <c r="AC617" i="1"/>
  <c r="AD617" i="1"/>
  <c r="AE617" i="1"/>
  <c r="AF617" i="1"/>
  <c r="AG617" i="1"/>
  <c r="AH617" i="1"/>
  <c r="AI617" i="1"/>
  <c r="AA618" i="1"/>
  <c r="AB618" i="1"/>
  <c r="AC618" i="1"/>
  <c r="AD618" i="1"/>
  <c r="AE618" i="1"/>
  <c r="AF618" i="1"/>
  <c r="AG618" i="1"/>
  <c r="AH618" i="1"/>
  <c r="AI618" i="1"/>
  <c r="AA619" i="1"/>
  <c r="AB619" i="1"/>
  <c r="AC619" i="1"/>
  <c r="AD619" i="1"/>
  <c r="AE619" i="1"/>
  <c r="AF619" i="1"/>
  <c r="AG619" i="1"/>
  <c r="AH619" i="1"/>
  <c r="AI619" i="1"/>
  <c r="AA620" i="1"/>
  <c r="AB620" i="1"/>
  <c r="AC620" i="1"/>
  <c r="AD620" i="1"/>
  <c r="AE620" i="1"/>
  <c r="AF620" i="1"/>
  <c r="AG620" i="1"/>
  <c r="AH620" i="1"/>
  <c r="AI620" i="1"/>
  <c r="AA621" i="1"/>
  <c r="AB621" i="1"/>
  <c r="AC621" i="1"/>
  <c r="AD621" i="1"/>
  <c r="AE621" i="1"/>
  <c r="AF621" i="1"/>
  <c r="AG621" i="1"/>
  <c r="AH621" i="1"/>
  <c r="AI621" i="1"/>
  <c r="AA622" i="1"/>
  <c r="AB622" i="1"/>
  <c r="AC622" i="1"/>
  <c r="AD622" i="1"/>
  <c r="AE622" i="1"/>
  <c r="AF622" i="1"/>
  <c r="AG622" i="1"/>
  <c r="AH622" i="1"/>
  <c r="AI622" i="1"/>
  <c r="AA623" i="1"/>
  <c r="AB623" i="1"/>
  <c r="AC623" i="1"/>
  <c r="AD623" i="1"/>
  <c r="AE623" i="1"/>
  <c r="AF623" i="1"/>
  <c r="AG623" i="1"/>
  <c r="AH623" i="1"/>
  <c r="AI623" i="1"/>
  <c r="AA624" i="1"/>
  <c r="AB624" i="1"/>
  <c r="AC624" i="1"/>
  <c r="AD624" i="1"/>
  <c r="AE624" i="1"/>
  <c r="AF624" i="1"/>
  <c r="AG624" i="1"/>
  <c r="AH624" i="1"/>
  <c r="AI624" i="1"/>
  <c r="AA625" i="1"/>
  <c r="AB625" i="1"/>
  <c r="AC625" i="1"/>
  <c r="AD625" i="1"/>
  <c r="AE625" i="1"/>
  <c r="AF625" i="1"/>
  <c r="AG625" i="1"/>
  <c r="AH625" i="1"/>
  <c r="AI625" i="1"/>
  <c r="AA626" i="1"/>
  <c r="AB626" i="1"/>
  <c r="AC626" i="1"/>
  <c r="AD626" i="1"/>
  <c r="AE626" i="1"/>
  <c r="AF626" i="1"/>
  <c r="AG626" i="1"/>
  <c r="AH626" i="1"/>
  <c r="AI626" i="1"/>
  <c r="AA627" i="1"/>
  <c r="AB627" i="1"/>
  <c r="AC627" i="1"/>
  <c r="AD627" i="1"/>
  <c r="AE627" i="1"/>
  <c r="AF627" i="1"/>
  <c r="AG627" i="1"/>
  <c r="AH627" i="1"/>
  <c r="AI627" i="1"/>
  <c r="AA628" i="1"/>
  <c r="AB628" i="1"/>
  <c r="AC628" i="1"/>
  <c r="AD628" i="1"/>
  <c r="AE628" i="1"/>
  <c r="AF628" i="1"/>
  <c r="AG628" i="1"/>
  <c r="AH628" i="1"/>
  <c r="AI628" i="1"/>
  <c r="AA629" i="1"/>
  <c r="AB629" i="1"/>
  <c r="AC629" i="1"/>
  <c r="AD629" i="1"/>
  <c r="AE629" i="1"/>
  <c r="AF629" i="1"/>
  <c r="AG629" i="1"/>
  <c r="AH629" i="1"/>
  <c r="AI629" i="1"/>
  <c r="AA630" i="1"/>
  <c r="AB630" i="1"/>
  <c r="AC630" i="1"/>
  <c r="AD630" i="1"/>
  <c r="AE630" i="1"/>
  <c r="AF630" i="1"/>
  <c r="AG630" i="1"/>
  <c r="AH630" i="1"/>
  <c r="AI630" i="1"/>
  <c r="AA631" i="1"/>
  <c r="AB631" i="1"/>
  <c r="AC631" i="1"/>
  <c r="AD631" i="1"/>
  <c r="AE631" i="1"/>
  <c r="AF631" i="1"/>
  <c r="AG631" i="1"/>
  <c r="AH631" i="1"/>
  <c r="AI631" i="1"/>
  <c r="AA632" i="1"/>
  <c r="AB632" i="1"/>
  <c r="AC632" i="1"/>
  <c r="AD632" i="1"/>
  <c r="AE632" i="1"/>
  <c r="AF632" i="1"/>
  <c r="AG632" i="1"/>
  <c r="AH632" i="1"/>
  <c r="AI632" i="1"/>
  <c r="AA633" i="1"/>
  <c r="AB633" i="1"/>
  <c r="AC633" i="1"/>
  <c r="AD633" i="1"/>
  <c r="AE633" i="1"/>
  <c r="AF633" i="1"/>
  <c r="AG633" i="1"/>
  <c r="AH633" i="1"/>
  <c r="AI633" i="1"/>
  <c r="AA634" i="1"/>
  <c r="AB634" i="1"/>
  <c r="AC634" i="1"/>
  <c r="AD634" i="1"/>
  <c r="AE634" i="1"/>
  <c r="AF634" i="1"/>
  <c r="AG634" i="1"/>
  <c r="AH634" i="1"/>
  <c r="AI634" i="1"/>
  <c r="AA635" i="1"/>
  <c r="AB635" i="1"/>
  <c r="AC635" i="1"/>
  <c r="AD635" i="1"/>
  <c r="AE635" i="1"/>
  <c r="AF635" i="1"/>
  <c r="AG635" i="1"/>
  <c r="AH635" i="1"/>
  <c r="AI635" i="1"/>
  <c r="AA636" i="1"/>
  <c r="AB636" i="1"/>
  <c r="AC636" i="1"/>
  <c r="AD636" i="1"/>
  <c r="AE636" i="1"/>
  <c r="AF636" i="1"/>
  <c r="AG636" i="1"/>
  <c r="AH636" i="1"/>
  <c r="AI636" i="1"/>
  <c r="AA637" i="1"/>
  <c r="AB637" i="1"/>
  <c r="AC637" i="1"/>
  <c r="AD637" i="1"/>
  <c r="AE637" i="1"/>
  <c r="AF637" i="1"/>
  <c r="AG637" i="1"/>
  <c r="AH637" i="1"/>
  <c r="AI637" i="1"/>
  <c r="AA638" i="1"/>
  <c r="AB638" i="1"/>
  <c r="AC638" i="1"/>
  <c r="AD638" i="1"/>
  <c r="AE638" i="1"/>
  <c r="AF638" i="1"/>
  <c r="AG638" i="1"/>
  <c r="AH638" i="1"/>
  <c r="AI638" i="1"/>
  <c r="AA639" i="1"/>
  <c r="AB639" i="1"/>
  <c r="AC639" i="1"/>
  <c r="AD639" i="1"/>
  <c r="AE639" i="1"/>
  <c r="AF639" i="1"/>
  <c r="AG639" i="1"/>
  <c r="AH639" i="1"/>
  <c r="AI639" i="1"/>
  <c r="AA640" i="1"/>
  <c r="AB640" i="1"/>
  <c r="AC640" i="1"/>
  <c r="AD640" i="1"/>
  <c r="AE640" i="1"/>
  <c r="AF640" i="1"/>
  <c r="AG640" i="1"/>
  <c r="AH640" i="1"/>
  <c r="AI640" i="1"/>
  <c r="AA641" i="1"/>
  <c r="AB641" i="1"/>
  <c r="AC641" i="1"/>
  <c r="AD641" i="1"/>
  <c r="AE641" i="1"/>
  <c r="AF641" i="1"/>
  <c r="AG641" i="1"/>
  <c r="AH641" i="1"/>
  <c r="AI641" i="1"/>
  <c r="AA642" i="1"/>
  <c r="AB642" i="1"/>
  <c r="AC642" i="1"/>
  <c r="AD642" i="1"/>
  <c r="AE642" i="1"/>
  <c r="AF642" i="1"/>
  <c r="AG642" i="1"/>
  <c r="AH642" i="1"/>
  <c r="AI642" i="1"/>
  <c r="AA643" i="1"/>
  <c r="AB643" i="1"/>
  <c r="AC643" i="1"/>
  <c r="AD643" i="1"/>
  <c r="AE643" i="1"/>
  <c r="AF643" i="1"/>
  <c r="AG643" i="1"/>
  <c r="AH643" i="1"/>
  <c r="AI643" i="1"/>
  <c r="AA644" i="1"/>
  <c r="AB644" i="1"/>
  <c r="AC644" i="1"/>
  <c r="AD644" i="1"/>
  <c r="AE644" i="1"/>
  <c r="AF644" i="1"/>
  <c r="AG644" i="1"/>
  <c r="AH644" i="1"/>
  <c r="AI644" i="1"/>
  <c r="AA645" i="1"/>
  <c r="AB645" i="1"/>
  <c r="AC645" i="1"/>
  <c r="AD645" i="1"/>
  <c r="AE645" i="1"/>
  <c r="AF645" i="1"/>
  <c r="AG645" i="1"/>
  <c r="AH645" i="1"/>
  <c r="AI645" i="1"/>
  <c r="AA646" i="1"/>
  <c r="AB646" i="1"/>
  <c r="AC646" i="1"/>
  <c r="AD646" i="1"/>
  <c r="AE646" i="1"/>
  <c r="AF646" i="1"/>
  <c r="AG646" i="1"/>
  <c r="AH646" i="1"/>
  <c r="AI646" i="1"/>
  <c r="AA647" i="1"/>
  <c r="AB647" i="1"/>
  <c r="AC647" i="1"/>
  <c r="AD647" i="1"/>
  <c r="AE647" i="1"/>
  <c r="AF647" i="1"/>
  <c r="AG647" i="1"/>
  <c r="AH647" i="1"/>
  <c r="AI647" i="1"/>
  <c r="AA648" i="1"/>
  <c r="AB648" i="1"/>
  <c r="AC648" i="1"/>
  <c r="AD648" i="1"/>
  <c r="AE648" i="1"/>
  <c r="AF648" i="1"/>
  <c r="AG648" i="1"/>
  <c r="AH648" i="1"/>
  <c r="AI648" i="1"/>
  <c r="AA649" i="1"/>
  <c r="AB649" i="1"/>
  <c r="AC649" i="1"/>
  <c r="AD649" i="1"/>
  <c r="AE649" i="1"/>
  <c r="AF649" i="1"/>
  <c r="AG649" i="1"/>
  <c r="AH649" i="1"/>
  <c r="AI649" i="1"/>
  <c r="AA650" i="1"/>
  <c r="AB650" i="1"/>
  <c r="AC650" i="1"/>
  <c r="AD650" i="1"/>
  <c r="AE650" i="1"/>
  <c r="AF650" i="1"/>
  <c r="AG650" i="1"/>
  <c r="AH650" i="1"/>
  <c r="AI650" i="1"/>
  <c r="AA651" i="1"/>
  <c r="AB651" i="1"/>
  <c r="AC651" i="1"/>
  <c r="AD651" i="1"/>
  <c r="AE651" i="1"/>
  <c r="AF651" i="1"/>
  <c r="AG651" i="1"/>
  <c r="AH651" i="1"/>
  <c r="AI651" i="1"/>
  <c r="AA652" i="1"/>
  <c r="AB652" i="1"/>
  <c r="AC652" i="1"/>
  <c r="AD652" i="1"/>
  <c r="AE652" i="1"/>
  <c r="AF652" i="1"/>
  <c r="AG652" i="1"/>
  <c r="AH652" i="1"/>
  <c r="AI652" i="1"/>
  <c r="AA653" i="1"/>
  <c r="AB653" i="1"/>
  <c r="AC653" i="1"/>
  <c r="AD653" i="1"/>
  <c r="AE653" i="1"/>
  <c r="AF653" i="1"/>
  <c r="AG653" i="1"/>
  <c r="AH653" i="1"/>
  <c r="AI653" i="1"/>
  <c r="AA654" i="1"/>
  <c r="AB654" i="1"/>
  <c r="AC654" i="1"/>
  <c r="AD654" i="1"/>
  <c r="AE654" i="1"/>
  <c r="AF654" i="1"/>
  <c r="AG654" i="1"/>
  <c r="AH654" i="1"/>
  <c r="AI654" i="1"/>
  <c r="AA655" i="1"/>
  <c r="AB655" i="1"/>
  <c r="AC655" i="1"/>
  <c r="AD655" i="1"/>
  <c r="AE655" i="1"/>
  <c r="AF655" i="1"/>
  <c r="AG655" i="1"/>
  <c r="AH655" i="1"/>
  <c r="AI655" i="1"/>
  <c r="AA656" i="1"/>
  <c r="AB656" i="1"/>
  <c r="AC656" i="1"/>
  <c r="AD656" i="1"/>
  <c r="AE656" i="1"/>
  <c r="AF656" i="1"/>
  <c r="AG656" i="1"/>
  <c r="AH656" i="1"/>
  <c r="AI656" i="1"/>
  <c r="AA657" i="1"/>
  <c r="AB657" i="1"/>
  <c r="AC657" i="1"/>
  <c r="AD657" i="1"/>
  <c r="AE657" i="1"/>
  <c r="AF657" i="1"/>
  <c r="AG657" i="1"/>
  <c r="AH657" i="1"/>
  <c r="AI657" i="1"/>
  <c r="AA658" i="1"/>
  <c r="AB658" i="1"/>
  <c r="AC658" i="1"/>
  <c r="AD658" i="1"/>
  <c r="AE658" i="1"/>
  <c r="AF658" i="1"/>
  <c r="AG658" i="1"/>
  <c r="AH658" i="1"/>
  <c r="AI658" i="1"/>
  <c r="AA659" i="1"/>
  <c r="AB659" i="1"/>
  <c r="AC659" i="1"/>
  <c r="AD659" i="1"/>
  <c r="AE659" i="1"/>
  <c r="AF659" i="1"/>
  <c r="AG659" i="1"/>
  <c r="AH659" i="1"/>
  <c r="AI659" i="1"/>
  <c r="AA660" i="1"/>
  <c r="AB660" i="1"/>
  <c r="AC660" i="1"/>
  <c r="AD660" i="1"/>
  <c r="AE660" i="1"/>
  <c r="AF660" i="1"/>
  <c r="AG660" i="1"/>
  <c r="AH660" i="1"/>
  <c r="AI660" i="1"/>
  <c r="AA661" i="1"/>
  <c r="AB661" i="1"/>
  <c r="AC661" i="1"/>
  <c r="AD661" i="1"/>
  <c r="AE661" i="1"/>
  <c r="AF661" i="1"/>
  <c r="AG661" i="1"/>
  <c r="AH661" i="1"/>
  <c r="AI661" i="1"/>
  <c r="AA662" i="1"/>
  <c r="AB662" i="1"/>
  <c r="AC662" i="1"/>
  <c r="AD662" i="1"/>
  <c r="AE662" i="1"/>
  <c r="AF662" i="1"/>
  <c r="AG662" i="1"/>
  <c r="AH662" i="1"/>
  <c r="AI662" i="1"/>
  <c r="AA663" i="1"/>
  <c r="AB663" i="1"/>
  <c r="AC663" i="1"/>
  <c r="AD663" i="1"/>
  <c r="AE663" i="1"/>
  <c r="AF663" i="1"/>
  <c r="AG663" i="1"/>
  <c r="AH663" i="1"/>
  <c r="AI663" i="1"/>
  <c r="AA664" i="1"/>
  <c r="AB664" i="1"/>
  <c r="AC664" i="1"/>
  <c r="AD664" i="1"/>
  <c r="AE664" i="1"/>
  <c r="AF664" i="1"/>
  <c r="AG664" i="1"/>
  <c r="AH664" i="1"/>
  <c r="AI664" i="1"/>
  <c r="AA665" i="1"/>
  <c r="AB665" i="1"/>
  <c r="AC665" i="1"/>
  <c r="AD665" i="1"/>
  <c r="AE665" i="1"/>
  <c r="AF665" i="1"/>
  <c r="AG665" i="1"/>
  <c r="AH665" i="1"/>
  <c r="AI665" i="1"/>
  <c r="AA666" i="1"/>
  <c r="AB666" i="1"/>
  <c r="AC666" i="1"/>
  <c r="AD666" i="1"/>
  <c r="AE666" i="1"/>
  <c r="AF666" i="1"/>
  <c r="AG666" i="1"/>
  <c r="AH666" i="1"/>
  <c r="AI666" i="1"/>
  <c r="AA667" i="1"/>
  <c r="AB667" i="1"/>
  <c r="AC667" i="1"/>
  <c r="AD667" i="1"/>
  <c r="AE667" i="1"/>
  <c r="AF667" i="1"/>
  <c r="AG667" i="1"/>
  <c r="AH667" i="1"/>
  <c r="AI667" i="1"/>
  <c r="AA668" i="1"/>
  <c r="AB668" i="1"/>
  <c r="AC668" i="1"/>
  <c r="AD668" i="1"/>
  <c r="AE668" i="1"/>
  <c r="AF668" i="1"/>
  <c r="AG668" i="1"/>
  <c r="AH668" i="1"/>
  <c r="AI668" i="1"/>
  <c r="AA669" i="1"/>
  <c r="AB669" i="1"/>
  <c r="AC669" i="1"/>
  <c r="AD669" i="1"/>
  <c r="AE669" i="1"/>
  <c r="AF669" i="1"/>
  <c r="AG669" i="1"/>
  <c r="AH669" i="1"/>
  <c r="AI669" i="1"/>
  <c r="AA670" i="1"/>
  <c r="AB670" i="1"/>
  <c r="AC670" i="1"/>
  <c r="AD670" i="1"/>
  <c r="AE670" i="1"/>
  <c r="AF670" i="1"/>
  <c r="AG670" i="1"/>
  <c r="AH670" i="1"/>
  <c r="AI670" i="1"/>
  <c r="AA671" i="1"/>
  <c r="AB671" i="1"/>
  <c r="AC671" i="1"/>
  <c r="AD671" i="1"/>
  <c r="AE671" i="1"/>
  <c r="AF671" i="1"/>
  <c r="AG671" i="1"/>
  <c r="AH671" i="1"/>
  <c r="AI671" i="1"/>
  <c r="AA672" i="1"/>
  <c r="AB672" i="1"/>
  <c r="AC672" i="1"/>
  <c r="AD672" i="1"/>
  <c r="AE672" i="1"/>
  <c r="AF672" i="1"/>
  <c r="AG672" i="1"/>
  <c r="AH672" i="1"/>
  <c r="AI672" i="1"/>
  <c r="AA673" i="1"/>
  <c r="AB673" i="1"/>
  <c r="AC673" i="1"/>
  <c r="AD673" i="1"/>
  <c r="AE673" i="1"/>
  <c r="AF673" i="1"/>
  <c r="AG673" i="1"/>
  <c r="AH673" i="1"/>
  <c r="AI673" i="1"/>
  <c r="AA674" i="1"/>
  <c r="AB674" i="1"/>
  <c r="AC674" i="1"/>
  <c r="AD674" i="1"/>
  <c r="AE674" i="1"/>
  <c r="AF674" i="1"/>
  <c r="AG674" i="1"/>
  <c r="AH674" i="1"/>
  <c r="AI674" i="1"/>
  <c r="AA675" i="1"/>
  <c r="AB675" i="1"/>
  <c r="AC675" i="1"/>
  <c r="AD675" i="1"/>
  <c r="AE675" i="1"/>
  <c r="AF675" i="1"/>
  <c r="AG675" i="1"/>
  <c r="AH675" i="1"/>
  <c r="AI675" i="1"/>
  <c r="AA676" i="1"/>
  <c r="AB676" i="1"/>
  <c r="AC676" i="1"/>
  <c r="AD676" i="1"/>
  <c r="AE676" i="1"/>
  <c r="AF676" i="1"/>
  <c r="AG676" i="1"/>
  <c r="AH676" i="1"/>
  <c r="AI676" i="1"/>
  <c r="AA677" i="1"/>
  <c r="AB677" i="1"/>
  <c r="AC677" i="1"/>
  <c r="AD677" i="1"/>
  <c r="AE677" i="1"/>
  <c r="AF677" i="1"/>
  <c r="AG677" i="1"/>
  <c r="AH677" i="1"/>
  <c r="AI677" i="1"/>
  <c r="AA678" i="1"/>
  <c r="AB678" i="1"/>
  <c r="AC678" i="1"/>
  <c r="AD678" i="1"/>
  <c r="AE678" i="1"/>
  <c r="AF678" i="1"/>
  <c r="AG678" i="1"/>
  <c r="AH678" i="1"/>
  <c r="AI678" i="1"/>
  <c r="AA679" i="1"/>
  <c r="AB679" i="1"/>
  <c r="AC679" i="1"/>
  <c r="AD679" i="1"/>
  <c r="AE679" i="1"/>
  <c r="AF679" i="1"/>
  <c r="AG679" i="1"/>
  <c r="AH679" i="1"/>
  <c r="AI679" i="1"/>
  <c r="AA680" i="1"/>
  <c r="AB680" i="1"/>
  <c r="AC680" i="1"/>
  <c r="AD680" i="1"/>
  <c r="AE680" i="1"/>
  <c r="AF680" i="1"/>
  <c r="AG680" i="1"/>
  <c r="AH680" i="1"/>
  <c r="AI680" i="1"/>
  <c r="AA681" i="1"/>
  <c r="AB681" i="1"/>
  <c r="AC681" i="1"/>
  <c r="AD681" i="1"/>
  <c r="AE681" i="1"/>
  <c r="AF681" i="1"/>
  <c r="AG681" i="1"/>
  <c r="AH681" i="1"/>
  <c r="AI681" i="1"/>
  <c r="AA682" i="1"/>
  <c r="AB682" i="1"/>
  <c r="AC682" i="1"/>
  <c r="AD682" i="1"/>
  <c r="AE682" i="1"/>
  <c r="AF682" i="1"/>
  <c r="AG682" i="1"/>
  <c r="AH682" i="1"/>
  <c r="AI682" i="1"/>
  <c r="AA683" i="1"/>
  <c r="AB683" i="1"/>
  <c r="AC683" i="1"/>
  <c r="AD683" i="1"/>
  <c r="AE683" i="1"/>
  <c r="AF683" i="1"/>
  <c r="AG683" i="1"/>
  <c r="AH683" i="1"/>
  <c r="AI683" i="1"/>
  <c r="AA684" i="1"/>
  <c r="AB684" i="1"/>
  <c r="AC684" i="1"/>
  <c r="AD684" i="1"/>
  <c r="AE684" i="1"/>
  <c r="AF684" i="1"/>
  <c r="AG684" i="1"/>
  <c r="AH684" i="1"/>
  <c r="AI684" i="1"/>
  <c r="AA685" i="1"/>
  <c r="AB685" i="1"/>
  <c r="AC685" i="1"/>
  <c r="AD685" i="1"/>
  <c r="AE685" i="1"/>
  <c r="AF685" i="1"/>
  <c r="AG685" i="1"/>
  <c r="AH685" i="1"/>
  <c r="AI685" i="1"/>
  <c r="AA686" i="1"/>
  <c r="AB686" i="1"/>
  <c r="AC686" i="1"/>
  <c r="AD686" i="1"/>
  <c r="AE686" i="1"/>
  <c r="AF686" i="1"/>
  <c r="AG686" i="1"/>
  <c r="AH686" i="1"/>
  <c r="AI686" i="1"/>
  <c r="AA687" i="1"/>
  <c r="AB687" i="1"/>
  <c r="AC687" i="1"/>
  <c r="AD687" i="1"/>
  <c r="AE687" i="1"/>
  <c r="AF687" i="1"/>
  <c r="AG687" i="1"/>
  <c r="AH687" i="1"/>
  <c r="AI687" i="1"/>
  <c r="AA688" i="1"/>
  <c r="AB688" i="1"/>
  <c r="AC688" i="1"/>
  <c r="AD688" i="1"/>
  <c r="AE688" i="1"/>
  <c r="AF688" i="1"/>
  <c r="AG688" i="1"/>
  <c r="AH688" i="1"/>
  <c r="AI688" i="1"/>
  <c r="AA689" i="1"/>
  <c r="AB689" i="1"/>
  <c r="AC689" i="1"/>
  <c r="AD689" i="1"/>
  <c r="AE689" i="1"/>
  <c r="AF689" i="1"/>
  <c r="AG689" i="1"/>
  <c r="AH689" i="1"/>
  <c r="AI689" i="1"/>
  <c r="AA690" i="1"/>
  <c r="AB690" i="1"/>
  <c r="AC690" i="1"/>
  <c r="AD690" i="1"/>
  <c r="AE690" i="1"/>
  <c r="AF690" i="1"/>
  <c r="AG690" i="1"/>
  <c r="AH690" i="1"/>
  <c r="AI690" i="1"/>
  <c r="AA691" i="1"/>
  <c r="AB691" i="1"/>
  <c r="AC691" i="1"/>
  <c r="AD691" i="1"/>
  <c r="AE691" i="1"/>
  <c r="AF691" i="1"/>
  <c r="AG691" i="1"/>
  <c r="AH691" i="1"/>
  <c r="AI691" i="1"/>
  <c r="AA692" i="1"/>
  <c r="AB692" i="1"/>
  <c r="AC692" i="1"/>
  <c r="AD692" i="1"/>
  <c r="AE692" i="1"/>
  <c r="AF692" i="1"/>
  <c r="AG692" i="1"/>
  <c r="AH692" i="1"/>
  <c r="AI692" i="1"/>
  <c r="AA693" i="1"/>
  <c r="AB693" i="1"/>
  <c r="AC693" i="1"/>
  <c r="AD693" i="1"/>
  <c r="AE693" i="1"/>
  <c r="AF693" i="1"/>
  <c r="AG693" i="1"/>
  <c r="AH693" i="1"/>
  <c r="AI693" i="1"/>
  <c r="AA694" i="1"/>
  <c r="AB694" i="1"/>
  <c r="AC694" i="1"/>
  <c r="AD694" i="1"/>
  <c r="AE694" i="1"/>
  <c r="AF694" i="1"/>
  <c r="AG694" i="1"/>
  <c r="AH694" i="1"/>
  <c r="AI694" i="1"/>
  <c r="AA695" i="1"/>
  <c r="AB695" i="1"/>
  <c r="AC695" i="1"/>
  <c r="AD695" i="1"/>
  <c r="AE695" i="1"/>
  <c r="AF695" i="1"/>
  <c r="AG695" i="1"/>
  <c r="AH695" i="1"/>
  <c r="AI695" i="1"/>
  <c r="AA696" i="1"/>
  <c r="AB696" i="1"/>
  <c r="AC696" i="1"/>
  <c r="AD696" i="1"/>
  <c r="AE696" i="1"/>
  <c r="AF696" i="1"/>
  <c r="AG696" i="1"/>
  <c r="AH696" i="1"/>
  <c r="AI696" i="1"/>
  <c r="AA697" i="1"/>
  <c r="AB697" i="1"/>
  <c r="AC697" i="1"/>
  <c r="AD697" i="1"/>
  <c r="AE697" i="1"/>
  <c r="AF697" i="1"/>
  <c r="AG697" i="1"/>
  <c r="AH697" i="1"/>
  <c r="AI697" i="1"/>
  <c r="AA698" i="1"/>
  <c r="AB698" i="1"/>
  <c r="AC698" i="1"/>
  <c r="AD698" i="1"/>
  <c r="AE698" i="1"/>
  <c r="AF698" i="1"/>
  <c r="AG698" i="1"/>
  <c r="AH698" i="1"/>
  <c r="AI698" i="1"/>
  <c r="AA699" i="1"/>
  <c r="AB699" i="1"/>
  <c r="AC699" i="1"/>
  <c r="AD699" i="1"/>
  <c r="AE699" i="1"/>
  <c r="AF699" i="1"/>
  <c r="AG699" i="1"/>
  <c r="AH699" i="1"/>
  <c r="AI699" i="1"/>
  <c r="AA700" i="1"/>
  <c r="AB700" i="1"/>
  <c r="AC700" i="1"/>
  <c r="AD700" i="1"/>
  <c r="AE700" i="1"/>
  <c r="AF700" i="1"/>
  <c r="AG700" i="1"/>
  <c r="AH700" i="1"/>
  <c r="AI700" i="1"/>
  <c r="AA701" i="1"/>
  <c r="AB701" i="1"/>
  <c r="AC701" i="1"/>
  <c r="AD701" i="1"/>
  <c r="AE701" i="1"/>
  <c r="AF701" i="1"/>
  <c r="AG701" i="1"/>
  <c r="AH701" i="1"/>
  <c r="AI701" i="1"/>
  <c r="AA702" i="1"/>
  <c r="AB702" i="1"/>
  <c r="AC702" i="1"/>
  <c r="AD702" i="1"/>
  <c r="AE702" i="1"/>
  <c r="AF702" i="1"/>
  <c r="AG702" i="1"/>
  <c r="AH702" i="1"/>
  <c r="AI702" i="1"/>
  <c r="AA703" i="1"/>
  <c r="AB703" i="1"/>
  <c r="AC703" i="1"/>
  <c r="AD703" i="1"/>
  <c r="AE703" i="1"/>
  <c r="AF703" i="1"/>
  <c r="AG703" i="1"/>
  <c r="AH703" i="1"/>
  <c r="AI703" i="1"/>
  <c r="AA704" i="1"/>
  <c r="AB704" i="1"/>
  <c r="AC704" i="1"/>
  <c r="AD704" i="1"/>
  <c r="AE704" i="1"/>
  <c r="AF704" i="1"/>
  <c r="AG704" i="1"/>
  <c r="AH704" i="1"/>
  <c r="AI704" i="1"/>
  <c r="AA705" i="1"/>
  <c r="AB705" i="1"/>
  <c r="AC705" i="1"/>
  <c r="AD705" i="1"/>
  <c r="AE705" i="1"/>
  <c r="AF705" i="1"/>
  <c r="AG705" i="1"/>
  <c r="AH705" i="1"/>
  <c r="AI705" i="1"/>
  <c r="AA706" i="1"/>
  <c r="AB706" i="1"/>
  <c r="AC706" i="1"/>
  <c r="AD706" i="1"/>
  <c r="AE706" i="1"/>
  <c r="AF706" i="1"/>
  <c r="AG706" i="1"/>
  <c r="AH706" i="1"/>
  <c r="AI706" i="1"/>
  <c r="AA707" i="1"/>
  <c r="AB707" i="1"/>
  <c r="AC707" i="1"/>
  <c r="AD707" i="1"/>
  <c r="AE707" i="1"/>
  <c r="AF707" i="1"/>
  <c r="AG707" i="1"/>
  <c r="AH707" i="1"/>
  <c r="AI707" i="1"/>
  <c r="AA708" i="1"/>
  <c r="AB708" i="1"/>
  <c r="AC708" i="1"/>
  <c r="AD708" i="1"/>
  <c r="AE708" i="1"/>
  <c r="AF708" i="1"/>
  <c r="AG708" i="1"/>
  <c r="AH708" i="1"/>
  <c r="AI708" i="1"/>
  <c r="AA709" i="1"/>
  <c r="AB709" i="1"/>
  <c r="AC709" i="1"/>
  <c r="AD709" i="1"/>
  <c r="AE709" i="1"/>
  <c r="AF709" i="1"/>
  <c r="AG709" i="1"/>
  <c r="AH709" i="1"/>
  <c r="AI709" i="1"/>
  <c r="AA710" i="1"/>
  <c r="AB710" i="1"/>
  <c r="AC710" i="1"/>
  <c r="AD710" i="1"/>
  <c r="AE710" i="1"/>
  <c r="AF710" i="1"/>
  <c r="AG710" i="1"/>
  <c r="AH710" i="1"/>
  <c r="AI710" i="1"/>
  <c r="AA711" i="1"/>
  <c r="AB711" i="1"/>
  <c r="AC711" i="1"/>
  <c r="AD711" i="1"/>
  <c r="AE711" i="1"/>
  <c r="AF711" i="1"/>
  <c r="AG711" i="1"/>
  <c r="AH711" i="1"/>
  <c r="AI711" i="1"/>
  <c r="AA712" i="1"/>
  <c r="AB712" i="1"/>
  <c r="AC712" i="1"/>
  <c r="AD712" i="1"/>
  <c r="AE712" i="1"/>
  <c r="AF712" i="1"/>
  <c r="AG712" i="1"/>
  <c r="AH712" i="1"/>
  <c r="AI712" i="1"/>
  <c r="AA713" i="1"/>
  <c r="AB713" i="1"/>
  <c r="AC713" i="1"/>
  <c r="AD713" i="1"/>
  <c r="AE713" i="1"/>
  <c r="AF713" i="1"/>
  <c r="AG713" i="1"/>
  <c r="AH713" i="1"/>
  <c r="AI713" i="1"/>
  <c r="AA714" i="1"/>
  <c r="AB714" i="1"/>
  <c r="AC714" i="1"/>
  <c r="AD714" i="1"/>
  <c r="AE714" i="1"/>
  <c r="AF714" i="1"/>
  <c r="AG714" i="1"/>
  <c r="AH714" i="1"/>
  <c r="AI714" i="1"/>
  <c r="AA715" i="1"/>
  <c r="AB715" i="1"/>
  <c r="AC715" i="1"/>
  <c r="AD715" i="1"/>
  <c r="AE715" i="1"/>
  <c r="AF715" i="1"/>
  <c r="AG715" i="1"/>
  <c r="AH715" i="1"/>
  <c r="AI715" i="1"/>
  <c r="AA716" i="1"/>
  <c r="AB716" i="1"/>
  <c r="AC716" i="1"/>
  <c r="AD716" i="1"/>
  <c r="AE716" i="1"/>
  <c r="AF716" i="1"/>
  <c r="AG716" i="1"/>
  <c r="AH716" i="1"/>
  <c r="AI716" i="1"/>
  <c r="AA717" i="1"/>
  <c r="AB717" i="1"/>
  <c r="AC717" i="1"/>
  <c r="AD717" i="1"/>
  <c r="AE717" i="1"/>
  <c r="AF717" i="1"/>
  <c r="AG717" i="1"/>
  <c r="AH717" i="1"/>
  <c r="AI717" i="1"/>
  <c r="AA718" i="1"/>
  <c r="AB718" i="1"/>
  <c r="AC718" i="1"/>
  <c r="AD718" i="1"/>
  <c r="AE718" i="1"/>
  <c r="AF718" i="1"/>
  <c r="AG718" i="1"/>
  <c r="AH718" i="1"/>
  <c r="AI718" i="1"/>
  <c r="AA719" i="1"/>
  <c r="AB719" i="1"/>
  <c r="AC719" i="1"/>
  <c r="AD719" i="1"/>
  <c r="AE719" i="1"/>
  <c r="AF719" i="1"/>
  <c r="AG719" i="1"/>
  <c r="AH719" i="1"/>
  <c r="AI719" i="1"/>
  <c r="AA720" i="1"/>
  <c r="AB720" i="1"/>
  <c r="AC720" i="1"/>
  <c r="AD720" i="1"/>
  <c r="AE720" i="1"/>
  <c r="AF720" i="1"/>
  <c r="AG720" i="1"/>
  <c r="AH720" i="1"/>
  <c r="AI720" i="1"/>
  <c r="AA721" i="1"/>
  <c r="AB721" i="1"/>
  <c r="AC721" i="1"/>
  <c r="AD721" i="1"/>
  <c r="AE721" i="1"/>
  <c r="AF721" i="1"/>
  <c r="AG721" i="1"/>
  <c r="AH721" i="1"/>
  <c r="AI721" i="1"/>
  <c r="AA722" i="1"/>
  <c r="AB722" i="1"/>
  <c r="AC722" i="1"/>
  <c r="AD722" i="1"/>
  <c r="AE722" i="1"/>
  <c r="AF722" i="1"/>
  <c r="AG722" i="1"/>
  <c r="AH722" i="1"/>
  <c r="AI722" i="1"/>
  <c r="AA723" i="1"/>
  <c r="AB723" i="1"/>
  <c r="AC723" i="1"/>
  <c r="AD723" i="1"/>
  <c r="AE723" i="1"/>
  <c r="AF723" i="1"/>
  <c r="AG723" i="1"/>
  <c r="AH723" i="1"/>
  <c r="AI723" i="1"/>
  <c r="AA724" i="1"/>
  <c r="AB724" i="1"/>
  <c r="AC724" i="1"/>
  <c r="AD724" i="1"/>
  <c r="AE724" i="1"/>
  <c r="AF724" i="1"/>
  <c r="AG724" i="1"/>
  <c r="AH724" i="1"/>
  <c r="AI724" i="1"/>
  <c r="AA725" i="1"/>
  <c r="AB725" i="1"/>
  <c r="AC725" i="1"/>
  <c r="AD725" i="1"/>
  <c r="AE725" i="1"/>
  <c r="AF725" i="1"/>
  <c r="AG725" i="1"/>
  <c r="AH725" i="1"/>
  <c r="AI725" i="1"/>
  <c r="AA726" i="1"/>
  <c r="AB726" i="1"/>
  <c r="AC726" i="1"/>
  <c r="AD726" i="1"/>
  <c r="AE726" i="1"/>
  <c r="AF726" i="1"/>
  <c r="AG726" i="1"/>
  <c r="AH726" i="1"/>
  <c r="AI726" i="1"/>
  <c r="AA727" i="1"/>
  <c r="AB727" i="1"/>
  <c r="AC727" i="1"/>
  <c r="AD727" i="1"/>
  <c r="AE727" i="1"/>
  <c r="AF727" i="1"/>
  <c r="AG727" i="1"/>
  <c r="AH727" i="1"/>
  <c r="AI727" i="1"/>
  <c r="AA728" i="1"/>
  <c r="AB728" i="1"/>
  <c r="AC728" i="1"/>
  <c r="AD728" i="1"/>
  <c r="AE728" i="1"/>
  <c r="AF728" i="1"/>
  <c r="AG728" i="1"/>
  <c r="AH728" i="1"/>
  <c r="AI728" i="1"/>
  <c r="AA729" i="1"/>
  <c r="AB729" i="1"/>
  <c r="AC729" i="1"/>
  <c r="AD729" i="1"/>
  <c r="AE729" i="1"/>
  <c r="AF729" i="1"/>
  <c r="AG729" i="1"/>
  <c r="AH729" i="1"/>
  <c r="AI729" i="1"/>
  <c r="AA730" i="1"/>
  <c r="AB730" i="1"/>
  <c r="AC730" i="1"/>
  <c r="AD730" i="1"/>
  <c r="AE730" i="1"/>
  <c r="AF730" i="1"/>
  <c r="AG730" i="1"/>
  <c r="AH730" i="1"/>
  <c r="AI730" i="1"/>
  <c r="AA731" i="1"/>
  <c r="AB731" i="1"/>
  <c r="AC731" i="1"/>
  <c r="AD731" i="1"/>
  <c r="AE731" i="1"/>
  <c r="AF731" i="1"/>
  <c r="AG731" i="1"/>
  <c r="AH731" i="1"/>
  <c r="AI731" i="1"/>
  <c r="AA732" i="1"/>
  <c r="AB732" i="1"/>
  <c r="AC732" i="1"/>
  <c r="AD732" i="1"/>
  <c r="AE732" i="1"/>
  <c r="AF732" i="1"/>
  <c r="AG732" i="1"/>
  <c r="AH732" i="1"/>
  <c r="AI732" i="1"/>
  <c r="AA733" i="1"/>
  <c r="AB733" i="1"/>
  <c r="AC733" i="1"/>
  <c r="AD733" i="1"/>
  <c r="AE733" i="1"/>
  <c r="AF733" i="1"/>
  <c r="AG733" i="1"/>
  <c r="AH733" i="1"/>
  <c r="AI733" i="1"/>
  <c r="AA734" i="1"/>
  <c r="AB734" i="1"/>
  <c r="AC734" i="1"/>
  <c r="AD734" i="1"/>
  <c r="AE734" i="1"/>
  <c r="AF734" i="1"/>
  <c r="AG734" i="1"/>
  <c r="AH734" i="1"/>
  <c r="AI734" i="1"/>
  <c r="AA735" i="1"/>
  <c r="AB735" i="1"/>
  <c r="AC735" i="1"/>
  <c r="AD735" i="1"/>
  <c r="AE735" i="1"/>
  <c r="AF735" i="1"/>
  <c r="AG735" i="1"/>
  <c r="AH735" i="1"/>
  <c r="AI735" i="1"/>
  <c r="AA736" i="1"/>
  <c r="AB736" i="1"/>
  <c r="AC736" i="1"/>
  <c r="AD736" i="1"/>
  <c r="AE736" i="1"/>
  <c r="AF736" i="1"/>
  <c r="AG736" i="1"/>
  <c r="AH736" i="1"/>
  <c r="AI736" i="1"/>
  <c r="AA737" i="1"/>
  <c r="AB737" i="1"/>
  <c r="AC737" i="1"/>
  <c r="AD737" i="1"/>
  <c r="AE737" i="1"/>
  <c r="AF737" i="1"/>
  <c r="AG737" i="1"/>
  <c r="AH737" i="1"/>
  <c r="AI737" i="1"/>
  <c r="AA738" i="1"/>
  <c r="AB738" i="1"/>
  <c r="AC738" i="1"/>
  <c r="AD738" i="1"/>
  <c r="AE738" i="1"/>
  <c r="AF738" i="1"/>
  <c r="AG738" i="1"/>
  <c r="AH738" i="1"/>
  <c r="AI738" i="1"/>
  <c r="AA739" i="1"/>
  <c r="AB739" i="1"/>
  <c r="AC739" i="1"/>
  <c r="AD739" i="1"/>
  <c r="AE739" i="1"/>
  <c r="AF739" i="1"/>
  <c r="AG739" i="1"/>
  <c r="AH739" i="1"/>
  <c r="AI739" i="1"/>
  <c r="AA740" i="1"/>
  <c r="AB740" i="1"/>
  <c r="AC740" i="1"/>
  <c r="AD740" i="1"/>
  <c r="AE740" i="1"/>
  <c r="AF740" i="1"/>
  <c r="AG740" i="1"/>
  <c r="AH740" i="1"/>
  <c r="AI740" i="1"/>
  <c r="AA741" i="1"/>
  <c r="AB741" i="1"/>
  <c r="AC741" i="1"/>
  <c r="AD741" i="1"/>
  <c r="AE741" i="1"/>
  <c r="AF741" i="1"/>
  <c r="AG741" i="1"/>
  <c r="AH741" i="1"/>
  <c r="AI741" i="1"/>
  <c r="AA742" i="1"/>
  <c r="AB742" i="1"/>
  <c r="AC742" i="1"/>
  <c r="AD742" i="1"/>
  <c r="AE742" i="1"/>
  <c r="AF742" i="1"/>
  <c r="AG742" i="1"/>
  <c r="AH742" i="1"/>
  <c r="AI742" i="1"/>
  <c r="AA743" i="1"/>
  <c r="AB743" i="1"/>
  <c r="AC743" i="1"/>
  <c r="AD743" i="1"/>
  <c r="AE743" i="1"/>
  <c r="AF743" i="1"/>
  <c r="AG743" i="1"/>
  <c r="AH743" i="1"/>
  <c r="AI743" i="1"/>
  <c r="AA744" i="1"/>
  <c r="AB744" i="1"/>
  <c r="AC744" i="1"/>
  <c r="AD744" i="1"/>
  <c r="AE744" i="1"/>
  <c r="AF744" i="1"/>
  <c r="AG744" i="1"/>
  <c r="AH744" i="1"/>
  <c r="AI744" i="1"/>
  <c r="AA745" i="1"/>
  <c r="AB745" i="1"/>
  <c r="AC745" i="1"/>
  <c r="AD745" i="1"/>
  <c r="AE745" i="1"/>
  <c r="AF745" i="1"/>
  <c r="AG745" i="1"/>
  <c r="AH745" i="1"/>
  <c r="AI745" i="1"/>
  <c r="AA746" i="1"/>
  <c r="AB746" i="1"/>
  <c r="AC746" i="1"/>
  <c r="AD746" i="1"/>
  <c r="AE746" i="1"/>
  <c r="AF746" i="1"/>
  <c r="AG746" i="1"/>
  <c r="AH746" i="1"/>
  <c r="AI746" i="1"/>
  <c r="AA747" i="1"/>
  <c r="AB747" i="1"/>
  <c r="AC747" i="1"/>
  <c r="AD747" i="1"/>
  <c r="AE747" i="1"/>
  <c r="AF747" i="1"/>
  <c r="AG747" i="1"/>
  <c r="AH747" i="1"/>
  <c r="AI747" i="1"/>
  <c r="AA748" i="1"/>
  <c r="AB748" i="1"/>
  <c r="AC748" i="1"/>
  <c r="AD748" i="1"/>
  <c r="AE748" i="1"/>
  <c r="AF748" i="1"/>
  <c r="AG748" i="1"/>
  <c r="AH748" i="1"/>
  <c r="AI748" i="1"/>
  <c r="AA749" i="1"/>
  <c r="AB749" i="1"/>
  <c r="AC749" i="1"/>
  <c r="AD749" i="1"/>
  <c r="AE749" i="1"/>
  <c r="AF749" i="1"/>
  <c r="AG749" i="1"/>
  <c r="AH749" i="1"/>
  <c r="AI749" i="1"/>
  <c r="AA750" i="1"/>
  <c r="AB750" i="1"/>
  <c r="AC750" i="1"/>
  <c r="AD750" i="1"/>
  <c r="AE750" i="1"/>
  <c r="AF750" i="1"/>
  <c r="AG750" i="1"/>
  <c r="AH750" i="1"/>
  <c r="AI750" i="1"/>
  <c r="AA751" i="1"/>
  <c r="AB751" i="1"/>
  <c r="AC751" i="1"/>
  <c r="AD751" i="1"/>
  <c r="AE751" i="1"/>
  <c r="AF751" i="1"/>
  <c r="AG751" i="1"/>
  <c r="AH751" i="1"/>
  <c r="AI751" i="1"/>
  <c r="AA752" i="1"/>
  <c r="AB752" i="1"/>
  <c r="AC752" i="1"/>
  <c r="AD752" i="1"/>
  <c r="AE752" i="1"/>
  <c r="AF752" i="1"/>
  <c r="AG752" i="1"/>
  <c r="AH752" i="1"/>
  <c r="AI752" i="1"/>
  <c r="AA753" i="1"/>
  <c r="AB753" i="1"/>
  <c r="AC753" i="1"/>
  <c r="AD753" i="1"/>
  <c r="AE753" i="1"/>
  <c r="AF753" i="1"/>
  <c r="AG753" i="1"/>
  <c r="AH753" i="1"/>
  <c r="AI753" i="1"/>
  <c r="AA754" i="1"/>
  <c r="AB754" i="1"/>
  <c r="AC754" i="1"/>
  <c r="AD754" i="1"/>
  <c r="AE754" i="1"/>
  <c r="AF754" i="1"/>
  <c r="AG754" i="1"/>
  <c r="AH754" i="1"/>
  <c r="AI754" i="1"/>
  <c r="AA755" i="1"/>
  <c r="AB755" i="1"/>
  <c r="AC755" i="1"/>
  <c r="AD755" i="1"/>
  <c r="AE755" i="1"/>
  <c r="AF755" i="1"/>
  <c r="AG755" i="1"/>
  <c r="AH755" i="1"/>
  <c r="AI755" i="1"/>
  <c r="AA756" i="1"/>
  <c r="AB756" i="1"/>
  <c r="AC756" i="1"/>
  <c r="AD756" i="1"/>
  <c r="AE756" i="1"/>
  <c r="AF756" i="1"/>
  <c r="AG756" i="1"/>
  <c r="AH756" i="1"/>
  <c r="AI756" i="1"/>
  <c r="AA757" i="1"/>
  <c r="AB757" i="1"/>
  <c r="AC757" i="1"/>
  <c r="AD757" i="1"/>
  <c r="AE757" i="1"/>
  <c r="AF757" i="1"/>
  <c r="AG757" i="1"/>
  <c r="AH757" i="1"/>
  <c r="AI757" i="1"/>
  <c r="AA758" i="1"/>
  <c r="AB758" i="1"/>
  <c r="AC758" i="1"/>
  <c r="AD758" i="1"/>
  <c r="AE758" i="1"/>
  <c r="AF758" i="1"/>
  <c r="AG758" i="1"/>
  <c r="AH758" i="1"/>
  <c r="AI758" i="1"/>
  <c r="AA759" i="1"/>
  <c r="AB759" i="1"/>
  <c r="AC759" i="1"/>
  <c r="AD759" i="1"/>
  <c r="AE759" i="1"/>
  <c r="AF759" i="1"/>
  <c r="AG759" i="1"/>
  <c r="AH759" i="1"/>
  <c r="AI759" i="1"/>
  <c r="AA760" i="1"/>
  <c r="AB760" i="1"/>
  <c r="AC760" i="1"/>
  <c r="AD760" i="1"/>
  <c r="AE760" i="1"/>
  <c r="AF760" i="1"/>
  <c r="AG760" i="1"/>
  <c r="AH760" i="1"/>
  <c r="AI760" i="1"/>
  <c r="AA761" i="1"/>
  <c r="AB761" i="1"/>
  <c r="AC761" i="1"/>
  <c r="AD761" i="1"/>
  <c r="AE761" i="1"/>
  <c r="AF761" i="1"/>
  <c r="AG761" i="1"/>
  <c r="AH761" i="1"/>
  <c r="AI761" i="1"/>
  <c r="AA762" i="1"/>
  <c r="AB762" i="1"/>
  <c r="AC762" i="1"/>
  <c r="AD762" i="1"/>
  <c r="AE762" i="1"/>
  <c r="AF762" i="1"/>
  <c r="AG762" i="1"/>
  <c r="AH762" i="1"/>
  <c r="AI762" i="1"/>
  <c r="AA763" i="1"/>
  <c r="AB763" i="1"/>
  <c r="AC763" i="1"/>
  <c r="AD763" i="1"/>
  <c r="AE763" i="1"/>
  <c r="AF763" i="1"/>
  <c r="AG763" i="1"/>
  <c r="AH763" i="1"/>
  <c r="AI763" i="1"/>
  <c r="AA764" i="1"/>
  <c r="AB764" i="1"/>
  <c r="AC764" i="1"/>
  <c r="AD764" i="1"/>
  <c r="AE764" i="1"/>
  <c r="AF764" i="1"/>
  <c r="AG764" i="1"/>
  <c r="AH764" i="1"/>
  <c r="AI764" i="1"/>
  <c r="AA765" i="1"/>
  <c r="AB765" i="1"/>
  <c r="AC765" i="1"/>
  <c r="AD765" i="1"/>
  <c r="AE765" i="1"/>
  <c r="AF765" i="1"/>
  <c r="AG765" i="1"/>
  <c r="AH765" i="1"/>
  <c r="AI765" i="1"/>
  <c r="AA766" i="1"/>
  <c r="AB766" i="1"/>
  <c r="AC766" i="1"/>
  <c r="AD766" i="1"/>
  <c r="AE766" i="1"/>
  <c r="AF766" i="1"/>
  <c r="AG766" i="1"/>
  <c r="AH766" i="1"/>
  <c r="AI766" i="1"/>
  <c r="AA767" i="1"/>
  <c r="AB767" i="1"/>
  <c r="AC767" i="1"/>
  <c r="AD767" i="1"/>
  <c r="AE767" i="1"/>
  <c r="AF767" i="1"/>
  <c r="AG767" i="1"/>
  <c r="AH767" i="1"/>
  <c r="AI767" i="1"/>
  <c r="AA768" i="1"/>
  <c r="AB768" i="1"/>
  <c r="AC768" i="1"/>
  <c r="AD768" i="1"/>
  <c r="AE768" i="1"/>
  <c r="AF768" i="1"/>
  <c r="AG768" i="1"/>
  <c r="AH768" i="1"/>
  <c r="AI768" i="1"/>
  <c r="AA769" i="1"/>
  <c r="AB769" i="1"/>
  <c r="AC769" i="1"/>
  <c r="AD769" i="1"/>
  <c r="AE769" i="1"/>
  <c r="AF769" i="1"/>
  <c r="AG769" i="1"/>
  <c r="AH769" i="1"/>
  <c r="AI769" i="1"/>
  <c r="AA770" i="1"/>
  <c r="AB770" i="1"/>
  <c r="AC770" i="1"/>
  <c r="AD770" i="1"/>
  <c r="AE770" i="1"/>
  <c r="AF770" i="1"/>
  <c r="AG770" i="1"/>
  <c r="AH770" i="1"/>
  <c r="AI770" i="1"/>
  <c r="AA771" i="1"/>
  <c r="AB771" i="1"/>
  <c r="AC771" i="1"/>
  <c r="AD771" i="1"/>
  <c r="AE771" i="1"/>
  <c r="AF771" i="1"/>
  <c r="AG771" i="1"/>
  <c r="AH771" i="1"/>
  <c r="AI771" i="1"/>
  <c r="AA772" i="1"/>
  <c r="AB772" i="1"/>
  <c r="AC772" i="1"/>
  <c r="AD772" i="1"/>
  <c r="AE772" i="1"/>
  <c r="AF772" i="1"/>
  <c r="AG772" i="1"/>
  <c r="AH772" i="1"/>
  <c r="AI772" i="1"/>
  <c r="AA773" i="1"/>
  <c r="AB773" i="1"/>
  <c r="AC773" i="1"/>
  <c r="AD773" i="1"/>
  <c r="AE773" i="1"/>
  <c r="AF773" i="1"/>
  <c r="AG773" i="1"/>
  <c r="AH773" i="1"/>
  <c r="AI773" i="1"/>
  <c r="AA774" i="1"/>
  <c r="AB774" i="1"/>
  <c r="AC774" i="1"/>
  <c r="AD774" i="1"/>
  <c r="AE774" i="1"/>
  <c r="AF774" i="1"/>
  <c r="AG774" i="1"/>
  <c r="AH774" i="1"/>
  <c r="AI774" i="1"/>
  <c r="AA775" i="1"/>
  <c r="AB775" i="1"/>
  <c r="AC775" i="1"/>
  <c r="AD775" i="1"/>
  <c r="AE775" i="1"/>
  <c r="AF775" i="1"/>
  <c r="AG775" i="1"/>
  <c r="AH775" i="1"/>
  <c r="AI775" i="1"/>
  <c r="AA776" i="1"/>
  <c r="AB776" i="1"/>
  <c r="AC776" i="1"/>
  <c r="AD776" i="1"/>
  <c r="AE776" i="1"/>
  <c r="AF776" i="1"/>
  <c r="AG776" i="1"/>
  <c r="AH776" i="1"/>
  <c r="AI776" i="1"/>
  <c r="AA777" i="1"/>
  <c r="AB777" i="1"/>
  <c r="AC777" i="1"/>
  <c r="AD777" i="1"/>
  <c r="AE777" i="1"/>
  <c r="AF777" i="1"/>
  <c r="AG777" i="1"/>
  <c r="AH777" i="1"/>
  <c r="AI777" i="1"/>
  <c r="AA778" i="1"/>
  <c r="AB778" i="1"/>
  <c r="AC778" i="1"/>
  <c r="AD778" i="1"/>
  <c r="AE778" i="1"/>
  <c r="AF778" i="1"/>
  <c r="AG778" i="1"/>
  <c r="AH778" i="1"/>
  <c r="AI778" i="1"/>
  <c r="AA779" i="1"/>
  <c r="AB779" i="1"/>
  <c r="AC779" i="1"/>
  <c r="AD779" i="1"/>
  <c r="AE779" i="1"/>
  <c r="AF779" i="1"/>
  <c r="AG779" i="1"/>
  <c r="AH779" i="1"/>
  <c r="AI779" i="1"/>
  <c r="AA780" i="1"/>
  <c r="AB780" i="1"/>
  <c r="AC780" i="1"/>
  <c r="AD780" i="1"/>
  <c r="AE780" i="1"/>
  <c r="AF780" i="1"/>
  <c r="AG780" i="1"/>
  <c r="AH780" i="1"/>
  <c r="AI780" i="1"/>
  <c r="AA781" i="1"/>
  <c r="AB781" i="1"/>
  <c r="AC781" i="1"/>
  <c r="AD781" i="1"/>
  <c r="AE781" i="1"/>
  <c r="AF781" i="1"/>
  <c r="AG781" i="1"/>
  <c r="AH781" i="1"/>
  <c r="AI781" i="1"/>
  <c r="AA782" i="1"/>
  <c r="AB782" i="1"/>
  <c r="AC782" i="1"/>
  <c r="AD782" i="1"/>
  <c r="AE782" i="1"/>
  <c r="AF782" i="1"/>
  <c r="AG782" i="1"/>
  <c r="AH782" i="1"/>
  <c r="AI782" i="1"/>
  <c r="AA783" i="1"/>
  <c r="AB783" i="1"/>
  <c r="AC783" i="1"/>
  <c r="AD783" i="1"/>
  <c r="AE783" i="1"/>
  <c r="AF783" i="1"/>
  <c r="AG783" i="1"/>
  <c r="AH783" i="1"/>
  <c r="AI783" i="1"/>
  <c r="AA784" i="1"/>
  <c r="AB784" i="1"/>
  <c r="AC784" i="1"/>
  <c r="AD784" i="1"/>
  <c r="AE784" i="1"/>
  <c r="AF784" i="1"/>
  <c r="AG784" i="1"/>
  <c r="AH784" i="1"/>
  <c r="AI784" i="1"/>
  <c r="AA785" i="1"/>
  <c r="AB785" i="1"/>
  <c r="AC785" i="1"/>
  <c r="AD785" i="1"/>
  <c r="AE785" i="1"/>
  <c r="AF785" i="1"/>
  <c r="AG785" i="1"/>
  <c r="AH785" i="1"/>
  <c r="AI785" i="1"/>
  <c r="AA786" i="1"/>
  <c r="AB786" i="1"/>
  <c r="AC786" i="1"/>
  <c r="AD786" i="1"/>
  <c r="AE786" i="1"/>
  <c r="AF786" i="1"/>
  <c r="AG786" i="1"/>
  <c r="AH786" i="1"/>
  <c r="AI786" i="1"/>
  <c r="AA787" i="1"/>
  <c r="AB787" i="1"/>
  <c r="AC787" i="1"/>
  <c r="AD787" i="1"/>
  <c r="AE787" i="1"/>
  <c r="AF787" i="1"/>
  <c r="AG787" i="1"/>
  <c r="AH787" i="1"/>
  <c r="AI787" i="1"/>
  <c r="AA788" i="1"/>
  <c r="AB788" i="1"/>
  <c r="AC788" i="1"/>
  <c r="AD788" i="1"/>
  <c r="AE788" i="1"/>
  <c r="AF788" i="1"/>
  <c r="AG788" i="1"/>
  <c r="AH788" i="1"/>
  <c r="AI788" i="1"/>
  <c r="AA789" i="1"/>
  <c r="AB789" i="1"/>
  <c r="AC789" i="1"/>
  <c r="AD789" i="1"/>
  <c r="AE789" i="1"/>
  <c r="AF789" i="1"/>
  <c r="AG789" i="1"/>
  <c r="AH789" i="1"/>
  <c r="AI789" i="1"/>
  <c r="AA790" i="1"/>
  <c r="AB790" i="1"/>
  <c r="AC790" i="1"/>
  <c r="AD790" i="1"/>
  <c r="AE790" i="1"/>
  <c r="AF790" i="1"/>
  <c r="AG790" i="1"/>
  <c r="AH790" i="1"/>
  <c r="AI790" i="1"/>
  <c r="AA791" i="1"/>
  <c r="AB791" i="1"/>
  <c r="AC791" i="1"/>
  <c r="AD791" i="1"/>
  <c r="AE791" i="1"/>
  <c r="AF791" i="1"/>
  <c r="AG791" i="1"/>
  <c r="AH791" i="1"/>
  <c r="AI791" i="1"/>
  <c r="AA792" i="1"/>
  <c r="AB792" i="1"/>
  <c r="AC792" i="1"/>
  <c r="AD792" i="1"/>
  <c r="AE792" i="1"/>
  <c r="AF792" i="1"/>
  <c r="AG792" i="1"/>
  <c r="AH792" i="1"/>
  <c r="AI792" i="1"/>
  <c r="AA793" i="1"/>
  <c r="AB793" i="1"/>
  <c r="AC793" i="1"/>
  <c r="AD793" i="1"/>
  <c r="AE793" i="1"/>
  <c r="AF793" i="1"/>
  <c r="AG793" i="1"/>
  <c r="AH793" i="1"/>
  <c r="AI793" i="1"/>
  <c r="AA794" i="1"/>
  <c r="AB794" i="1"/>
  <c r="AC794" i="1"/>
  <c r="AD794" i="1"/>
  <c r="AE794" i="1"/>
  <c r="AF794" i="1"/>
  <c r="AG794" i="1"/>
  <c r="AH794" i="1"/>
  <c r="AI794" i="1"/>
  <c r="AA795" i="1"/>
  <c r="AB795" i="1"/>
  <c r="AC795" i="1"/>
  <c r="AD795" i="1"/>
  <c r="AE795" i="1"/>
  <c r="AF795" i="1"/>
  <c r="AG795" i="1"/>
  <c r="AH795" i="1"/>
  <c r="AI795" i="1"/>
  <c r="AA796" i="1"/>
  <c r="AB796" i="1"/>
  <c r="AC796" i="1"/>
  <c r="AD796" i="1"/>
  <c r="AE796" i="1"/>
  <c r="AF796" i="1"/>
  <c r="AG796" i="1"/>
  <c r="AH796" i="1"/>
  <c r="AI796" i="1"/>
  <c r="AA797" i="1"/>
  <c r="AB797" i="1"/>
  <c r="AC797" i="1"/>
  <c r="AD797" i="1"/>
  <c r="AE797" i="1"/>
  <c r="AF797" i="1"/>
  <c r="AG797" i="1"/>
  <c r="AH797" i="1"/>
  <c r="AI797" i="1"/>
  <c r="AA798" i="1"/>
  <c r="AB798" i="1"/>
  <c r="AC798" i="1"/>
  <c r="AD798" i="1"/>
  <c r="AE798" i="1"/>
  <c r="AF798" i="1"/>
  <c r="AG798" i="1"/>
  <c r="AH798" i="1"/>
  <c r="AI798" i="1"/>
  <c r="AA799" i="1"/>
  <c r="AB799" i="1"/>
  <c r="AC799" i="1"/>
  <c r="AD799" i="1"/>
  <c r="AE799" i="1"/>
  <c r="AF799" i="1"/>
  <c r="AG799" i="1"/>
  <c r="AH799" i="1"/>
  <c r="AI799" i="1"/>
  <c r="AA800" i="1"/>
  <c r="AB800" i="1"/>
  <c r="AC800" i="1"/>
  <c r="AD800" i="1"/>
  <c r="AE800" i="1"/>
  <c r="AF800" i="1"/>
  <c r="AG800" i="1"/>
  <c r="AH800" i="1"/>
  <c r="AI800" i="1"/>
  <c r="AA801" i="1"/>
  <c r="AB801" i="1"/>
  <c r="AC801" i="1"/>
  <c r="AD801" i="1"/>
  <c r="AE801" i="1"/>
  <c r="AF801" i="1"/>
  <c r="AG801" i="1"/>
  <c r="AH801" i="1"/>
  <c r="AI801" i="1"/>
  <c r="AA802" i="1"/>
  <c r="AB802" i="1"/>
  <c r="AC802" i="1"/>
  <c r="AD802" i="1"/>
  <c r="AE802" i="1"/>
  <c r="AF802" i="1"/>
  <c r="AG802" i="1"/>
  <c r="AH802" i="1"/>
  <c r="AI802" i="1"/>
  <c r="AA803" i="1"/>
  <c r="AB803" i="1"/>
  <c r="AC803" i="1"/>
  <c r="AD803" i="1"/>
  <c r="AE803" i="1"/>
  <c r="AF803" i="1"/>
  <c r="AG803" i="1"/>
  <c r="AH803" i="1"/>
  <c r="AI803" i="1"/>
  <c r="AA804" i="1"/>
  <c r="AB804" i="1"/>
  <c r="AC804" i="1"/>
  <c r="AD804" i="1"/>
  <c r="AE804" i="1"/>
  <c r="AF804" i="1"/>
  <c r="AG804" i="1"/>
  <c r="AH804" i="1"/>
  <c r="AI804" i="1"/>
  <c r="AA805" i="1"/>
  <c r="AB805" i="1"/>
  <c r="AC805" i="1"/>
  <c r="AD805" i="1"/>
  <c r="AE805" i="1"/>
  <c r="AF805" i="1"/>
  <c r="AG805" i="1"/>
  <c r="AH805" i="1"/>
  <c r="AI805" i="1"/>
  <c r="AA806" i="1"/>
  <c r="AB806" i="1"/>
  <c r="AC806" i="1"/>
  <c r="AD806" i="1"/>
  <c r="AE806" i="1"/>
  <c r="AF806" i="1"/>
  <c r="AG806" i="1"/>
  <c r="AH806" i="1"/>
  <c r="AI806" i="1"/>
  <c r="AA807" i="1"/>
  <c r="AB807" i="1"/>
  <c r="AC807" i="1"/>
  <c r="AD807" i="1"/>
  <c r="AE807" i="1"/>
  <c r="AF807" i="1"/>
  <c r="AG807" i="1"/>
  <c r="AH807" i="1"/>
  <c r="AI807" i="1"/>
  <c r="AA808" i="1"/>
  <c r="AB808" i="1"/>
  <c r="AC808" i="1"/>
  <c r="AD808" i="1"/>
  <c r="AE808" i="1"/>
  <c r="AF808" i="1"/>
  <c r="AG808" i="1"/>
  <c r="AH808" i="1"/>
  <c r="AI808" i="1"/>
  <c r="AA809" i="1"/>
  <c r="AB809" i="1"/>
  <c r="AC809" i="1"/>
  <c r="AD809" i="1"/>
  <c r="AE809" i="1"/>
  <c r="AF809" i="1"/>
  <c r="AG809" i="1"/>
  <c r="AH809" i="1"/>
  <c r="AI809" i="1"/>
  <c r="AA810" i="1"/>
  <c r="AB810" i="1"/>
  <c r="AC810" i="1"/>
  <c r="AD810" i="1"/>
  <c r="AE810" i="1"/>
  <c r="AF810" i="1"/>
  <c r="AG810" i="1"/>
  <c r="AH810" i="1"/>
  <c r="AI810" i="1"/>
  <c r="AA811" i="1"/>
  <c r="AB811" i="1"/>
  <c r="AC811" i="1"/>
  <c r="AD811" i="1"/>
  <c r="AE811" i="1"/>
  <c r="AF811" i="1"/>
  <c r="AG811" i="1"/>
  <c r="AH811" i="1"/>
  <c r="AI811" i="1"/>
  <c r="AA812" i="1"/>
  <c r="AB812" i="1"/>
  <c r="AC812" i="1"/>
  <c r="AD812" i="1"/>
  <c r="AE812" i="1"/>
  <c r="AF812" i="1"/>
  <c r="AG812" i="1"/>
  <c r="AH812" i="1"/>
  <c r="AI812" i="1"/>
  <c r="AA813" i="1"/>
  <c r="AB813" i="1"/>
  <c r="AC813" i="1"/>
  <c r="AD813" i="1"/>
  <c r="AE813" i="1"/>
  <c r="AF813" i="1"/>
  <c r="AG813" i="1"/>
  <c r="AH813" i="1"/>
  <c r="AI813" i="1"/>
  <c r="AA814" i="1"/>
  <c r="AB814" i="1"/>
  <c r="AC814" i="1"/>
  <c r="AD814" i="1"/>
  <c r="AE814" i="1"/>
  <c r="AF814" i="1"/>
  <c r="AG814" i="1"/>
  <c r="AH814" i="1"/>
  <c r="AI814" i="1"/>
  <c r="AA815" i="1"/>
  <c r="AB815" i="1"/>
  <c r="AC815" i="1"/>
  <c r="AD815" i="1"/>
  <c r="AE815" i="1"/>
  <c r="AF815" i="1"/>
  <c r="AG815" i="1"/>
  <c r="AH815" i="1"/>
  <c r="AI815" i="1"/>
  <c r="AA816" i="1"/>
  <c r="AB816" i="1"/>
  <c r="AC816" i="1"/>
  <c r="AD816" i="1"/>
  <c r="AE816" i="1"/>
  <c r="AF816" i="1"/>
  <c r="AG816" i="1"/>
  <c r="AH816" i="1"/>
  <c r="AI816" i="1"/>
  <c r="AA817" i="1"/>
  <c r="AB817" i="1"/>
  <c r="AC817" i="1"/>
  <c r="AD817" i="1"/>
  <c r="AE817" i="1"/>
  <c r="AF817" i="1"/>
  <c r="AG817" i="1"/>
  <c r="AH817" i="1"/>
  <c r="AI817" i="1"/>
  <c r="AA818" i="1"/>
  <c r="AB818" i="1"/>
  <c r="AC818" i="1"/>
  <c r="AD818" i="1"/>
  <c r="AE818" i="1"/>
  <c r="AF818" i="1"/>
  <c r="AG818" i="1"/>
  <c r="AH818" i="1"/>
  <c r="AI818" i="1"/>
  <c r="AA819" i="1"/>
  <c r="AB819" i="1"/>
  <c r="AC819" i="1"/>
  <c r="AD819" i="1"/>
  <c r="AE819" i="1"/>
  <c r="AF819" i="1"/>
  <c r="AG819" i="1"/>
  <c r="AH819" i="1"/>
  <c r="AI819" i="1"/>
  <c r="AA820" i="1"/>
  <c r="AB820" i="1"/>
  <c r="AC820" i="1"/>
  <c r="AD820" i="1"/>
  <c r="AE820" i="1"/>
  <c r="AF820" i="1"/>
  <c r="AG820" i="1"/>
  <c r="AH820" i="1"/>
  <c r="AI820" i="1"/>
  <c r="AA821" i="1"/>
  <c r="AB821" i="1"/>
  <c r="AC821" i="1"/>
  <c r="AD821" i="1"/>
  <c r="AE821" i="1"/>
  <c r="AF821" i="1"/>
  <c r="AG821" i="1"/>
  <c r="AH821" i="1"/>
  <c r="AI821" i="1"/>
  <c r="AA822" i="1"/>
  <c r="AB822" i="1"/>
  <c r="AC822" i="1"/>
  <c r="AD822" i="1"/>
  <c r="AE822" i="1"/>
  <c r="AF822" i="1"/>
  <c r="AG822" i="1"/>
  <c r="AH822" i="1"/>
  <c r="AI822" i="1"/>
  <c r="AA823" i="1"/>
  <c r="AB823" i="1"/>
  <c r="AC823" i="1"/>
  <c r="AD823" i="1"/>
  <c r="AE823" i="1"/>
  <c r="AF823" i="1"/>
  <c r="AG823" i="1"/>
  <c r="AH823" i="1"/>
  <c r="AI823" i="1"/>
  <c r="AA824" i="1"/>
  <c r="AB824" i="1"/>
  <c r="AC824" i="1"/>
  <c r="AD824" i="1"/>
  <c r="AE824" i="1"/>
  <c r="AF824" i="1"/>
  <c r="AG824" i="1"/>
  <c r="AH824" i="1"/>
  <c r="AI824" i="1"/>
  <c r="AA825" i="1"/>
  <c r="AB825" i="1"/>
  <c r="AC825" i="1"/>
  <c r="AD825" i="1"/>
  <c r="AE825" i="1"/>
  <c r="AF825" i="1"/>
  <c r="AG825" i="1"/>
  <c r="AH825" i="1"/>
  <c r="AI825" i="1"/>
  <c r="AA826" i="1"/>
  <c r="AB826" i="1"/>
  <c r="AC826" i="1"/>
  <c r="AD826" i="1"/>
  <c r="AE826" i="1"/>
  <c r="AF826" i="1"/>
  <c r="AG826" i="1"/>
  <c r="AH826" i="1"/>
  <c r="AI826" i="1"/>
  <c r="AA827" i="1"/>
  <c r="AB827" i="1"/>
  <c r="AC827" i="1"/>
  <c r="AD827" i="1"/>
  <c r="AE827" i="1"/>
  <c r="AF827" i="1"/>
  <c r="AG827" i="1"/>
  <c r="AH827" i="1"/>
  <c r="AI827" i="1"/>
  <c r="AA828" i="1"/>
  <c r="AB828" i="1"/>
  <c r="AC828" i="1"/>
  <c r="AD828" i="1"/>
  <c r="AE828" i="1"/>
  <c r="AF828" i="1"/>
  <c r="AG828" i="1"/>
  <c r="AH828" i="1"/>
  <c r="AI828" i="1"/>
  <c r="AA829" i="1"/>
  <c r="AB829" i="1"/>
  <c r="AC829" i="1"/>
  <c r="AD829" i="1"/>
  <c r="AE829" i="1"/>
  <c r="AF829" i="1"/>
  <c r="AG829" i="1"/>
  <c r="AH829" i="1"/>
  <c r="AI829" i="1"/>
  <c r="AA830" i="1"/>
  <c r="AB830" i="1"/>
  <c r="AC830" i="1"/>
  <c r="AD830" i="1"/>
  <c r="AE830" i="1"/>
  <c r="AF830" i="1"/>
  <c r="AG830" i="1"/>
  <c r="AH830" i="1"/>
  <c r="AI830" i="1"/>
  <c r="AA831" i="1"/>
  <c r="AB831" i="1"/>
  <c r="AC831" i="1"/>
  <c r="AD831" i="1"/>
  <c r="AE831" i="1"/>
  <c r="AF831" i="1"/>
  <c r="AG831" i="1"/>
  <c r="AH831" i="1"/>
  <c r="AI831" i="1"/>
  <c r="AA832" i="1"/>
  <c r="AB832" i="1"/>
  <c r="AC832" i="1"/>
  <c r="AD832" i="1"/>
  <c r="AE832" i="1"/>
  <c r="AF832" i="1"/>
  <c r="AG832" i="1"/>
  <c r="AH832" i="1"/>
  <c r="AI832" i="1"/>
  <c r="AA833" i="1"/>
  <c r="AB833" i="1"/>
  <c r="AC833" i="1"/>
  <c r="AD833" i="1"/>
  <c r="AE833" i="1"/>
  <c r="AF833" i="1"/>
  <c r="AG833" i="1"/>
  <c r="AH833" i="1"/>
  <c r="AI833" i="1"/>
  <c r="AA834" i="1"/>
  <c r="AB834" i="1"/>
  <c r="AC834" i="1"/>
  <c r="AD834" i="1"/>
  <c r="AE834" i="1"/>
  <c r="AF834" i="1"/>
  <c r="AG834" i="1"/>
  <c r="AH834" i="1"/>
  <c r="AI834" i="1"/>
  <c r="AA835" i="1"/>
  <c r="AB835" i="1"/>
  <c r="AC835" i="1"/>
  <c r="AD835" i="1"/>
  <c r="AE835" i="1"/>
  <c r="AF835" i="1"/>
  <c r="AG835" i="1"/>
  <c r="AH835" i="1"/>
  <c r="AI835" i="1"/>
  <c r="AA836" i="1"/>
  <c r="AB836" i="1"/>
  <c r="AC836" i="1"/>
  <c r="AD836" i="1"/>
  <c r="AE836" i="1"/>
  <c r="AF836" i="1"/>
  <c r="AG836" i="1"/>
  <c r="AH836" i="1"/>
  <c r="AI836" i="1"/>
  <c r="AA837" i="1"/>
  <c r="AB837" i="1"/>
  <c r="AC837" i="1"/>
  <c r="AD837" i="1"/>
  <c r="AE837" i="1"/>
  <c r="AF837" i="1"/>
  <c r="AG837" i="1"/>
  <c r="AH837" i="1"/>
  <c r="AI837" i="1"/>
  <c r="AA838" i="1"/>
  <c r="AB838" i="1"/>
  <c r="AC838" i="1"/>
  <c r="AD838" i="1"/>
  <c r="AE838" i="1"/>
  <c r="AF838" i="1"/>
  <c r="AG838" i="1"/>
  <c r="AH838" i="1"/>
  <c r="AI838" i="1"/>
  <c r="AA839" i="1"/>
  <c r="AB839" i="1"/>
  <c r="AC839" i="1"/>
  <c r="AD839" i="1"/>
  <c r="AE839" i="1"/>
  <c r="AF839" i="1"/>
  <c r="AG839" i="1"/>
  <c r="AH839" i="1"/>
  <c r="AI839" i="1"/>
  <c r="AA840" i="1"/>
  <c r="AB840" i="1"/>
  <c r="AC840" i="1"/>
  <c r="AD840" i="1"/>
  <c r="AE840" i="1"/>
  <c r="AF840" i="1"/>
  <c r="AG840" i="1"/>
  <c r="AH840" i="1"/>
  <c r="AI840" i="1"/>
  <c r="AA841" i="1"/>
  <c r="AB841" i="1"/>
  <c r="AC841" i="1"/>
  <c r="AD841" i="1"/>
  <c r="AE841" i="1"/>
  <c r="AF841" i="1"/>
  <c r="AG841" i="1"/>
  <c r="AH841" i="1"/>
  <c r="AI841" i="1"/>
  <c r="AA842" i="1"/>
  <c r="AB842" i="1"/>
  <c r="AC842" i="1"/>
  <c r="AD842" i="1"/>
  <c r="AE842" i="1"/>
  <c r="AF842" i="1"/>
  <c r="AG842" i="1"/>
  <c r="AH842" i="1"/>
  <c r="AI842" i="1"/>
  <c r="AA843" i="1"/>
  <c r="AB843" i="1"/>
  <c r="AC843" i="1"/>
  <c r="AD843" i="1"/>
  <c r="AE843" i="1"/>
  <c r="AF843" i="1"/>
  <c r="AG843" i="1"/>
  <c r="AH843" i="1"/>
  <c r="AI843" i="1"/>
  <c r="AA844" i="1"/>
  <c r="AB844" i="1"/>
  <c r="AC844" i="1"/>
  <c r="AD844" i="1"/>
  <c r="AE844" i="1"/>
  <c r="AF844" i="1"/>
  <c r="AG844" i="1"/>
  <c r="AH844" i="1"/>
  <c r="AI844" i="1"/>
  <c r="AA845" i="1"/>
  <c r="AB845" i="1"/>
  <c r="AC845" i="1"/>
  <c r="AD845" i="1"/>
  <c r="AE845" i="1"/>
  <c r="AF845" i="1"/>
  <c r="AG845" i="1"/>
  <c r="AH845" i="1"/>
  <c r="AI845" i="1"/>
  <c r="AA846" i="1"/>
  <c r="AB846" i="1"/>
  <c r="AC846" i="1"/>
  <c r="AD846" i="1"/>
  <c r="AE846" i="1"/>
  <c r="AF846" i="1"/>
  <c r="AG846" i="1"/>
  <c r="AH846" i="1"/>
  <c r="AI846" i="1"/>
  <c r="AA847" i="1"/>
  <c r="AB847" i="1"/>
  <c r="AC847" i="1"/>
  <c r="AD847" i="1"/>
  <c r="AE847" i="1"/>
  <c r="AF847" i="1"/>
  <c r="AG847" i="1"/>
  <c r="AH847" i="1"/>
  <c r="AI847" i="1"/>
  <c r="AA848" i="1"/>
  <c r="AB848" i="1"/>
  <c r="AC848" i="1"/>
  <c r="AD848" i="1"/>
  <c r="AE848" i="1"/>
  <c r="AF848" i="1"/>
  <c r="AG848" i="1"/>
  <c r="AH848" i="1"/>
  <c r="AI848" i="1"/>
  <c r="AA849" i="1"/>
  <c r="AB849" i="1"/>
  <c r="AC849" i="1"/>
  <c r="AD849" i="1"/>
  <c r="AE849" i="1"/>
  <c r="AF849" i="1"/>
  <c r="AG849" i="1"/>
  <c r="AH849" i="1"/>
  <c r="AI849" i="1"/>
  <c r="AA850" i="1"/>
  <c r="AB850" i="1"/>
  <c r="AC850" i="1"/>
  <c r="AD850" i="1"/>
  <c r="AE850" i="1"/>
  <c r="AF850" i="1"/>
  <c r="AG850" i="1"/>
  <c r="AH850" i="1"/>
  <c r="AI850" i="1"/>
  <c r="AA851" i="1"/>
  <c r="AB851" i="1"/>
  <c r="AC851" i="1"/>
  <c r="AD851" i="1"/>
  <c r="AE851" i="1"/>
  <c r="AF851" i="1"/>
  <c r="AG851" i="1"/>
  <c r="AH851" i="1"/>
  <c r="AI851" i="1"/>
  <c r="AA852" i="1"/>
  <c r="AB852" i="1"/>
  <c r="AC852" i="1"/>
  <c r="AD852" i="1"/>
  <c r="AE852" i="1"/>
  <c r="AF852" i="1"/>
  <c r="AG852" i="1"/>
  <c r="AH852" i="1"/>
  <c r="AI852" i="1"/>
  <c r="AA853" i="1"/>
  <c r="AB853" i="1"/>
  <c r="AC853" i="1"/>
  <c r="AD853" i="1"/>
  <c r="AE853" i="1"/>
  <c r="AF853" i="1"/>
  <c r="AG853" i="1"/>
  <c r="AH853" i="1"/>
  <c r="AI853" i="1"/>
  <c r="AA854" i="1"/>
  <c r="AB854" i="1"/>
  <c r="AC854" i="1"/>
  <c r="AD854" i="1"/>
  <c r="AE854" i="1"/>
  <c r="AF854" i="1"/>
  <c r="AG854" i="1"/>
  <c r="AH854" i="1"/>
  <c r="AI854" i="1"/>
  <c r="AA855" i="1"/>
  <c r="AB855" i="1"/>
  <c r="AC855" i="1"/>
  <c r="AD855" i="1"/>
  <c r="AE855" i="1"/>
  <c r="AF855" i="1"/>
  <c r="AG855" i="1"/>
  <c r="AH855" i="1"/>
  <c r="AI855" i="1"/>
  <c r="AA856" i="1"/>
  <c r="AB856" i="1"/>
  <c r="AC856" i="1"/>
  <c r="AD856" i="1"/>
  <c r="AE856" i="1"/>
  <c r="AF856" i="1"/>
  <c r="AG856" i="1"/>
  <c r="AH856" i="1"/>
  <c r="AI856" i="1"/>
  <c r="AA857" i="1"/>
  <c r="AB857" i="1"/>
  <c r="AC857" i="1"/>
  <c r="AD857" i="1"/>
  <c r="AE857" i="1"/>
  <c r="AF857" i="1"/>
  <c r="AG857" i="1"/>
  <c r="AH857" i="1"/>
  <c r="AI857" i="1"/>
  <c r="AA858" i="1"/>
  <c r="AB858" i="1"/>
  <c r="AC858" i="1"/>
  <c r="AD858" i="1"/>
  <c r="AE858" i="1"/>
  <c r="AF858" i="1"/>
  <c r="AG858" i="1"/>
  <c r="AH858" i="1"/>
  <c r="AI858" i="1"/>
  <c r="AA859" i="1"/>
  <c r="AB859" i="1"/>
  <c r="AC859" i="1"/>
  <c r="AD859" i="1"/>
  <c r="AE859" i="1"/>
  <c r="AF859" i="1"/>
  <c r="AG859" i="1"/>
  <c r="AH859" i="1"/>
  <c r="AI859" i="1"/>
  <c r="AA860" i="1"/>
  <c r="AB860" i="1"/>
  <c r="AC860" i="1"/>
  <c r="AD860" i="1"/>
  <c r="AE860" i="1"/>
  <c r="AF860" i="1"/>
  <c r="AG860" i="1"/>
  <c r="AH860" i="1"/>
  <c r="AI860" i="1"/>
  <c r="AA861" i="1"/>
  <c r="AB861" i="1"/>
  <c r="AC861" i="1"/>
  <c r="AD861" i="1"/>
  <c r="AE861" i="1"/>
  <c r="AF861" i="1"/>
  <c r="AG861" i="1"/>
  <c r="AH861" i="1"/>
  <c r="AI861" i="1"/>
  <c r="AA862" i="1"/>
  <c r="AB862" i="1"/>
  <c r="AC862" i="1"/>
  <c r="AD862" i="1"/>
  <c r="AE862" i="1"/>
  <c r="AF862" i="1"/>
  <c r="AG862" i="1"/>
  <c r="AH862" i="1"/>
  <c r="AI862" i="1"/>
  <c r="AA863" i="1"/>
  <c r="AB863" i="1"/>
  <c r="AC863" i="1"/>
  <c r="AD863" i="1"/>
  <c r="AE863" i="1"/>
  <c r="AF863" i="1"/>
  <c r="AG863" i="1"/>
  <c r="AH863" i="1"/>
  <c r="AI863" i="1"/>
  <c r="AA864" i="1"/>
  <c r="AB864" i="1"/>
  <c r="AC864" i="1"/>
  <c r="AD864" i="1"/>
  <c r="AE864" i="1"/>
  <c r="AF864" i="1"/>
  <c r="AG864" i="1"/>
  <c r="AH864" i="1"/>
  <c r="AI864" i="1"/>
  <c r="AA865" i="1"/>
  <c r="AB865" i="1"/>
  <c r="AC865" i="1"/>
  <c r="AD865" i="1"/>
  <c r="AE865" i="1"/>
  <c r="AF865" i="1"/>
  <c r="AG865" i="1"/>
  <c r="AH865" i="1"/>
  <c r="AI865" i="1"/>
  <c r="AA866" i="1"/>
  <c r="AB866" i="1"/>
  <c r="AC866" i="1"/>
  <c r="AD866" i="1"/>
  <c r="AE866" i="1"/>
  <c r="AF866" i="1"/>
  <c r="AG866" i="1"/>
  <c r="AH866" i="1"/>
  <c r="AI866" i="1"/>
  <c r="AA867" i="1"/>
  <c r="AB867" i="1"/>
  <c r="AC867" i="1"/>
  <c r="AD867" i="1"/>
  <c r="AE867" i="1"/>
  <c r="AF867" i="1"/>
  <c r="AG867" i="1"/>
  <c r="AH867" i="1"/>
  <c r="AI867" i="1"/>
  <c r="AA868" i="1"/>
  <c r="AB868" i="1"/>
  <c r="AC868" i="1"/>
  <c r="AD868" i="1"/>
  <c r="AE868" i="1"/>
  <c r="AF868" i="1"/>
  <c r="AG868" i="1"/>
  <c r="AH868" i="1"/>
  <c r="AI868" i="1"/>
  <c r="AA869" i="1"/>
  <c r="AB869" i="1"/>
  <c r="AC869" i="1"/>
  <c r="AD869" i="1"/>
  <c r="AE869" i="1"/>
  <c r="AF869" i="1"/>
  <c r="AG869" i="1"/>
  <c r="AH869" i="1"/>
  <c r="AI869" i="1"/>
  <c r="AA870" i="1"/>
  <c r="AB870" i="1"/>
  <c r="AC870" i="1"/>
  <c r="AD870" i="1"/>
  <c r="AE870" i="1"/>
  <c r="AF870" i="1"/>
  <c r="AG870" i="1"/>
  <c r="AH870" i="1"/>
  <c r="AI870" i="1"/>
  <c r="AA871" i="1"/>
  <c r="AB871" i="1"/>
  <c r="AC871" i="1"/>
  <c r="AD871" i="1"/>
  <c r="AE871" i="1"/>
  <c r="AF871" i="1"/>
  <c r="AG871" i="1"/>
  <c r="AH871" i="1"/>
  <c r="AI871" i="1"/>
  <c r="AA872" i="1"/>
  <c r="AB872" i="1"/>
  <c r="AC872" i="1"/>
  <c r="AD872" i="1"/>
  <c r="AE872" i="1"/>
  <c r="AF872" i="1"/>
  <c r="AG872" i="1"/>
  <c r="AH872" i="1"/>
  <c r="AI872" i="1"/>
  <c r="AA873" i="1"/>
  <c r="AB873" i="1"/>
  <c r="AC873" i="1"/>
  <c r="AD873" i="1"/>
  <c r="AE873" i="1"/>
  <c r="AF873" i="1"/>
  <c r="AG873" i="1"/>
  <c r="AH873" i="1"/>
  <c r="AI873" i="1"/>
  <c r="AA874" i="1"/>
  <c r="AB874" i="1"/>
  <c r="AC874" i="1"/>
  <c r="AD874" i="1"/>
  <c r="AE874" i="1"/>
  <c r="AF874" i="1"/>
  <c r="AG874" i="1"/>
  <c r="AH874" i="1"/>
  <c r="AI874" i="1"/>
  <c r="AA875" i="1"/>
  <c r="AB875" i="1"/>
  <c r="AC875" i="1"/>
  <c r="AD875" i="1"/>
  <c r="AE875" i="1"/>
  <c r="AF875" i="1"/>
  <c r="AG875" i="1"/>
  <c r="AH875" i="1"/>
  <c r="AI875" i="1"/>
  <c r="AA876" i="1"/>
  <c r="AB876" i="1"/>
  <c r="AC876" i="1"/>
  <c r="AD876" i="1"/>
  <c r="AE876" i="1"/>
  <c r="AF876" i="1"/>
  <c r="AG876" i="1"/>
  <c r="AH876" i="1"/>
  <c r="AI876" i="1"/>
  <c r="AA877" i="1"/>
  <c r="AB877" i="1"/>
  <c r="AC877" i="1"/>
  <c r="AD877" i="1"/>
  <c r="AE877" i="1"/>
  <c r="AF877" i="1"/>
  <c r="AG877" i="1"/>
  <c r="AH877" i="1"/>
  <c r="AI877" i="1"/>
  <c r="AA878" i="1"/>
  <c r="AB878" i="1"/>
  <c r="AC878" i="1"/>
  <c r="AD878" i="1"/>
  <c r="AE878" i="1"/>
  <c r="AF878" i="1"/>
  <c r="AG878" i="1"/>
  <c r="AH878" i="1"/>
  <c r="AI878" i="1"/>
  <c r="AA879" i="1"/>
  <c r="AB879" i="1"/>
  <c r="AC879" i="1"/>
  <c r="AD879" i="1"/>
  <c r="AE879" i="1"/>
  <c r="AF879" i="1"/>
  <c r="AG879" i="1"/>
  <c r="AH879" i="1"/>
  <c r="AI879" i="1"/>
  <c r="AA880" i="1"/>
  <c r="AB880" i="1"/>
  <c r="AC880" i="1"/>
  <c r="AD880" i="1"/>
  <c r="AE880" i="1"/>
  <c r="AF880" i="1"/>
  <c r="AG880" i="1"/>
  <c r="AH880" i="1"/>
  <c r="AI880" i="1"/>
  <c r="AA881" i="1"/>
  <c r="AB881" i="1"/>
  <c r="AC881" i="1"/>
  <c r="AD881" i="1"/>
  <c r="AE881" i="1"/>
  <c r="AF881" i="1"/>
  <c r="AG881" i="1"/>
  <c r="AH881" i="1"/>
  <c r="AI881" i="1"/>
  <c r="AA882" i="1"/>
  <c r="AB882" i="1"/>
  <c r="AC882" i="1"/>
  <c r="AD882" i="1"/>
  <c r="AE882" i="1"/>
  <c r="AF882" i="1"/>
  <c r="AG882" i="1"/>
  <c r="AH882" i="1"/>
  <c r="AI882" i="1"/>
  <c r="AA883" i="1"/>
  <c r="AB883" i="1"/>
  <c r="AC883" i="1"/>
  <c r="AD883" i="1"/>
  <c r="AE883" i="1"/>
  <c r="AF883" i="1"/>
  <c r="AG883" i="1"/>
  <c r="AH883" i="1"/>
  <c r="AI883" i="1"/>
  <c r="AA884" i="1"/>
  <c r="AB884" i="1"/>
  <c r="AC884" i="1"/>
  <c r="AD884" i="1"/>
  <c r="AE884" i="1"/>
  <c r="AF884" i="1"/>
  <c r="AG884" i="1"/>
  <c r="AH884" i="1"/>
  <c r="AI884" i="1"/>
  <c r="AA885" i="1"/>
  <c r="AB885" i="1"/>
  <c r="AC885" i="1"/>
  <c r="AD885" i="1"/>
  <c r="AE885" i="1"/>
  <c r="AF885" i="1"/>
  <c r="AG885" i="1"/>
  <c r="AH885" i="1"/>
  <c r="AI885" i="1"/>
  <c r="AA886" i="1"/>
  <c r="AB886" i="1"/>
  <c r="AC886" i="1"/>
  <c r="AD886" i="1"/>
  <c r="AE886" i="1"/>
  <c r="AF886" i="1"/>
  <c r="AG886" i="1"/>
  <c r="AH886" i="1"/>
  <c r="AI886" i="1"/>
  <c r="AA887" i="1"/>
  <c r="AB887" i="1"/>
  <c r="AC887" i="1"/>
  <c r="AD887" i="1"/>
  <c r="AE887" i="1"/>
  <c r="AF887" i="1"/>
  <c r="AG887" i="1"/>
  <c r="AH887" i="1"/>
  <c r="AI887" i="1"/>
  <c r="AA888" i="1"/>
  <c r="AB888" i="1"/>
  <c r="AC888" i="1"/>
  <c r="AD888" i="1"/>
  <c r="AE888" i="1"/>
  <c r="AF888" i="1"/>
  <c r="AG888" i="1"/>
  <c r="AH888" i="1"/>
  <c r="AI888" i="1"/>
  <c r="AA889" i="1"/>
  <c r="AB889" i="1"/>
  <c r="AC889" i="1"/>
  <c r="AD889" i="1"/>
  <c r="AE889" i="1"/>
  <c r="AF889" i="1"/>
  <c r="AG889" i="1"/>
  <c r="AH889" i="1"/>
  <c r="AI889" i="1"/>
  <c r="AA890" i="1"/>
  <c r="AB890" i="1"/>
  <c r="AC890" i="1"/>
  <c r="AD890" i="1"/>
  <c r="AE890" i="1"/>
  <c r="AF890" i="1"/>
  <c r="AG890" i="1"/>
  <c r="AH890" i="1"/>
  <c r="AI890" i="1"/>
  <c r="AA891" i="1"/>
  <c r="AB891" i="1"/>
  <c r="AC891" i="1"/>
  <c r="AD891" i="1"/>
  <c r="AE891" i="1"/>
  <c r="AF891" i="1"/>
  <c r="AG891" i="1"/>
  <c r="AH891" i="1"/>
  <c r="AI891" i="1"/>
  <c r="AA892" i="1"/>
  <c r="AB892" i="1"/>
  <c r="AC892" i="1"/>
  <c r="AD892" i="1"/>
  <c r="AE892" i="1"/>
  <c r="AF892" i="1"/>
  <c r="AG892" i="1"/>
  <c r="AH892" i="1"/>
  <c r="AI892" i="1"/>
  <c r="AA893" i="1"/>
  <c r="AB893" i="1"/>
  <c r="AC893" i="1"/>
  <c r="AD893" i="1"/>
  <c r="AE893" i="1"/>
  <c r="AF893" i="1"/>
  <c r="AG893" i="1"/>
  <c r="AH893" i="1"/>
  <c r="AI893" i="1"/>
  <c r="AA894" i="1"/>
  <c r="AB894" i="1"/>
  <c r="AC894" i="1"/>
  <c r="AD894" i="1"/>
  <c r="AE894" i="1"/>
  <c r="AF894" i="1"/>
  <c r="AG894" i="1"/>
  <c r="AH894" i="1"/>
  <c r="AI894" i="1"/>
  <c r="AA895" i="1"/>
  <c r="AB895" i="1"/>
  <c r="AC895" i="1"/>
  <c r="AD895" i="1"/>
  <c r="AE895" i="1"/>
  <c r="AF895" i="1"/>
  <c r="AG895" i="1"/>
  <c r="AH895" i="1"/>
  <c r="AI895" i="1"/>
  <c r="AA896" i="1"/>
  <c r="AB896" i="1"/>
  <c r="AC896" i="1"/>
  <c r="AD896" i="1"/>
  <c r="AE896" i="1"/>
  <c r="AF896" i="1"/>
  <c r="AG896" i="1"/>
  <c r="AH896" i="1"/>
  <c r="AI896" i="1"/>
  <c r="AA897" i="1"/>
  <c r="AB897" i="1"/>
  <c r="AC897" i="1"/>
  <c r="AD897" i="1"/>
  <c r="AE897" i="1"/>
  <c r="AF897" i="1"/>
  <c r="AG897" i="1"/>
  <c r="AH897" i="1"/>
  <c r="AI897" i="1"/>
  <c r="AA898" i="1"/>
  <c r="AB898" i="1"/>
  <c r="AC898" i="1"/>
  <c r="AD898" i="1"/>
  <c r="AE898" i="1"/>
  <c r="AF898" i="1"/>
  <c r="AG898" i="1"/>
  <c r="AH898" i="1"/>
  <c r="AI898" i="1"/>
  <c r="AA899" i="1"/>
  <c r="AB899" i="1"/>
  <c r="AC899" i="1"/>
  <c r="AD899" i="1"/>
  <c r="AE899" i="1"/>
  <c r="AF899" i="1"/>
  <c r="AG899" i="1"/>
  <c r="AH899" i="1"/>
  <c r="AI899" i="1"/>
  <c r="AA900" i="1"/>
  <c r="AB900" i="1"/>
  <c r="AC900" i="1"/>
  <c r="AD900" i="1"/>
  <c r="AE900" i="1"/>
  <c r="AF900" i="1"/>
  <c r="AG900" i="1"/>
  <c r="AH900" i="1"/>
  <c r="AI900" i="1"/>
  <c r="AA901" i="1"/>
  <c r="AB901" i="1"/>
  <c r="AC901" i="1"/>
  <c r="AD901" i="1"/>
  <c r="AE901" i="1"/>
  <c r="AF901" i="1"/>
  <c r="AG901" i="1"/>
  <c r="AH901" i="1"/>
  <c r="AI901" i="1"/>
  <c r="AA902" i="1"/>
  <c r="AB902" i="1"/>
  <c r="AC902" i="1"/>
  <c r="AD902" i="1"/>
  <c r="AE902" i="1"/>
  <c r="AF902" i="1"/>
  <c r="AG902" i="1"/>
  <c r="AH902" i="1"/>
  <c r="AI902" i="1"/>
  <c r="AA903" i="1"/>
  <c r="AB903" i="1"/>
  <c r="AC903" i="1"/>
  <c r="AD903" i="1"/>
  <c r="AE903" i="1"/>
  <c r="AF903" i="1"/>
  <c r="AG903" i="1"/>
  <c r="AH903" i="1"/>
  <c r="AI903" i="1"/>
  <c r="AA904" i="1"/>
  <c r="AB904" i="1"/>
  <c r="AC904" i="1"/>
  <c r="AD904" i="1"/>
  <c r="AE904" i="1"/>
  <c r="AF904" i="1"/>
  <c r="AG904" i="1"/>
  <c r="AH904" i="1"/>
  <c r="AI904" i="1"/>
  <c r="AA905" i="1"/>
  <c r="AB905" i="1"/>
  <c r="AC905" i="1"/>
  <c r="AD905" i="1"/>
  <c r="AE905" i="1"/>
  <c r="AF905" i="1"/>
  <c r="AG905" i="1"/>
  <c r="AH905" i="1"/>
  <c r="AI905" i="1"/>
  <c r="AA906" i="1"/>
  <c r="AB906" i="1"/>
  <c r="AC906" i="1"/>
  <c r="AD906" i="1"/>
  <c r="AE906" i="1"/>
  <c r="AF906" i="1"/>
  <c r="AG906" i="1"/>
  <c r="AH906" i="1"/>
  <c r="AI906" i="1"/>
  <c r="AA907" i="1"/>
  <c r="AB907" i="1"/>
  <c r="AC907" i="1"/>
  <c r="AD907" i="1"/>
  <c r="AE907" i="1"/>
  <c r="AF907" i="1"/>
  <c r="AG907" i="1"/>
  <c r="AH907" i="1"/>
  <c r="AI907" i="1"/>
  <c r="AA908" i="1"/>
  <c r="AB908" i="1"/>
  <c r="AC908" i="1"/>
  <c r="AD908" i="1"/>
  <c r="AE908" i="1"/>
  <c r="AF908" i="1"/>
  <c r="AG908" i="1"/>
  <c r="AH908" i="1"/>
  <c r="AI908" i="1"/>
  <c r="AA909" i="1"/>
  <c r="AB909" i="1"/>
  <c r="AC909" i="1"/>
  <c r="AD909" i="1"/>
  <c r="AE909" i="1"/>
  <c r="AF909" i="1"/>
  <c r="AG909" i="1"/>
  <c r="AH909" i="1"/>
  <c r="AI909" i="1"/>
  <c r="AA910" i="1"/>
  <c r="AB910" i="1"/>
  <c r="AC910" i="1"/>
  <c r="AD910" i="1"/>
  <c r="AE910" i="1"/>
  <c r="AF910" i="1"/>
  <c r="AG910" i="1"/>
  <c r="AH910" i="1"/>
  <c r="AI910" i="1"/>
  <c r="AA911" i="1"/>
  <c r="AB911" i="1"/>
  <c r="AC911" i="1"/>
  <c r="AD911" i="1"/>
  <c r="AE911" i="1"/>
  <c r="AF911" i="1"/>
  <c r="AG911" i="1"/>
  <c r="AH911" i="1"/>
  <c r="AI911" i="1"/>
  <c r="AA912" i="1"/>
  <c r="AB912" i="1"/>
  <c r="AC912" i="1"/>
  <c r="AD912" i="1"/>
  <c r="AE912" i="1"/>
  <c r="AF912" i="1"/>
  <c r="AG912" i="1"/>
  <c r="AH912" i="1"/>
  <c r="AI912" i="1"/>
  <c r="AA913" i="1"/>
  <c r="AB913" i="1"/>
  <c r="AC913" i="1"/>
  <c r="AD913" i="1"/>
  <c r="AE913" i="1"/>
  <c r="AF913" i="1"/>
  <c r="AG913" i="1"/>
  <c r="AH913" i="1"/>
  <c r="AI913" i="1"/>
  <c r="AA914" i="1"/>
  <c r="AB914" i="1"/>
  <c r="AC914" i="1"/>
  <c r="AD914" i="1"/>
  <c r="AE914" i="1"/>
  <c r="AF914" i="1"/>
  <c r="AG914" i="1"/>
  <c r="AH914" i="1"/>
  <c r="AI914" i="1"/>
  <c r="AA915" i="1"/>
  <c r="AB915" i="1"/>
  <c r="AC915" i="1"/>
  <c r="AD915" i="1"/>
  <c r="AE915" i="1"/>
  <c r="AF915" i="1"/>
  <c r="AG915" i="1"/>
  <c r="AH915" i="1"/>
  <c r="AI915" i="1"/>
  <c r="AA916" i="1"/>
  <c r="AB916" i="1"/>
  <c r="AC916" i="1"/>
  <c r="AD916" i="1"/>
  <c r="AE916" i="1"/>
  <c r="AF916" i="1"/>
  <c r="AG916" i="1"/>
  <c r="AH916" i="1"/>
  <c r="AI916" i="1"/>
  <c r="AA917" i="1"/>
  <c r="AB917" i="1"/>
  <c r="AC917" i="1"/>
  <c r="AD917" i="1"/>
  <c r="AE917" i="1"/>
  <c r="AF917" i="1"/>
  <c r="AG917" i="1"/>
  <c r="AH917" i="1"/>
  <c r="AI917" i="1"/>
  <c r="AA918" i="1"/>
  <c r="AB918" i="1"/>
  <c r="AC918" i="1"/>
  <c r="AD918" i="1"/>
  <c r="AE918" i="1"/>
  <c r="AF918" i="1"/>
  <c r="AG918" i="1"/>
  <c r="AH918" i="1"/>
  <c r="AI918" i="1"/>
  <c r="AA919" i="1"/>
  <c r="AB919" i="1"/>
  <c r="AC919" i="1"/>
  <c r="AD919" i="1"/>
  <c r="AE919" i="1"/>
  <c r="AF919" i="1"/>
  <c r="AG919" i="1"/>
  <c r="AH919" i="1"/>
  <c r="AI919" i="1"/>
  <c r="AA920" i="1"/>
  <c r="AB920" i="1"/>
  <c r="AC920" i="1"/>
  <c r="AD920" i="1"/>
  <c r="AE920" i="1"/>
  <c r="AF920" i="1"/>
  <c r="AG920" i="1"/>
  <c r="AH920" i="1"/>
  <c r="AI920" i="1"/>
  <c r="AA921" i="1"/>
  <c r="AB921" i="1"/>
  <c r="AC921" i="1"/>
  <c r="AD921" i="1"/>
  <c r="AE921" i="1"/>
  <c r="AF921" i="1"/>
  <c r="AG921" i="1"/>
  <c r="AH921" i="1"/>
  <c r="AI921" i="1"/>
  <c r="AA922" i="1"/>
  <c r="AB922" i="1"/>
  <c r="AC922" i="1"/>
  <c r="AD922" i="1"/>
  <c r="AE922" i="1"/>
  <c r="AF922" i="1"/>
  <c r="AG922" i="1"/>
  <c r="AH922" i="1"/>
  <c r="AI922" i="1"/>
  <c r="AA923" i="1"/>
  <c r="AB923" i="1"/>
  <c r="AC923" i="1"/>
  <c r="AD923" i="1"/>
  <c r="AE923" i="1"/>
  <c r="AF923" i="1"/>
  <c r="AG923" i="1"/>
  <c r="AH923" i="1"/>
  <c r="AI923" i="1"/>
  <c r="AA924" i="1"/>
  <c r="AB924" i="1"/>
  <c r="AC924" i="1"/>
  <c r="AD924" i="1"/>
  <c r="AE924" i="1"/>
  <c r="AF924" i="1"/>
  <c r="AG924" i="1"/>
  <c r="AH924" i="1"/>
  <c r="AI924" i="1"/>
  <c r="AA925" i="1"/>
  <c r="AB925" i="1"/>
  <c r="AC925" i="1"/>
  <c r="AD925" i="1"/>
  <c r="AE925" i="1"/>
  <c r="AF925" i="1"/>
  <c r="AG925" i="1"/>
  <c r="AH925" i="1"/>
  <c r="AI925" i="1"/>
  <c r="AA926" i="1"/>
  <c r="AB926" i="1"/>
  <c r="AC926" i="1"/>
  <c r="AD926" i="1"/>
  <c r="AE926" i="1"/>
  <c r="AF926" i="1"/>
  <c r="AG926" i="1"/>
  <c r="AH926" i="1"/>
  <c r="AI926" i="1"/>
  <c r="AA927" i="1"/>
  <c r="AB927" i="1"/>
  <c r="AC927" i="1"/>
  <c r="AD927" i="1"/>
  <c r="AE927" i="1"/>
  <c r="AF927" i="1"/>
  <c r="AG927" i="1"/>
  <c r="AH927" i="1"/>
  <c r="AI927" i="1"/>
  <c r="AA928" i="1"/>
  <c r="AB928" i="1"/>
  <c r="AC928" i="1"/>
  <c r="AD928" i="1"/>
  <c r="AE928" i="1"/>
  <c r="AF928" i="1"/>
  <c r="AG928" i="1"/>
  <c r="AH928" i="1"/>
  <c r="AI928" i="1"/>
  <c r="AA929" i="1"/>
  <c r="AB929" i="1"/>
  <c r="AC929" i="1"/>
  <c r="AD929" i="1"/>
  <c r="AE929" i="1"/>
  <c r="AF929" i="1"/>
  <c r="AG929" i="1"/>
  <c r="AH929" i="1"/>
  <c r="AI929" i="1"/>
  <c r="AA930" i="1"/>
  <c r="AB930" i="1"/>
  <c r="AC930" i="1"/>
  <c r="AD930" i="1"/>
  <c r="AE930" i="1"/>
  <c r="AF930" i="1"/>
  <c r="AG930" i="1"/>
  <c r="AH930" i="1"/>
  <c r="AI930" i="1"/>
  <c r="AA931" i="1"/>
  <c r="AB931" i="1"/>
  <c r="AC931" i="1"/>
  <c r="AD931" i="1"/>
  <c r="AE931" i="1"/>
  <c r="AF931" i="1"/>
  <c r="AG931" i="1"/>
  <c r="AH931" i="1"/>
  <c r="AI931" i="1"/>
  <c r="AA932" i="1"/>
  <c r="AB932" i="1"/>
  <c r="AC932" i="1"/>
  <c r="AD932" i="1"/>
  <c r="AE932" i="1"/>
  <c r="AF932" i="1"/>
  <c r="AG932" i="1"/>
  <c r="AH932" i="1"/>
  <c r="AI932" i="1"/>
  <c r="AA933" i="1"/>
  <c r="AB933" i="1"/>
  <c r="AC933" i="1"/>
  <c r="AD933" i="1"/>
  <c r="AE933" i="1"/>
  <c r="AF933" i="1"/>
  <c r="AG933" i="1"/>
  <c r="AH933" i="1"/>
  <c r="AI933" i="1"/>
  <c r="AA934" i="1"/>
  <c r="AB934" i="1"/>
  <c r="AC934" i="1"/>
  <c r="AD934" i="1"/>
  <c r="AE934" i="1"/>
  <c r="AF934" i="1"/>
  <c r="AG934" i="1"/>
  <c r="AH934" i="1"/>
  <c r="AI934" i="1"/>
  <c r="AA935" i="1"/>
  <c r="AB935" i="1"/>
  <c r="AC935" i="1"/>
  <c r="AD935" i="1"/>
  <c r="AE935" i="1"/>
  <c r="AF935" i="1"/>
  <c r="AG935" i="1"/>
  <c r="AH935" i="1"/>
  <c r="AI935" i="1"/>
  <c r="AA936" i="1"/>
  <c r="AB936" i="1"/>
  <c r="AC936" i="1"/>
  <c r="AD936" i="1"/>
  <c r="AE936" i="1"/>
  <c r="AF936" i="1"/>
  <c r="AG936" i="1"/>
  <c r="AH936" i="1"/>
  <c r="AI936" i="1"/>
  <c r="AA937" i="1"/>
  <c r="AB937" i="1"/>
  <c r="AC937" i="1"/>
  <c r="AD937" i="1"/>
  <c r="AE937" i="1"/>
  <c r="AF937" i="1"/>
  <c r="AG937" i="1"/>
  <c r="AH937" i="1"/>
  <c r="AI937" i="1"/>
  <c r="AA938" i="1"/>
  <c r="AB938" i="1"/>
  <c r="AC938" i="1"/>
  <c r="AD938" i="1"/>
  <c r="AE938" i="1"/>
  <c r="AF938" i="1"/>
  <c r="AG938" i="1"/>
  <c r="AH938" i="1"/>
  <c r="AI938" i="1"/>
  <c r="AA939" i="1"/>
  <c r="AB939" i="1"/>
  <c r="AC939" i="1"/>
  <c r="AD939" i="1"/>
  <c r="AE939" i="1"/>
  <c r="AF939" i="1"/>
  <c r="AG939" i="1"/>
  <c r="AH939" i="1"/>
  <c r="AI939" i="1"/>
  <c r="AA940" i="1"/>
  <c r="AB940" i="1"/>
  <c r="AC940" i="1"/>
  <c r="AD940" i="1"/>
  <c r="AE940" i="1"/>
  <c r="AF940" i="1"/>
  <c r="AG940" i="1"/>
  <c r="AH940" i="1"/>
  <c r="AI940" i="1"/>
  <c r="AA941" i="1"/>
  <c r="AB941" i="1"/>
  <c r="AC941" i="1"/>
  <c r="AD941" i="1"/>
  <c r="AE941" i="1"/>
  <c r="AF941" i="1"/>
  <c r="AG941" i="1"/>
  <c r="AH941" i="1"/>
  <c r="AI941" i="1"/>
  <c r="AA942" i="1"/>
  <c r="AB942" i="1"/>
  <c r="AC942" i="1"/>
  <c r="AD942" i="1"/>
  <c r="AE942" i="1"/>
  <c r="AF942" i="1"/>
  <c r="AG942" i="1"/>
  <c r="AH942" i="1"/>
  <c r="AI942" i="1"/>
  <c r="AA943" i="1"/>
  <c r="AB943" i="1"/>
  <c r="AC943" i="1"/>
  <c r="AD943" i="1"/>
  <c r="AE943" i="1"/>
  <c r="AF943" i="1"/>
  <c r="AG943" i="1"/>
  <c r="AH943" i="1"/>
  <c r="AI943" i="1"/>
  <c r="AA944" i="1"/>
  <c r="AB944" i="1"/>
  <c r="AC944" i="1"/>
  <c r="AD944" i="1"/>
  <c r="AE944" i="1"/>
  <c r="AF944" i="1"/>
  <c r="AG944" i="1"/>
  <c r="AH944" i="1"/>
  <c r="AI944" i="1"/>
  <c r="AA945" i="1"/>
  <c r="AB945" i="1"/>
  <c r="AC945" i="1"/>
  <c r="AD945" i="1"/>
  <c r="AE945" i="1"/>
  <c r="AF945" i="1"/>
  <c r="AG945" i="1"/>
  <c r="AH945" i="1"/>
  <c r="AI945" i="1"/>
  <c r="AA946" i="1"/>
  <c r="AB946" i="1"/>
  <c r="AC946" i="1"/>
  <c r="AD946" i="1"/>
  <c r="AE946" i="1"/>
  <c r="AF946" i="1"/>
  <c r="AG946" i="1"/>
  <c r="AH946" i="1"/>
  <c r="AI946" i="1"/>
  <c r="AA947" i="1"/>
  <c r="AB947" i="1"/>
  <c r="AC947" i="1"/>
  <c r="AD947" i="1"/>
  <c r="AE947" i="1"/>
  <c r="AF947" i="1"/>
  <c r="AG947" i="1"/>
  <c r="AH947" i="1"/>
  <c r="AI947" i="1"/>
  <c r="AA948" i="1"/>
  <c r="AB948" i="1"/>
  <c r="AC948" i="1"/>
  <c r="AD948" i="1"/>
  <c r="AE948" i="1"/>
  <c r="AF948" i="1"/>
  <c r="AG948" i="1"/>
  <c r="AH948" i="1"/>
  <c r="AI948" i="1"/>
  <c r="AA949" i="1"/>
  <c r="AB949" i="1"/>
  <c r="AC949" i="1"/>
  <c r="AD949" i="1"/>
  <c r="AE949" i="1"/>
  <c r="AF949" i="1"/>
  <c r="AG949" i="1"/>
  <c r="AH949" i="1"/>
  <c r="AI949" i="1"/>
  <c r="AA950" i="1"/>
  <c r="AB950" i="1"/>
  <c r="AC950" i="1"/>
  <c r="AD950" i="1"/>
  <c r="AE950" i="1"/>
  <c r="AF950" i="1"/>
  <c r="AG950" i="1"/>
  <c r="AH950" i="1"/>
  <c r="AI950" i="1"/>
  <c r="AA951" i="1"/>
  <c r="AB951" i="1"/>
  <c r="AC951" i="1"/>
  <c r="AD951" i="1"/>
  <c r="AE951" i="1"/>
  <c r="AF951" i="1"/>
  <c r="AG951" i="1"/>
  <c r="AH951" i="1"/>
  <c r="AI951" i="1"/>
  <c r="AA952" i="1"/>
  <c r="AB952" i="1"/>
  <c r="AC952" i="1"/>
  <c r="AD952" i="1"/>
  <c r="AE952" i="1"/>
  <c r="AF952" i="1"/>
  <c r="AG952" i="1"/>
  <c r="AH952" i="1"/>
  <c r="AI952" i="1"/>
  <c r="AA953" i="1"/>
  <c r="AB953" i="1"/>
  <c r="AC953" i="1"/>
  <c r="AD953" i="1"/>
  <c r="AE953" i="1"/>
  <c r="AF953" i="1"/>
  <c r="AG953" i="1"/>
  <c r="AH953" i="1"/>
  <c r="AI953" i="1"/>
  <c r="AA954" i="1"/>
  <c r="AB954" i="1"/>
  <c r="AC954" i="1"/>
  <c r="AD954" i="1"/>
  <c r="AE954" i="1"/>
  <c r="AF954" i="1"/>
  <c r="AG954" i="1"/>
  <c r="AH954" i="1"/>
  <c r="AI954" i="1"/>
  <c r="AA955" i="1"/>
  <c r="AB955" i="1"/>
  <c r="AC955" i="1"/>
  <c r="AD955" i="1"/>
  <c r="AE955" i="1"/>
  <c r="AF955" i="1"/>
  <c r="AG955" i="1"/>
  <c r="AH955" i="1"/>
  <c r="AI955" i="1"/>
  <c r="AA956" i="1"/>
  <c r="AB956" i="1"/>
  <c r="AC956" i="1"/>
  <c r="AD956" i="1"/>
  <c r="AE956" i="1"/>
  <c r="AF956" i="1"/>
  <c r="AG956" i="1"/>
  <c r="AH956" i="1"/>
  <c r="AI956" i="1"/>
  <c r="AA957" i="1"/>
  <c r="AB957" i="1"/>
  <c r="AC957" i="1"/>
  <c r="AD957" i="1"/>
  <c r="AE957" i="1"/>
  <c r="AF957" i="1"/>
  <c r="AG957" i="1"/>
  <c r="AH957" i="1"/>
  <c r="AI957" i="1"/>
  <c r="AA958" i="1"/>
  <c r="AB958" i="1"/>
  <c r="AC958" i="1"/>
  <c r="AD958" i="1"/>
  <c r="AE958" i="1"/>
  <c r="AF958" i="1"/>
  <c r="AG958" i="1"/>
  <c r="AH958" i="1"/>
  <c r="AI958" i="1"/>
  <c r="AA959" i="1"/>
  <c r="AB959" i="1"/>
  <c r="AC959" i="1"/>
  <c r="AD959" i="1"/>
  <c r="AE959" i="1"/>
  <c r="AF959" i="1"/>
  <c r="AG959" i="1"/>
  <c r="AH959" i="1"/>
  <c r="AI959" i="1"/>
  <c r="AA960" i="1"/>
  <c r="AB960" i="1"/>
  <c r="AC960" i="1"/>
  <c r="AD960" i="1"/>
  <c r="AE960" i="1"/>
  <c r="AF960" i="1"/>
  <c r="AG960" i="1"/>
  <c r="AH960" i="1"/>
  <c r="AI960" i="1"/>
  <c r="AA961" i="1"/>
  <c r="AB961" i="1"/>
  <c r="AC961" i="1"/>
  <c r="AD961" i="1"/>
  <c r="AE961" i="1"/>
  <c r="AF961" i="1"/>
  <c r="AG961" i="1"/>
  <c r="AH961" i="1"/>
  <c r="AI961" i="1"/>
  <c r="AA962" i="1"/>
  <c r="AB962" i="1"/>
  <c r="AC962" i="1"/>
  <c r="AD962" i="1"/>
  <c r="AE962" i="1"/>
  <c r="AF962" i="1"/>
  <c r="AG962" i="1"/>
  <c r="AH962" i="1"/>
  <c r="AI962" i="1"/>
  <c r="AA963" i="1"/>
  <c r="AB963" i="1"/>
  <c r="AC963" i="1"/>
  <c r="AD963" i="1"/>
  <c r="AE963" i="1"/>
  <c r="AF963" i="1"/>
  <c r="AG963" i="1"/>
  <c r="AH963" i="1"/>
  <c r="AI963" i="1"/>
  <c r="AA964" i="1"/>
  <c r="AB964" i="1"/>
  <c r="AC964" i="1"/>
  <c r="AD964" i="1"/>
  <c r="AE964" i="1"/>
  <c r="AF964" i="1"/>
  <c r="AG964" i="1"/>
  <c r="AH964" i="1"/>
  <c r="AI964" i="1"/>
  <c r="AA965" i="1"/>
  <c r="AB965" i="1"/>
  <c r="AC965" i="1"/>
  <c r="AD965" i="1"/>
  <c r="AE965" i="1"/>
  <c r="AF965" i="1"/>
  <c r="AG965" i="1"/>
  <c r="AH965" i="1"/>
  <c r="AI965" i="1"/>
  <c r="AA966" i="1"/>
  <c r="AB966" i="1"/>
  <c r="AC966" i="1"/>
  <c r="AD966" i="1"/>
  <c r="AE966" i="1"/>
  <c r="AF966" i="1"/>
  <c r="AG966" i="1"/>
  <c r="AH966" i="1"/>
  <c r="AI966" i="1"/>
  <c r="AA967" i="1"/>
  <c r="AB967" i="1"/>
  <c r="AC967" i="1"/>
  <c r="AD967" i="1"/>
  <c r="AE967" i="1"/>
  <c r="AF967" i="1"/>
  <c r="AG967" i="1"/>
  <c r="AH967" i="1"/>
  <c r="AI967" i="1"/>
  <c r="AA968" i="1"/>
  <c r="AB968" i="1"/>
  <c r="AC968" i="1"/>
  <c r="AD968" i="1"/>
  <c r="AE968" i="1"/>
  <c r="AF968" i="1"/>
  <c r="AG968" i="1"/>
  <c r="AH968" i="1"/>
  <c r="AI968" i="1"/>
  <c r="AA969" i="1"/>
  <c r="AB969" i="1"/>
  <c r="AC969" i="1"/>
  <c r="AD969" i="1"/>
  <c r="AE969" i="1"/>
  <c r="AF969" i="1"/>
  <c r="AG969" i="1"/>
  <c r="AH969" i="1"/>
  <c r="AI969" i="1"/>
  <c r="AA970" i="1"/>
  <c r="AB970" i="1"/>
  <c r="AC970" i="1"/>
  <c r="AD970" i="1"/>
  <c r="AE970" i="1"/>
  <c r="AF970" i="1"/>
  <c r="AG970" i="1"/>
  <c r="AH970" i="1"/>
  <c r="AI970" i="1"/>
  <c r="AA971" i="1"/>
  <c r="AB971" i="1"/>
  <c r="AC971" i="1"/>
  <c r="AD971" i="1"/>
  <c r="AE971" i="1"/>
  <c r="AF971" i="1"/>
  <c r="AG971" i="1"/>
  <c r="AH971" i="1"/>
  <c r="AI971" i="1"/>
  <c r="AA972" i="1"/>
  <c r="AB972" i="1"/>
  <c r="AC972" i="1"/>
  <c r="AD972" i="1"/>
  <c r="AE972" i="1"/>
  <c r="AF972" i="1"/>
  <c r="AG972" i="1"/>
  <c r="AH972" i="1"/>
  <c r="AI972" i="1"/>
  <c r="AA973" i="1"/>
  <c r="AB973" i="1"/>
  <c r="AC973" i="1"/>
  <c r="AD973" i="1"/>
  <c r="AE973" i="1"/>
  <c r="AF973" i="1"/>
  <c r="AG973" i="1"/>
  <c r="AH973" i="1"/>
  <c r="AI973" i="1"/>
  <c r="AA974" i="1"/>
  <c r="AB974" i="1"/>
  <c r="AC974" i="1"/>
  <c r="AD974" i="1"/>
  <c r="AE974" i="1"/>
  <c r="AF974" i="1"/>
  <c r="AG974" i="1"/>
  <c r="AH974" i="1"/>
  <c r="AI974" i="1"/>
  <c r="AA975" i="1"/>
  <c r="AB975" i="1"/>
  <c r="AC975" i="1"/>
  <c r="AD975" i="1"/>
  <c r="AE975" i="1"/>
  <c r="AF975" i="1"/>
  <c r="AG975" i="1"/>
  <c r="AH975" i="1"/>
  <c r="AI975" i="1"/>
  <c r="AA976" i="1"/>
  <c r="AB976" i="1"/>
  <c r="AC976" i="1"/>
  <c r="AD976" i="1"/>
  <c r="AE976" i="1"/>
  <c r="AF976" i="1"/>
  <c r="AG976" i="1"/>
  <c r="AH976" i="1"/>
  <c r="AI976" i="1"/>
  <c r="AA977" i="1"/>
  <c r="AB977" i="1"/>
  <c r="AC977" i="1"/>
  <c r="AD977" i="1"/>
  <c r="AE977" i="1"/>
  <c r="AF977" i="1"/>
  <c r="AG977" i="1"/>
  <c r="AH977" i="1"/>
  <c r="AI977" i="1"/>
  <c r="AA978" i="1"/>
  <c r="AB978" i="1"/>
  <c r="AC978" i="1"/>
  <c r="AD978" i="1"/>
  <c r="AE978" i="1"/>
  <c r="AF978" i="1"/>
  <c r="AG978" i="1"/>
  <c r="AH978" i="1"/>
  <c r="AI978" i="1"/>
  <c r="AA979" i="1"/>
  <c r="AB979" i="1"/>
  <c r="AC979" i="1"/>
  <c r="AD979" i="1"/>
  <c r="AE979" i="1"/>
  <c r="AF979" i="1"/>
  <c r="AG979" i="1"/>
  <c r="AH979" i="1"/>
  <c r="AI979" i="1"/>
  <c r="AA980" i="1"/>
  <c r="AB980" i="1"/>
  <c r="AC980" i="1"/>
  <c r="AD980" i="1"/>
  <c r="AE980" i="1"/>
  <c r="AF980" i="1"/>
  <c r="AG980" i="1"/>
  <c r="AH980" i="1"/>
  <c r="AI980" i="1"/>
  <c r="AA981" i="1"/>
  <c r="AB981" i="1"/>
  <c r="AC981" i="1"/>
  <c r="AD981" i="1"/>
  <c r="AE981" i="1"/>
  <c r="AF981" i="1"/>
  <c r="AG981" i="1"/>
  <c r="AH981" i="1"/>
  <c r="AI981" i="1"/>
  <c r="AA982" i="1"/>
  <c r="AB982" i="1"/>
  <c r="AC982" i="1"/>
  <c r="AD982" i="1"/>
  <c r="AE982" i="1"/>
  <c r="AF982" i="1"/>
  <c r="AG982" i="1"/>
  <c r="AH982" i="1"/>
  <c r="AI982" i="1"/>
  <c r="AA983" i="1"/>
  <c r="AB983" i="1"/>
  <c r="AC983" i="1"/>
  <c r="AD983" i="1"/>
  <c r="AE983" i="1"/>
  <c r="AF983" i="1"/>
  <c r="AG983" i="1"/>
  <c r="AH983" i="1"/>
  <c r="AI983" i="1"/>
  <c r="AA984" i="1"/>
  <c r="AB984" i="1"/>
  <c r="AC984" i="1"/>
  <c r="AD984" i="1"/>
  <c r="AE984" i="1"/>
  <c r="AF984" i="1"/>
  <c r="AG984" i="1"/>
  <c r="AH984" i="1"/>
  <c r="AI984" i="1"/>
  <c r="AA985" i="1"/>
  <c r="AB985" i="1"/>
  <c r="AC985" i="1"/>
  <c r="AD985" i="1"/>
  <c r="AE985" i="1"/>
  <c r="AF985" i="1"/>
  <c r="AG985" i="1"/>
  <c r="AH985" i="1"/>
  <c r="AI985" i="1"/>
  <c r="AA986" i="1"/>
  <c r="AB986" i="1"/>
  <c r="AC986" i="1"/>
  <c r="AD986" i="1"/>
  <c r="AE986" i="1"/>
  <c r="AF986" i="1"/>
  <c r="AG986" i="1"/>
  <c r="AH986" i="1"/>
  <c r="AI986" i="1"/>
  <c r="AA987" i="1"/>
  <c r="AB987" i="1"/>
  <c r="AC987" i="1"/>
  <c r="AD987" i="1"/>
  <c r="AE987" i="1"/>
  <c r="AF987" i="1"/>
  <c r="AG987" i="1"/>
  <c r="AH987" i="1"/>
  <c r="AI987" i="1"/>
  <c r="AA988" i="1"/>
  <c r="AB988" i="1"/>
  <c r="AC988" i="1"/>
  <c r="AD988" i="1"/>
  <c r="AE988" i="1"/>
  <c r="AF988" i="1"/>
  <c r="AG988" i="1"/>
  <c r="AH988" i="1"/>
  <c r="AI988" i="1"/>
  <c r="AA989" i="1"/>
  <c r="AB989" i="1"/>
  <c r="AC989" i="1"/>
  <c r="AD989" i="1"/>
  <c r="AE989" i="1"/>
  <c r="AF989" i="1"/>
  <c r="AG989" i="1"/>
  <c r="AH989" i="1"/>
  <c r="AI989" i="1"/>
  <c r="AA990" i="1"/>
  <c r="AB990" i="1"/>
  <c r="AC990" i="1"/>
  <c r="AD990" i="1"/>
  <c r="AE990" i="1"/>
  <c r="AF990" i="1"/>
  <c r="AG990" i="1"/>
  <c r="AH990" i="1"/>
  <c r="AI990" i="1"/>
  <c r="AA991" i="1"/>
  <c r="AB991" i="1"/>
  <c r="AC991" i="1"/>
  <c r="AD991" i="1"/>
  <c r="AE991" i="1"/>
  <c r="AF991" i="1"/>
  <c r="AG991" i="1"/>
  <c r="AH991" i="1"/>
  <c r="AI991" i="1"/>
  <c r="AA992" i="1"/>
  <c r="AB992" i="1"/>
  <c r="AC992" i="1"/>
  <c r="AD992" i="1"/>
  <c r="AE992" i="1"/>
  <c r="AF992" i="1"/>
  <c r="AG992" i="1"/>
  <c r="AH992" i="1"/>
  <c r="AI992" i="1"/>
  <c r="AA993" i="1"/>
  <c r="AB993" i="1"/>
  <c r="AC993" i="1"/>
  <c r="AD993" i="1"/>
  <c r="AE993" i="1"/>
  <c r="AF993" i="1"/>
  <c r="AG993" i="1"/>
  <c r="AH993" i="1"/>
  <c r="AI993" i="1"/>
  <c r="AA994" i="1"/>
  <c r="AB994" i="1"/>
  <c r="AC994" i="1"/>
  <c r="AD994" i="1"/>
  <c r="AE994" i="1"/>
  <c r="AF994" i="1"/>
  <c r="AG994" i="1"/>
  <c r="AH994" i="1"/>
  <c r="AI994" i="1"/>
  <c r="AA995" i="1"/>
  <c r="AB995" i="1"/>
  <c r="AC995" i="1"/>
  <c r="AD995" i="1"/>
  <c r="AE995" i="1"/>
  <c r="AF995" i="1"/>
  <c r="AG995" i="1"/>
  <c r="AH995" i="1"/>
  <c r="AI995" i="1"/>
  <c r="AA996" i="1"/>
  <c r="AB996" i="1"/>
  <c r="AC996" i="1"/>
  <c r="AD996" i="1"/>
  <c r="AE996" i="1"/>
  <c r="AF996" i="1"/>
  <c r="AG996" i="1"/>
  <c r="AH996" i="1"/>
  <c r="AI996" i="1"/>
  <c r="AA997" i="1"/>
  <c r="AB997" i="1"/>
  <c r="AC997" i="1"/>
  <c r="AD997" i="1"/>
  <c r="AE997" i="1"/>
  <c r="AF997" i="1"/>
  <c r="AG997" i="1"/>
  <c r="AH997" i="1"/>
  <c r="AI997" i="1"/>
  <c r="AA998" i="1"/>
  <c r="AB998" i="1"/>
  <c r="AC998" i="1"/>
  <c r="AD998" i="1"/>
  <c r="AE998" i="1"/>
  <c r="AF998" i="1"/>
  <c r="AG998" i="1"/>
  <c r="AH998" i="1"/>
  <c r="AI998" i="1"/>
  <c r="AA999" i="1"/>
  <c r="AB999" i="1"/>
  <c r="AC999" i="1"/>
  <c r="AD999" i="1"/>
  <c r="AE999" i="1"/>
  <c r="AF999" i="1"/>
  <c r="AG999" i="1"/>
  <c r="AH999" i="1"/>
  <c r="AI999" i="1"/>
  <c r="AA1000" i="1"/>
  <c r="AB1000" i="1"/>
  <c r="AC1000" i="1"/>
  <c r="AD1000" i="1"/>
  <c r="AE1000" i="1"/>
  <c r="AF1000" i="1"/>
  <c r="AG1000" i="1"/>
  <c r="AH1000" i="1"/>
  <c r="AI1000" i="1"/>
  <c r="AA1001" i="1"/>
  <c r="AB1001" i="1"/>
  <c r="AC1001" i="1"/>
  <c r="AD1001" i="1"/>
  <c r="AE1001" i="1"/>
  <c r="AF1001" i="1"/>
  <c r="AG1001" i="1"/>
  <c r="AH1001" i="1"/>
  <c r="AI1001" i="1"/>
  <c r="AA1002" i="1"/>
  <c r="AB1002" i="1"/>
  <c r="AC1002" i="1"/>
  <c r="AD1002" i="1"/>
  <c r="AE1002" i="1"/>
  <c r="AF1002" i="1"/>
  <c r="AG1002" i="1"/>
  <c r="AH1002" i="1"/>
  <c r="AI1002" i="1"/>
  <c r="AA1003" i="1"/>
  <c r="AB1003" i="1"/>
  <c r="AC1003" i="1"/>
  <c r="AD1003" i="1"/>
  <c r="AE1003" i="1"/>
  <c r="AF1003" i="1"/>
  <c r="AG1003" i="1"/>
  <c r="AH1003" i="1"/>
  <c r="AI1003" i="1"/>
  <c r="AA1004" i="1"/>
  <c r="AB1004" i="1"/>
  <c r="AC1004" i="1"/>
  <c r="AD1004" i="1"/>
  <c r="AE1004" i="1"/>
  <c r="AF1004" i="1"/>
  <c r="AG1004" i="1"/>
  <c r="AH1004" i="1"/>
  <c r="AI1004" i="1"/>
  <c r="AA1005" i="1"/>
  <c r="AB1005" i="1"/>
  <c r="AC1005" i="1"/>
  <c r="AD1005" i="1"/>
  <c r="AE1005" i="1"/>
  <c r="AF1005" i="1"/>
  <c r="AG1005" i="1"/>
  <c r="AH1005" i="1"/>
  <c r="AI1005" i="1"/>
  <c r="AA1006" i="1"/>
  <c r="AB1006" i="1"/>
  <c r="AC1006" i="1"/>
  <c r="AD1006" i="1"/>
  <c r="AE1006" i="1"/>
  <c r="AF1006" i="1"/>
  <c r="AG1006" i="1"/>
  <c r="AH1006" i="1"/>
  <c r="AI1006" i="1"/>
  <c r="AA1007" i="1"/>
  <c r="AB1007" i="1"/>
  <c r="AC1007" i="1"/>
  <c r="AD1007" i="1"/>
  <c r="AE1007" i="1"/>
  <c r="AF1007" i="1"/>
  <c r="AG1007" i="1"/>
  <c r="AH1007" i="1"/>
  <c r="AI1007" i="1"/>
  <c r="AA1008" i="1"/>
  <c r="AB1008" i="1"/>
  <c r="AC1008" i="1"/>
  <c r="AD1008" i="1"/>
  <c r="AE1008" i="1"/>
  <c r="AF1008" i="1"/>
  <c r="AG1008" i="1"/>
  <c r="AH1008" i="1"/>
  <c r="AI1008" i="1"/>
  <c r="AA1009" i="1"/>
  <c r="AB1009" i="1"/>
  <c r="AC1009" i="1"/>
  <c r="AD1009" i="1"/>
  <c r="AE1009" i="1"/>
  <c r="AF1009" i="1"/>
  <c r="AG1009" i="1"/>
  <c r="AH1009" i="1"/>
  <c r="AI1009" i="1"/>
  <c r="AA1010" i="1"/>
  <c r="AB1010" i="1"/>
  <c r="AC1010" i="1"/>
  <c r="AD1010" i="1"/>
  <c r="AE1010" i="1"/>
  <c r="AF1010" i="1"/>
  <c r="AG1010" i="1"/>
  <c r="AH1010" i="1"/>
  <c r="AI1010" i="1"/>
  <c r="AA1011" i="1"/>
  <c r="AB1011" i="1"/>
  <c r="AC1011" i="1"/>
  <c r="AD1011" i="1"/>
  <c r="AE1011" i="1"/>
  <c r="AF1011" i="1"/>
  <c r="AG1011" i="1"/>
  <c r="AH1011" i="1"/>
  <c r="AI1011" i="1"/>
  <c r="AA1012" i="1"/>
  <c r="AB1012" i="1"/>
  <c r="AC1012" i="1"/>
  <c r="AD1012" i="1"/>
  <c r="AE1012" i="1"/>
  <c r="AF1012" i="1"/>
  <c r="AG1012" i="1"/>
  <c r="AH1012" i="1"/>
  <c r="AI1012" i="1"/>
  <c r="AA1013" i="1"/>
  <c r="AB1013" i="1"/>
  <c r="AC1013" i="1"/>
  <c r="AD1013" i="1"/>
  <c r="AE1013" i="1"/>
  <c r="AF1013" i="1"/>
  <c r="AG1013" i="1"/>
  <c r="AH1013" i="1"/>
  <c r="AI1013" i="1"/>
  <c r="AA1014" i="1"/>
  <c r="AB1014" i="1"/>
  <c r="AC1014" i="1"/>
  <c r="AD1014" i="1"/>
  <c r="AE1014" i="1"/>
  <c r="AF1014" i="1"/>
  <c r="AG1014" i="1"/>
  <c r="AH1014" i="1"/>
  <c r="AI1014" i="1"/>
  <c r="AA1015" i="1"/>
  <c r="AB1015" i="1"/>
  <c r="AC1015" i="1"/>
  <c r="AD1015" i="1"/>
  <c r="AE1015" i="1"/>
  <c r="AF1015" i="1"/>
  <c r="AG1015" i="1"/>
  <c r="AH1015" i="1"/>
  <c r="AI1015" i="1"/>
  <c r="AA1016" i="1"/>
  <c r="AB1016" i="1"/>
  <c r="AC1016" i="1"/>
  <c r="AD1016" i="1"/>
  <c r="AE1016" i="1"/>
  <c r="AF1016" i="1"/>
  <c r="AG1016" i="1"/>
  <c r="AH1016" i="1"/>
  <c r="AI1016" i="1"/>
  <c r="AA1017" i="1"/>
  <c r="AB1017" i="1"/>
  <c r="AC1017" i="1"/>
  <c r="AD1017" i="1"/>
  <c r="AE1017" i="1"/>
  <c r="AF1017" i="1"/>
  <c r="AG1017" i="1"/>
  <c r="AH1017" i="1"/>
  <c r="AI1017" i="1"/>
  <c r="AA1018" i="1"/>
  <c r="AB1018" i="1"/>
  <c r="AC1018" i="1"/>
  <c r="AD1018" i="1"/>
  <c r="AE1018" i="1"/>
  <c r="AF1018" i="1"/>
  <c r="AG1018" i="1"/>
  <c r="AH1018" i="1"/>
  <c r="AI1018" i="1"/>
  <c r="AA1019" i="1"/>
  <c r="AB1019" i="1"/>
  <c r="AC1019" i="1"/>
  <c r="AD1019" i="1"/>
  <c r="AE1019" i="1"/>
  <c r="AF1019" i="1"/>
  <c r="AG1019" i="1"/>
  <c r="AH1019" i="1"/>
  <c r="AI1019" i="1"/>
  <c r="AA1020" i="1"/>
  <c r="AB1020" i="1"/>
  <c r="AC1020" i="1"/>
  <c r="AD1020" i="1"/>
  <c r="AE1020" i="1"/>
  <c r="AF1020" i="1"/>
  <c r="AG1020" i="1"/>
  <c r="AH1020" i="1"/>
  <c r="AI1020" i="1"/>
  <c r="AA1021" i="1"/>
  <c r="AB1021" i="1"/>
  <c r="AC1021" i="1"/>
  <c r="AD1021" i="1"/>
  <c r="AE1021" i="1"/>
  <c r="AF1021" i="1"/>
  <c r="AG1021" i="1"/>
  <c r="AH1021" i="1"/>
  <c r="AI1021" i="1"/>
  <c r="AA1022" i="1"/>
  <c r="AB1022" i="1"/>
  <c r="AC1022" i="1"/>
  <c r="AD1022" i="1"/>
  <c r="AE1022" i="1"/>
  <c r="AF1022" i="1"/>
  <c r="AG1022" i="1"/>
  <c r="AH1022" i="1"/>
  <c r="AI1022" i="1"/>
  <c r="AA1023" i="1"/>
  <c r="AB1023" i="1"/>
  <c r="AC1023" i="1"/>
  <c r="AD1023" i="1"/>
  <c r="AE1023" i="1"/>
  <c r="AF1023" i="1"/>
  <c r="AG1023" i="1"/>
  <c r="AH1023" i="1"/>
  <c r="AI1023" i="1"/>
  <c r="AA1024" i="1"/>
  <c r="AB1024" i="1"/>
  <c r="AC1024" i="1"/>
  <c r="AD1024" i="1"/>
  <c r="AE1024" i="1"/>
  <c r="AF1024" i="1"/>
  <c r="AG1024" i="1"/>
  <c r="AH1024" i="1"/>
  <c r="AI1024" i="1"/>
  <c r="AA1025" i="1"/>
  <c r="AB1025" i="1"/>
  <c r="AC1025" i="1"/>
  <c r="AD1025" i="1"/>
  <c r="AE1025" i="1"/>
  <c r="AF1025" i="1"/>
  <c r="AG1025" i="1"/>
  <c r="AH1025" i="1"/>
  <c r="AI1025" i="1"/>
  <c r="AA1026" i="1"/>
  <c r="AB1026" i="1"/>
  <c r="AC1026" i="1"/>
  <c r="AD1026" i="1"/>
  <c r="AE1026" i="1"/>
  <c r="AF1026" i="1"/>
  <c r="AG1026" i="1"/>
  <c r="AH1026" i="1"/>
  <c r="AI1026" i="1"/>
  <c r="AA1027" i="1"/>
  <c r="AB1027" i="1"/>
  <c r="AC1027" i="1"/>
  <c r="AD1027" i="1"/>
  <c r="AE1027" i="1"/>
  <c r="AF1027" i="1"/>
  <c r="AG1027" i="1"/>
  <c r="AH1027" i="1"/>
  <c r="AI1027" i="1"/>
  <c r="AA1028" i="1"/>
  <c r="AB1028" i="1"/>
  <c r="AC1028" i="1"/>
  <c r="AD1028" i="1"/>
  <c r="AE1028" i="1"/>
  <c r="AF1028" i="1"/>
  <c r="AG1028" i="1"/>
  <c r="AH1028" i="1"/>
  <c r="AI1028" i="1"/>
  <c r="AA1029" i="1"/>
  <c r="AB1029" i="1"/>
  <c r="AC1029" i="1"/>
  <c r="AD1029" i="1"/>
  <c r="AE1029" i="1"/>
  <c r="AF1029" i="1"/>
  <c r="AG1029" i="1"/>
  <c r="AH1029" i="1"/>
  <c r="AI1029" i="1"/>
  <c r="AA1030" i="1"/>
  <c r="AB1030" i="1"/>
  <c r="AC1030" i="1"/>
  <c r="AD1030" i="1"/>
  <c r="AE1030" i="1"/>
  <c r="AF1030" i="1"/>
  <c r="AG1030" i="1"/>
  <c r="AH1030" i="1"/>
  <c r="AI1030" i="1"/>
  <c r="AA1031" i="1"/>
  <c r="AB1031" i="1"/>
  <c r="AC1031" i="1"/>
  <c r="AD1031" i="1"/>
  <c r="AE1031" i="1"/>
  <c r="AF1031" i="1"/>
  <c r="AG1031" i="1"/>
  <c r="AH1031" i="1"/>
  <c r="AI1031" i="1"/>
  <c r="AA1032" i="1"/>
  <c r="AB1032" i="1"/>
  <c r="AC1032" i="1"/>
  <c r="AD1032" i="1"/>
  <c r="AE1032" i="1"/>
  <c r="AF1032" i="1"/>
  <c r="AG1032" i="1"/>
  <c r="AH1032" i="1"/>
  <c r="AI1032" i="1"/>
  <c r="AA1033" i="1"/>
  <c r="AB1033" i="1"/>
  <c r="AC1033" i="1"/>
  <c r="AD1033" i="1"/>
  <c r="AE1033" i="1"/>
  <c r="AF1033" i="1"/>
  <c r="AG1033" i="1"/>
  <c r="AH1033" i="1"/>
  <c r="AI1033" i="1"/>
  <c r="AA1034" i="1"/>
  <c r="AB1034" i="1"/>
  <c r="AC1034" i="1"/>
  <c r="AD1034" i="1"/>
  <c r="AE1034" i="1"/>
  <c r="AF1034" i="1"/>
  <c r="AG1034" i="1"/>
  <c r="AH1034" i="1"/>
  <c r="AI1034" i="1"/>
  <c r="AA1035" i="1"/>
  <c r="AB1035" i="1"/>
  <c r="AC1035" i="1"/>
  <c r="AD1035" i="1"/>
  <c r="AE1035" i="1"/>
  <c r="AF1035" i="1"/>
  <c r="AG1035" i="1"/>
  <c r="AH1035" i="1"/>
  <c r="AI1035" i="1"/>
  <c r="AA1036" i="1"/>
  <c r="AB1036" i="1"/>
  <c r="AC1036" i="1"/>
  <c r="AD1036" i="1"/>
  <c r="AE1036" i="1"/>
  <c r="AF1036" i="1"/>
  <c r="AG1036" i="1"/>
  <c r="AH1036" i="1"/>
  <c r="AI1036" i="1"/>
  <c r="AA1037" i="1"/>
  <c r="AB1037" i="1"/>
  <c r="AC1037" i="1"/>
  <c r="AD1037" i="1"/>
  <c r="AE1037" i="1"/>
  <c r="AF1037" i="1"/>
  <c r="AG1037" i="1"/>
  <c r="AH1037" i="1"/>
  <c r="AI1037" i="1"/>
  <c r="AA1038" i="1"/>
  <c r="AB1038" i="1"/>
  <c r="AC1038" i="1"/>
  <c r="AD1038" i="1"/>
  <c r="AE1038" i="1"/>
  <c r="AF1038" i="1"/>
  <c r="AG1038" i="1"/>
  <c r="AH1038" i="1"/>
  <c r="AI1038" i="1"/>
  <c r="AA1039" i="1"/>
  <c r="AB1039" i="1"/>
  <c r="AC1039" i="1"/>
  <c r="AD1039" i="1"/>
  <c r="AE1039" i="1"/>
  <c r="AF1039" i="1"/>
  <c r="AG1039" i="1"/>
  <c r="AH1039" i="1"/>
  <c r="AI1039" i="1"/>
  <c r="AA1040" i="1"/>
  <c r="AB1040" i="1"/>
  <c r="AC1040" i="1"/>
  <c r="AD1040" i="1"/>
  <c r="AE1040" i="1"/>
  <c r="AF1040" i="1"/>
  <c r="AG1040" i="1"/>
  <c r="AH1040" i="1"/>
  <c r="AI1040" i="1"/>
  <c r="AA1041" i="1"/>
  <c r="AB1041" i="1"/>
  <c r="AC1041" i="1"/>
  <c r="AD1041" i="1"/>
  <c r="AE1041" i="1"/>
  <c r="AF1041" i="1"/>
  <c r="AG1041" i="1"/>
  <c r="AH1041" i="1"/>
  <c r="AI1041" i="1"/>
  <c r="AA1042" i="1"/>
  <c r="AB1042" i="1"/>
  <c r="AC1042" i="1"/>
  <c r="AD1042" i="1"/>
  <c r="AE1042" i="1"/>
  <c r="AF1042" i="1"/>
  <c r="AG1042" i="1"/>
  <c r="AH1042" i="1"/>
  <c r="AI1042" i="1"/>
  <c r="AA1043" i="1"/>
  <c r="AB1043" i="1"/>
  <c r="AC1043" i="1"/>
  <c r="AD1043" i="1"/>
  <c r="AE1043" i="1"/>
  <c r="AF1043" i="1"/>
  <c r="AG1043" i="1"/>
  <c r="AH1043" i="1"/>
  <c r="AI1043" i="1"/>
  <c r="AA1044" i="1"/>
  <c r="AB1044" i="1"/>
  <c r="AC1044" i="1"/>
  <c r="AD1044" i="1"/>
  <c r="AE1044" i="1"/>
  <c r="AF1044" i="1"/>
  <c r="AG1044" i="1"/>
  <c r="AH1044" i="1"/>
  <c r="AI1044" i="1"/>
  <c r="AA1045" i="1"/>
  <c r="AB1045" i="1"/>
  <c r="AC1045" i="1"/>
  <c r="AD1045" i="1"/>
  <c r="AE1045" i="1"/>
  <c r="AF1045" i="1"/>
  <c r="AG1045" i="1"/>
  <c r="AH1045" i="1"/>
  <c r="AI1045" i="1"/>
  <c r="AA1046" i="1"/>
  <c r="AB1046" i="1"/>
  <c r="AC1046" i="1"/>
  <c r="AD1046" i="1"/>
  <c r="AE1046" i="1"/>
  <c r="AF1046" i="1"/>
  <c r="AG1046" i="1"/>
  <c r="AH1046" i="1"/>
  <c r="AI1046" i="1"/>
  <c r="AA1047" i="1"/>
  <c r="AB1047" i="1"/>
  <c r="AC1047" i="1"/>
  <c r="AD1047" i="1"/>
  <c r="AE1047" i="1"/>
  <c r="AF1047" i="1"/>
  <c r="AG1047" i="1"/>
  <c r="AH1047" i="1"/>
  <c r="AI1047" i="1"/>
  <c r="AA1048" i="1"/>
  <c r="AB1048" i="1"/>
  <c r="AC1048" i="1"/>
  <c r="AD1048" i="1"/>
  <c r="AE1048" i="1"/>
  <c r="AF1048" i="1"/>
  <c r="AG1048" i="1"/>
  <c r="AH1048" i="1"/>
  <c r="AI1048" i="1"/>
  <c r="AA1049" i="1"/>
  <c r="AB1049" i="1"/>
  <c r="E55" i="3" s="1"/>
  <c r="N55" i="3" s="1"/>
  <c r="E57" i="4" s="1"/>
  <c r="AC1049" i="1"/>
  <c r="AD1049" i="1"/>
  <c r="AE1049" i="1"/>
  <c r="AF1049" i="1"/>
  <c r="I55" i="3" s="1"/>
  <c r="R55" i="3" s="1"/>
  <c r="I57" i="4" s="1"/>
  <c r="AG1049" i="1"/>
  <c r="AH1049" i="1"/>
  <c r="AI1049" i="1"/>
  <c r="AA1050" i="1"/>
  <c r="AB1050" i="1"/>
  <c r="AC1050" i="1"/>
  <c r="AD1050" i="1"/>
  <c r="AE1050" i="1"/>
  <c r="AF1050" i="1"/>
  <c r="AG1050" i="1"/>
  <c r="AH1050" i="1"/>
  <c r="AI1050" i="1"/>
  <c r="AA1051" i="1"/>
  <c r="AB1051" i="1"/>
  <c r="AC1051" i="1"/>
  <c r="AD1051" i="1"/>
  <c r="AE1051" i="1"/>
  <c r="AF1051" i="1"/>
  <c r="AG1051" i="1"/>
  <c r="AH1051" i="1"/>
  <c r="AI1051" i="1"/>
  <c r="AA1052" i="1"/>
  <c r="AB1052" i="1"/>
  <c r="AC1052" i="1"/>
  <c r="AD1052" i="1"/>
  <c r="AE1052" i="1"/>
  <c r="AF1052" i="1"/>
  <c r="AG1052" i="1"/>
  <c r="AH1052" i="1"/>
  <c r="AI1052" i="1"/>
  <c r="AA1053" i="1"/>
  <c r="AB1053" i="1"/>
  <c r="AC1053" i="1"/>
  <c r="AD1053" i="1"/>
  <c r="AE1053" i="1"/>
  <c r="AF1053" i="1"/>
  <c r="AG1053" i="1"/>
  <c r="AH1053" i="1"/>
  <c r="AI1053" i="1"/>
  <c r="AA1054" i="1"/>
  <c r="AB1054" i="1"/>
  <c r="AC1054" i="1"/>
  <c r="AD1054" i="1"/>
  <c r="AE1054" i="1"/>
  <c r="AF1054" i="1"/>
  <c r="AG1054" i="1"/>
  <c r="AH1054" i="1"/>
  <c r="AI1054" i="1"/>
  <c r="AA1055" i="1"/>
  <c r="AB1055" i="1"/>
  <c r="AC1055" i="1"/>
  <c r="AD1055" i="1"/>
  <c r="AE1055" i="1"/>
  <c r="AF1055" i="1"/>
  <c r="AG1055" i="1"/>
  <c r="AH1055" i="1"/>
  <c r="AI1055" i="1"/>
  <c r="AA1056" i="1"/>
  <c r="AB1056" i="1"/>
  <c r="AC1056" i="1"/>
  <c r="AD1056" i="1"/>
  <c r="AE1056" i="1"/>
  <c r="AF1056" i="1"/>
  <c r="AG1056" i="1"/>
  <c r="AH1056" i="1"/>
  <c r="AI1056" i="1"/>
  <c r="AA1057" i="1"/>
  <c r="AB1057" i="1"/>
  <c r="AC1057" i="1"/>
  <c r="AD1057" i="1"/>
  <c r="AE1057" i="1"/>
  <c r="AF1057" i="1"/>
  <c r="AG1057" i="1"/>
  <c r="AH1057" i="1"/>
  <c r="AI1057" i="1"/>
  <c r="AA1058" i="1"/>
  <c r="AB1058" i="1"/>
  <c r="AC1058" i="1"/>
  <c r="AD1058" i="1"/>
  <c r="AE1058" i="1"/>
  <c r="AF1058" i="1"/>
  <c r="AG1058" i="1"/>
  <c r="AH1058" i="1"/>
  <c r="AI1058" i="1"/>
  <c r="AA1059" i="1"/>
  <c r="AB1059" i="1"/>
  <c r="AC1059" i="1"/>
  <c r="AD1059" i="1"/>
  <c r="AE1059" i="1"/>
  <c r="AF1059" i="1"/>
  <c r="AG1059" i="1"/>
  <c r="AH1059" i="1"/>
  <c r="AI1059" i="1"/>
  <c r="AA1060" i="1"/>
  <c r="AB1060" i="1"/>
  <c r="AC1060" i="1"/>
  <c r="AD1060" i="1"/>
  <c r="AE1060" i="1"/>
  <c r="AF1060" i="1"/>
  <c r="AG1060" i="1"/>
  <c r="AH1060" i="1"/>
  <c r="AI1060" i="1"/>
  <c r="AA1061" i="1"/>
  <c r="AB1061" i="1"/>
  <c r="AC1061" i="1"/>
  <c r="AD1061" i="1"/>
  <c r="AE1061" i="1"/>
  <c r="AF1061" i="1"/>
  <c r="AG1061" i="1"/>
  <c r="AH1061" i="1"/>
  <c r="AI1061" i="1"/>
  <c r="AA1062" i="1"/>
  <c r="AB1062" i="1"/>
  <c r="AC1062" i="1"/>
  <c r="AD1062" i="1"/>
  <c r="AE1062" i="1"/>
  <c r="AF1062" i="1"/>
  <c r="AG1062" i="1"/>
  <c r="AH1062" i="1"/>
  <c r="AI1062" i="1"/>
  <c r="AA1063" i="1"/>
  <c r="AB1063" i="1"/>
  <c r="AC1063" i="1"/>
  <c r="AD1063" i="1"/>
  <c r="AE1063" i="1"/>
  <c r="AF1063" i="1"/>
  <c r="AG1063" i="1"/>
  <c r="AH1063" i="1"/>
  <c r="AI1063" i="1"/>
  <c r="AA1064" i="1"/>
  <c r="AB1064" i="1"/>
  <c r="AC1064" i="1"/>
  <c r="AD1064" i="1"/>
  <c r="AE1064" i="1"/>
  <c r="AF1064" i="1"/>
  <c r="AG1064" i="1"/>
  <c r="AH1064" i="1"/>
  <c r="AI1064" i="1"/>
  <c r="AA1065" i="1"/>
  <c r="AB1065" i="1"/>
  <c r="AC1065" i="1"/>
  <c r="AD1065" i="1"/>
  <c r="AE1065" i="1"/>
  <c r="AF1065" i="1"/>
  <c r="AG1065" i="1"/>
  <c r="AH1065" i="1"/>
  <c r="AI1065" i="1"/>
  <c r="AA1066" i="1"/>
  <c r="AB1066" i="1"/>
  <c r="AC1066" i="1"/>
  <c r="AD1066" i="1"/>
  <c r="AE1066" i="1"/>
  <c r="AF1066" i="1"/>
  <c r="AG1066" i="1"/>
  <c r="AH1066" i="1"/>
  <c r="AI1066" i="1"/>
  <c r="AA1067" i="1"/>
  <c r="AB1067" i="1"/>
  <c r="AC1067" i="1"/>
  <c r="AD1067" i="1"/>
  <c r="AE1067" i="1"/>
  <c r="AF1067" i="1"/>
  <c r="AG1067" i="1"/>
  <c r="AH1067" i="1"/>
  <c r="AI1067" i="1"/>
  <c r="AA1068" i="1"/>
  <c r="AB1068" i="1"/>
  <c r="AC1068" i="1"/>
  <c r="AD1068" i="1"/>
  <c r="AE1068" i="1"/>
  <c r="AF1068" i="1"/>
  <c r="AG1068" i="1"/>
  <c r="AH1068" i="1"/>
  <c r="AI1068" i="1"/>
  <c r="AA1069" i="1"/>
  <c r="AB1069" i="1"/>
  <c r="AC1069" i="1"/>
  <c r="AD1069" i="1"/>
  <c r="AE1069" i="1"/>
  <c r="AF1069" i="1"/>
  <c r="AG1069" i="1"/>
  <c r="AH1069" i="1"/>
  <c r="AI1069" i="1"/>
  <c r="AI2" i="1"/>
  <c r="AH2" i="1"/>
  <c r="AB2" i="1"/>
  <c r="AC2" i="1"/>
  <c r="AD2" i="1"/>
  <c r="AE2" i="1"/>
  <c r="AF2" i="1"/>
  <c r="AG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2" i="1"/>
  <c r="D20" i="3" l="1"/>
  <c r="M20" i="3" s="1"/>
  <c r="D22" i="4" s="1"/>
  <c r="G20" i="3"/>
  <c r="P20" i="3" s="1"/>
  <c r="G22" i="4" s="1"/>
  <c r="L20" i="3"/>
  <c r="U20" i="3" s="1"/>
  <c r="L22" i="4" s="1"/>
  <c r="G4" i="4"/>
  <c r="H4" i="4" s="1"/>
  <c r="E4" i="5" s="1"/>
  <c r="K4" i="5"/>
  <c r="F20" i="3"/>
  <c r="O20" i="3" s="1"/>
  <c r="F22" i="4" s="1"/>
  <c r="I20" i="3"/>
  <c r="R20" i="3" s="1"/>
  <c r="I22" i="4" s="1"/>
  <c r="E20" i="3"/>
  <c r="N20" i="3" s="1"/>
  <c r="E22" i="4" s="1"/>
  <c r="F22" i="5" s="1"/>
  <c r="J20" i="3"/>
  <c r="S20" i="3" s="1"/>
  <c r="J22" i="4" s="1"/>
  <c r="H20" i="3"/>
  <c r="Q20" i="3" s="1"/>
  <c r="H22" i="4" s="1"/>
  <c r="K20" i="3"/>
  <c r="T20" i="3" s="1"/>
  <c r="K22" i="4" s="1"/>
  <c r="K51" i="3"/>
  <c r="T51" i="3" s="1"/>
  <c r="K53" i="4" s="1"/>
  <c r="G51" i="3"/>
  <c r="P51" i="3" s="1"/>
  <c r="G53" i="4" s="1"/>
  <c r="J49" i="3"/>
  <c r="S49" i="3" s="1"/>
  <c r="J51" i="4" s="1"/>
  <c r="F49" i="3"/>
  <c r="O49" i="3" s="1"/>
  <c r="F51" i="4" s="1"/>
  <c r="J57" i="3"/>
  <c r="S57" i="3" s="1"/>
  <c r="J59" i="4" s="1"/>
  <c r="F57" i="3"/>
  <c r="O57" i="3" s="1"/>
  <c r="F59" i="4" s="1"/>
  <c r="L56" i="3"/>
  <c r="U56" i="3" s="1"/>
  <c r="L58" i="4" s="1"/>
  <c r="H56" i="3"/>
  <c r="Q56" i="3" s="1"/>
  <c r="H58" i="4" s="1"/>
  <c r="D56" i="3"/>
  <c r="M56" i="3" s="1"/>
  <c r="D58" i="4" s="1"/>
  <c r="I54" i="3"/>
  <c r="R54" i="3" s="1"/>
  <c r="I56" i="4" s="1"/>
  <c r="E54" i="3"/>
  <c r="N54" i="3" s="1"/>
  <c r="E56" i="4" s="1"/>
  <c r="I52" i="3"/>
  <c r="R52" i="3" s="1"/>
  <c r="I54" i="4" s="1"/>
  <c r="E52" i="3"/>
  <c r="N52" i="3" s="1"/>
  <c r="E54" i="4" s="1"/>
  <c r="K50" i="3"/>
  <c r="T50" i="3" s="1"/>
  <c r="K52" i="4" s="1"/>
  <c r="G50" i="3"/>
  <c r="P50" i="3" s="1"/>
  <c r="G52" i="4" s="1"/>
  <c r="K53" i="3"/>
  <c r="T53" i="3" s="1"/>
  <c r="K55" i="4" s="1"/>
  <c r="G53" i="3"/>
  <c r="P53" i="3" s="1"/>
  <c r="G55" i="4" s="1"/>
  <c r="J68" i="3"/>
  <c r="S68" i="3" s="1"/>
  <c r="J70" i="4" s="1"/>
  <c r="F68" i="3"/>
  <c r="O68" i="3" s="1"/>
  <c r="F70" i="4" s="1"/>
  <c r="I65" i="3"/>
  <c r="R65" i="3" s="1"/>
  <c r="I67" i="4" s="1"/>
  <c r="E65" i="3"/>
  <c r="N65" i="3" s="1"/>
  <c r="E67" i="4" s="1"/>
  <c r="I66" i="3"/>
  <c r="R66" i="3" s="1"/>
  <c r="I68" i="4" s="1"/>
  <c r="E66" i="3"/>
  <c r="N66" i="3" s="1"/>
  <c r="E68" i="4" s="1"/>
  <c r="L67" i="3"/>
  <c r="U67" i="3" s="1"/>
  <c r="L69" i="4" s="1"/>
  <c r="H67" i="3"/>
  <c r="Q67" i="3" s="1"/>
  <c r="H69" i="4" s="1"/>
  <c r="D67" i="3"/>
  <c r="M67" i="3" s="1"/>
  <c r="D69" i="4" s="1"/>
  <c r="J64" i="3"/>
  <c r="S64" i="3" s="1"/>
  <c r="J66" i="4" s="1"/>
  <c r="F64" i="3"/>
  <c r="O64" i="3" s="1"/>
  <c r="F66" i="4" s="1"/>
  <c r="L63" i="3"/>
  <c r="U63" i="3" s="1"/>
  <c r="L65" i="4" s="1"/>
  <c r="H63" i="3"/>
  <c r="Q63" i="3" s="1"/>
  <c r="H65" i="4" s="1"/>
  <c r="D63" i="3"/>
  <c r="M63" i="3" s="1"/>
  <c r="D65" i="4" s="1"/>
  <c r="I61" i="3"/>
  <c r="R61" i="3" s="1"/>
  <c r="I63" i="4" s="1"/>
  <c r="E61" i="3"/>
  <c r="N61" i="3" s="1"/>
  <c r="E63" i="4" s="1"/>
  <c r="K60" i="3"/>
  <c r="T60" i="3" s="1"/>
  <c r="K62" i="4" s="1"/>
  <c r="G60" i="3"/>
  <c r="P60" i="3" s="1"/>
  <c r="G62" i="4" s="1"/>
  <c r="I59" i="3"/>
  <c r="R59" i="3" s="1"/>
  <c r="I61" i="4" s="1"/>
  <c r="E59" i="3"/>
  <c r="N59" i="3" s="1"/>
  <c r="E61" i="4" s="1"/>
  <c r="K58" i="3"/>
  <c r="T58" i="3" s="1"/>
  <c r="K60" i="4" s="1"/>
  <c r="G58" i="3"/>
  <c r="P58" i="3" s="1"/>
  <c r="G60" i="4" s="1"/>
  <c r="L62" i="3"/>
  <c r="U62" i="3" s="1"/>
  <c r="L64" i="4" s="1"/>
  <c r="H62" i="3"/>
  <c r="Q62" i="3" s="1"/>
  <c r="H64" i="4" s="1"/>
  <c r="D62" i="3"/>
  <c r="M62" i="3" s="1"/>
  <c r="D64" i="4" s="1"/>
  <c r="J3" i="3"/>
  <c r="S3" i="3" s="1"/>
  <c r="J5" i="4" s="1"/>
  <c r="F3" i="3"/>
  <c r="O3" i="3" s="1"/>
  <c r="F5" i="4" s="1"/>
  <c r="K4" i="3"/>
  <c r="T4" i="3" s="1"/>
  <c r="K6" i="4" s="1"/>
  <c r="G4" i="3"/>
  <c r="L9" i="3"/>
  <c r="H9" i="3"/>
  <c r="D9" i="3"/>
  <c r="K13" i="3"/>
  <c r="T13" i="3" s="1"/>
  <c r="K15" i="4" s="1"/>
  <c r="G13" i="3"/>
  <c r="P13" i="3" s="1"/>
  <c r="G15" i="4" s="1"/>
  <c r="L12" i="3"/>
  <c r="U12" i="3" s="1"/>
  <c r="L14" i="4" s="1"/>
  <c r="H12" i="3"/>
  <c r="Q12" i="3" s="1"/>
  <c r="H14" i="4" s="1"/>
  <c r="D12" i="3"/>
  <c r="M12" i="3" s="1"/>
  <c r="D14" i="4" s="1"/>
  <c r="K10" i="3"/>
  <c r="G10" i="3"/>
  <c r="I8" i="3"/>
  <c r="E8" i="3"/>
  <c r="L55" i="3"/>
  <c r="U55" i="3" s="1"/>
  <c r="L57" i="4" s="1"/>
  <c r="H55" i="3"/>
  <c r="Q55" i="3" s="1"/>
  <c r="H57" i="4" s="1"/>
  <c r="D55" i="3"/>
  <c r="M55" i="3" s="1"/>
  <c r="D57" i="4" s="1"/>
  <c r="J51" i="3"/>
  <c r="S51" i="3" s="1"/>
  <c r="J53" i="4" s="1"/>
  <c r="F51" i="3"/>
  <c r="O51" i="3" s="1"/>
  <c r="F53" i="4" s="1"/>
  <c r="I49" i="3"/>
  <c r="R49" i="3" s="1"/>
  <c r="I51" i="4" s="1"/>
  <c r="E49" i="3"/>
  <c r="N49" i="3" s="1"/>
  <c r="E51" i="4" s="1"/>
  <c r="I57" i="3"/>
  <c r="R57" i="3" s="1"/>
  <c r="I59" i="4" s="1"/>
  <c r="E57" i="3"/>
  <c r="N57" i="3" s="1"/>
  <c r="E59" i="4" s="1"/>
  <c r="K56" i="3"/>
  <c r="T56" i="3" s="1"/>
  <c r="K58" i="4" s="1"/>
  <c r="G56" i="3"/>
  <c r="P56" i="3" s="1"/>
  <c r="G58" i="4" s="1"/>
  <c r="L54" i="3"/>
  <c r="U54" i="3" s="1"/>
  <c r="L56" i="4" s="1"/>
  <c r="H54" i="3"/>
  <c r="Q54" i="3" s="1"/>
  <c r="H56" i="4" s="1"/>
  <c r="D54" i="3"/>
  <c r="M54" i="3" s="1"/>
  <c r="D56" i="4" s="1"/>
  <c r="L52" i="3"/>
  <c r="U52" i="3" s="1"/>
  <c r="L54" i="4" s="1"/>
  <c r="H52" i="3"/>
  <c r="Q52" i="3" s="1"/>
  <c r="H54" i="4" s="1"/>
  <c r="D52" i="3"/>
  <c r="M52" i="3" s="1"/>
  <c r="D54" i="4" s="1"/>
  <c r="J50" i="3"/>
  <c r="S50" i="3" s="1"/>
  <c r="J52" i="4" s="1"/>
  <c r="F50" i="3"/>
  <c r="O50" i="3" s="1"/>
  <c r="F52" i="4" s="1"/>
  <c r="J53" i="3"/>
  <c r="S53" i="3" s="1"/>
  <c r="J55" i="4" s="1"/>
  <c r="F53" i="3"/>
  <c r="O53" i="3" s="1"/>
  <c r="F55" i="4" s="1"/>
  <c r="I68" i="3"/>
  <c r="R68" i="3" s="1"/>
  <c r="I70" i="4" s="1"/>
  <c r="E68" i="3"/>
  <c r="N68" i="3" s="1"/>
  <c r="E70" i="4" s="1"/>
  <c r="L65" i="3"/>
  <c r="U65" i="3" s="1"/>
  <c r="L67" i="4" s="1"/>
  <c r="H65" i="3"/>
  <c r="Q65" i="3" s="1"/>
  <c r="H67" i="4" s="1"/>
  <c r="D65" i="3"/>
  <c r="M65" i="3" s="1"/>
  <c r="D67" i="4" s="1"/>
  <c r="L66" i="3"/>
  <c r="U66" i="3" s="1"/>
  <c r="L68" i="4" s="1"/>
  <c r="H66" i="3"/>
  <c r="Q66" i="3" s="1"/>
  <c r="H68" i="4" s="1"/>
  <c r="D66" i="3"/>
  <c r="M66" i="3" s="1"/>
  <c r="D68" i="4" s="1"/>
  <c r="K67" i="3"/>
  <c r="T67" i="3" s="1"/>
  <c r="K69" i="4" s="1"/>
  <c r="G67" i="3"/>
  <c r="P67" i="3" s="1"/>
  <c r="G69" i="4" s="1"/>
  <c r="I64" i="3"/>
  <c r="R64" i="3" s="1"/>
  <c r="I66" i="4" s="1"/>
  <c r="E64" i="3"/>
  <c r="N64" i="3" s="1"/>
  <c r="E66" i="4" s="1"/>
  <c r="K63" i="3"/>
  <c r="T63" i="3" s="1"/>
  <c r="K65" i="4" s="1"/>
  <c r="G63" i="3"/>
  <c r="P63" i="3" s="1"/>
  <c r="G65" i="4" s="1"/>
  <c r="L61" i="3"/>
  <c r="U61" i="3" s="1"/>
  <c r="L63" i="4" s="1"/>
  <c r="H61" i="3"/>
  <c r="Q61" i="3" s="1"/>
  <c r="H63" i="4" s="1"/>
  <c r="D61" i="3"/>
  <c r="M61" i="3" s="1"/>
  <c r="D63" i="4" s="1"/>
  <c r="J60" i="3"/>
  <c r="S60" i="3" s="1"/>
  <c r="J62" i="4" s="1"/>
  <c r="F60" i="3"/>
  <c r="O60" i="3" s="1"/>
  <c r="F62" i="4" s="1"/>
  <c r="L59" i="3"/>
  <c r="U59" i="3" s="1"/>
  <c r="L61" i="4" s="1"/>
  <c r="H59" i="3"/>
  <c r="Q59" i="3" s="1"/>
  <c r="H61" i="4" s="1"/>
  <c r="D59" i="3"/>
  <c r="M59" i="3" s="1"/>
  <c r="D61" i="4" s="1"/>
  <c r="J58" i="3"/>
  <c r="S58" i="3" s="1"/>
  <c r="J60" i="4" s="1"/>
  <c r="F58" i="3"/>
  <c r="O58" i="3" s="1"/>
  <c r="F60" i="4" s="1"/>
  <c r="K62" i="3"/>
  <c r="T62" i="3" s="1"/>
  <c r="K64" i="4" s="1"/>
  <c r="G62" i="3"/>
  <c r="P62" i="3" s="1"/>
  <c r="G64" i="4" s="1"/>
  <c r="I3" i="3"/>
  <c r="R3" i="3" s="1"/>
  <c r="I5" i="4" s="1"/>
  <c r="E3" i="3"/>
  <c r="N3" i="3" s="1"/>
  <c r="E5" i="4" s="1"/>
  <c r="J4" i="3"/>
  <c r="S4" i="3" s="1"/>
  <c r="J6" i="4" s="1"/>
  <c r="F4" i="3"/>
  <c r="K9" i="3"/>
  <c r="G9" i="3"/>
  <c r="J13" i="3"/>
  <c r="S13" i="3" s="1"/>
  <c r="J15" i="4" s="1"/>
  <c r="K55" i="3"/>
  <c r="T55" i="3" s="1"/>
  <c r="K57" i="4" s="1"/>
  <c r="G55" i="3"/>
  <c r="P55" i="3" s="1"/>
  <c r="G57" i="4" s="1"/>
  <c r="I51" i="3"/>
  <c r="R51" i="3" s="1"/>
  <c r="I53" i="4" s="1"/>
  <c r="E51" i="3"/>
  <c r="N51" i="3" s="1"/>
  <c r="E53" i="4" s="1"/>
  <c r="L49" i="3"/>
  <c r="U49" i="3" s="1"/>
  <c r="L51" i="4" s="1"/>
  <c r="H49" i="3"/>
  <c r="Q49" i="3" s="1"/>
  <c r="H51" i="4" s="1"/>
  <c r="D49" i="3"/>
  <c r="M49" i="3" s="1"/>
  <c r="D51" i="4" s="1"/>
  <c r="L57" i="3"/>
  <c r="U57" i="3" s="1"/>
  <c r="L59" i="4" s="1"/>
  <c r="H57" i="3"/>
  <c r="Q57" i="3" s="1"/>
  <c r="H59" i="4" s="1"/>
  <c r="D57" i="3"/>
  <c r="M57" i="3" s="1"/>
  <c r="D59" i="4" s="1"/>
  <c r="K20" i="5" s="1"/>
  <c r="J56" i="3"/>
  <c r="S56" i="3" s="1"/>
  <c r="J58" i="4" s="1"/>
  <c r="F56" i="3"/>
  <c r="O56" i="3" s="1"/>
  <c r="F58" i="4" s="1"/>
  <c r="K54" i="3"/>
  <c r="T54" i="3" s="1"/>
  <c r="K56" i="4" s="1"/>
  <c r="G54" i="3"/>
  <c r="P54" i="3" s="1"/>
  <c r="G56" i="4" s="1"/>
  <c r="K52" i="3"/>
  <c r="T52" i="3" s="1"/>
  <c r="K54" i="4" s="1"/>
  <c r="G52" i="3"/>
  <c r="P52" i="3" s="1"/>
  <c r="G54" i="4" s="1"/>
  <c r="I50" i="3"/>
  <c r="R50" i="3" s="1"/>
  <c r="I52" i="4" s="1"/>
  <c r="E50" i="3"/>
  <c r="N50" i="3" s="1"/>
  <c r="E52" i="4" s="1"/>
  <c r="I53" i="3"/>
  <c r="R53" i="3" s="1"/>
  <c r="I55" i="4" s="1"/>
  <c r="E53" i="3"/>
  <c r="N53" i="3" s="1"/>
  <c r="E55" i="4" s="1"/>
  <c r="L68" i="3"/>
  <c r="U68" i="3" s="1"/>
  <c r="L70" i="4" s="1"/>
  <c r="H68" i="3"/>
  <c r="Q68" i="3" s="1"/>
  <c r="H70" i="4" s="1"/>
  <c r="D68" i="3"/>
  <c r="M68" i="3" s="1"/>
  <c r="D70" i="4" s="1"/>
  <c r="K65" i="3"/>
  <c r="T65" i="3" s="1"/>
  <c r="K67" i="4" s="1"/>
  <c r="G65" i="3"/>
  <c r="P65" i="3" s="1"/>
  <c r="G67" i="4" s="1"/>
  <c r="K66" i="3"/>
  <c r="T66" i="3" s="1"/>
  <c r="K68" i="4" s="1"/>
  <c r="G66" i="3"/>
  <c r="P66" i="3" s="1"/>
  <c r="G68" i="4" s="1"/>
  <c r="J67" i="3"/>
  <c r="S67" i="3" s="1"/>
  <c r="J69" i="4" s="1"/>
  <c r="F67" i="3"/>
  <c r="O67" i="3" s="1"/>
  <c r="F69" i="4" s="1"/>
  <c r="L64" i="3"/>
  <c r="U64" i="3" s="1"/>
  <c r="L66" i="4" s="1"/>
  <c r="H64" i="3"/>
  <c r="Q64" i="3" s="1"/>
  <c r="H66" i="4" s="1"/>
  <c r="D64" i="3"/>
  <c r="M64" i="3" s="1"/>
  <c r="D66" i="4" s="1"/>
  <c r="J63" i="3"/>
  <c r="S63" i="3" s="1"/>
  <c r="J65" i="4" s="1"/>
  <c r="F63" i="3"/>
  <c r="O63" i="3" s="1"/>
  <c r="F65" i="4" s="1"/>
  <c r="K61" i="3"/>
  <c r="T61" i="3" s="1"/>
  <c r="K63" i="4" s="1"/>
  <c r="G61" i="3"/>
  <c r="P61" i="3" s="1"/>
  <c r="G63" i="4" s="1"/>
  <c r="I60" i="3"/>
  <c r="R60" i="3" s="1"/>
  <c r="I62" i="4" s="1"/>
  <c r="E60" i="3"/>
  <c r="N60" i="3" s="1"/>
  <c r="E62" i="4" s="1"/>
  <c r="K59" i="3"/>
  <c r="T59" i="3" s="1"/>
  <c r="K61" i="4" s="1"/>
  <c r="G59" i="3"/>
  <c r="P59" i="3" s="1"/>
  <c r="G61" i="4" s="1"/>
  <c r="I58" i="3"/>
  <c r="R58" i="3" s="1"/>
  <c r="I60" i="4" s="1"/>
  <c r="E58" i="3"/>
  <c r="N58" i="3" s="1"/>
  <c r="E60" i="4" s="1"/>
  <c r="J62" i="3"/>
  <c r="S62" i="3" s="1"/>
  <c r="J64" i="4" s="1"/>
  <c r="F62" i="3"/>
  <c r="O62" i="3" s="1"/>
  <c r="F64" i="4" s="1"/>
  <c r="L3" i="3"/>
  <c r="U3" i="3" s="1"/>
  <c r="L5" i="4" s="1"/>
  <c r="H3" i="3"/>
  <c r="Q3" i="3" s="1"/>
  <c r="H5" i="4" s="1"/>
  <c r="D3" i="3"/>
  <c r="M3" i="3" s="1"/>
  <c r="D5" i="4" s="1"/>
  <c r="I4" i="3"/>
  <c r="E4" i="3"/>
  <c r="J9" i="3"/>
  <c r="S9" i="3" s="1"/>
  <c r="J11" i="4" s="1"/>
  <c r="F9" i="3"/>
  <c r="O9" i="3" s="1"/>
  <c r="F11" i="4" s="1"/>
  <c r="I13" i="3"/>
  <c r="R13" i="3" s="1"/>
  <c r="I15" i="4" s="1"/>
  <c r="E13" i="3"/>
  <c r="N13" i="3" s="1"/>
  <c r="E15" i="4" s="1"/>
  <c r="J12" i="3"/>
  <c r="S12" i="3" s="1"/>
  <c r="J14" i="4" s="1"/>
  <c r="J55" i="3"/>
  <c r="S55" i="3" s="1"/>
  <c r="J57" i="4" s="1"/>
  <c r="F55" i="3"/>
  <c r="O55" i="3" s="1"/>
  <c r="F57" i="4" s="1"/>
  <c r="L51" i="3"/>
  <c r="U51" i="3" s="1"/>
  <c r="L53" i="4" s="1"/>
  <c r="H51" i="3"/>
  <c r="Q51" i="3" s="1"/>
  <c r="H53" i="4" s="1"/>
  <c r="D51" i="3"/>
  <c r="M51" i="3" s="1"/>
  <c r="D53" i="4" s="1"/>
  <c r="K49" i="3"/>
  <c r="T49" i="3" s="1"/>
  <c r="K51" i="4" s="1"/>
  <c r="G49" i="3"/>
  <c r="P49" i="3" s="1"/>
  <c r="G51" i="4" s="1"/>
  <c r="K57" i="3"/>
  <c r="T57" i="3" s="1"/>
  <c r="K59" i="4" s="1"/>
  <c r="G57" i="3"/>
  <c r="P57" i="3" s="1"/>
  <c r="G59" i="4" s="1"/>
  <c r="I56" i="3"/>
  <c r="R56" i="3" s="1"/>
  <c r="I58" i="4" s="1"/>
  <c r="E56" i="3"/>
  <c r="N56" i="3" s="1"/>
  <c r="E58" i="4" s="1"/>
  <c r="J54" i="3"/>
  <c r="S54" i="3" s="1"/>
  <c r="J56" i="4" s="1"/>
  <c r="F54" i="3"/>
  <c r="O54" i="3" s="1"/>
  <c r="F56" i="4" s="1"/>
  <c r="J52" i="3"/>
  <c r="S52" i="3" s="1"/>
  <c r="J54" i="4" s="1"/>
  <c r="F52" i="3"/>
  <c r="O52" i="3" s="1"/>
  <c r="F54" i="4" s="1"/>
  <c r="L50" i="3"/>
  <c r="U50" i="3" s="1"/>
  <c r="L52" i="4" s="1"/>
  <c r="H50" i="3"/>
  <c r="Q50" i="3" s="1"/>
  <c r="H52" i="4" s="1"/>
  <c r="D50" i="3"/>
  <c r="M50" i="3" s="1"/>
  <c r="D52" i="4" s="1"/>
  <c r="K13" i="5" s="1"/>
  <c r="L53" i="3"/>
  <c r="U53" i="3" s="1"/>
  <c r="L55" i="4" s="1"/>
  <c r="H53" i="3"/>
  <c r="Q53" i="3" s="1"/>
  <c r="H55" i="4" s="1"/>
  <c r="D53" i="3"/>
  <c r="M53" i="3" s="1"/>
  <c r="D55" i="4" s="1"/>
  <c r="K68" i="3"/>
  <c r="T68" i="3" s="1"/>
  <c r="K70" i="4" s="1"/>
  <c r="G68" i="3"/>
  <c r="P68" i="3" s="1"/>
  <c r="G70" i="4" s="1"/>
  <c r="J65" i="3"/>
  <c r="S65" i="3" s="1"/>
  <c r="J67" i="4" s="1"/>
  <c r="F65" i="3"/>
  <c r="O65" i="3" s="1"/>
  <c r="F67" i="4" s="1"/>
  <c r="J66" i="3"/>
  <c r="S66" i="3" s="1"/>
  <c r="J68" i="4" s="1"/>
  <c r="F66" i="3"/>
  <c r="O66" i="3" s="1"/>
  <c r="F68" i="4" s="1"/>
  <c r="K29" i="5" s="1"/>
  <c r="I67" i="3"/>
  <c r="R67" i="3" s="1"/>
  <c r="I69" i="4" s="1"/>
  <c r="E67" i="3"/>
  <c r="N67" i="3" s="1"/>
  <c r="E69" i="4" s="1"/>
  <c r="K64" i="3"/>
  <c r="T64" i="3" s="1"/>
  <c r="K66" i="4" s="1"/>
  <c r="G64" i="3"/>
  <c r="P64" i="3" s="1"/>
  <c r="G66" i="4" s="1"/>
  <c r="I63" i="3"/>
  <c r="R63" i="3" s="1"/>
  <c r="I65" i="4" s="1"/>
  <c r="E63" i="3"/>
  <c r="N63" i="3" s="1"/>
  <c r="E65" i="4" s="1"/>
  <c r="J61" i="3"/>
  <c r="S61" i="3" s="1"/>
  <c r="J63" i="4" s="1"/>
  <c r="F61" i="3"/>
  <c r="O61" i="3" s="1"/>
  <c r="F63" i="4" s="1"/>
  <c r="L60" i="3"/>
  <c r="U60" i="3" s="1"/>
  <c r="L62" i="4" s="1"/>
  <c r="H60" i="3"/>
  <c r="Q60" i="3" s="1"/>
  <c r="H62" i="4" s="1"/>
  <c r="D60" i="3"/>
  <c r="M60" i="3" s="1"/>
  <c r="D62" i="4" s="1"/>
  <c r="K23" i="5" s="1"/>
  <c r="J59" i="3"/>
  <c r="S59" i="3" s="1"/>
  <c r="J61" i="4" s="1"/>
  <c r="F59" i="3"/>
  <c r="O59" i="3" s="1"/>
  <c r="F61" i="4" s="1"/>
  <c r="L58" i="3"/>
  <c r="U58" i="3" s="1"/>
  <c r="L60" i="4" s="1"/>
  <c r="H58" i="3"/>
  <c r="Q58" i="3" s="1"/>
  <c r="H60" i="4" s="1"/>
  <c r="D58" i="3"/>
  <c r="M58" i="3" s="1"/>
  <c r="D60" i="4" s="1"/>
  <c r="K21" i="5" s="1"/>
  <c r="I62" i="3"/>
  <c r="R62" i="3" s="1"/>
  <c r="I64" i="4" s="1"/>
  <c r="E62" i="3"/>
  <c r="N62" i="3" s="1"/>
  <c r="E64" i="4" s="1"/>
  <c r="K3" i="3"/>
  <c r="T3" i="3" s="1"/>
  <c r="K5" i="4" s="1"/>
  <c r="G3" i="3"/>
  <c r="P3" i="3" s="1"/>
  <c r="G5" i="4" s="1"/>
  <c r="F5" i="5" s="1"/>
  <c r="L4" i="3"/>
  <c r="H4" i="3"/>
  <c r="D4" i="3"/>
  <c r="I9" i="3"/>
  <c r="R9" i="3" s="1"/>
  <c r="I11" i="4" s="1"/>
  <c r="E9" i="3"/>
  <c r="N9" i="3" s="1"/>
  <c r="E11" i="4" s="1"/>
  <c r="L13" i="3"/>
  <c r="U13" i="3" s="1"/>
  <c r="L15" i="4" s="1"/>
  <c r="J7" i="3"/>
  <c r="F7" i="3"/>
  <c r="K6" i="3"/>
  <c r="G6" i="3"/>
  <c r="L5" i="3"/>
  <c r="H5" i="3"/>
  <c r="D5" i="3"/>
  <c r="J11" i="3"/>
  <c r="S11" i="3" s="1"/>
  <c r="J13" i="4" s="1"/>
  <c r="F11" i="3"/>
  <c r="J48" i="3"/>
  <c r="S48" i="3" s="1"/>
  <c r="J50" i="4" s="1"/>
  <c r="F48" i="3"/>
  <c r="O48" i="3" s="1"/>
  <c r="F50" i="4" s="1"/>
  <c r="I47" i="3"/>
  <c r="R47" i="3" s="1"/>
  <c r="I49" i="4" s="1"/>
  <c r="E47" i="3"/>
  <c r="N47" i="3" s="1"/>
  <c r="E49" i="4" s="1"/>
  <c r="J46" i="3"/>
  <c r="S46" i="3" s="1"/>
  <c r="J48" i="4" s="1"/>
  <c r="F46" i="3"/>
  <c r="O46" i="3" s="1"/>
  <c r="F48" i="4" s="1"/>
  <c r="J44" i="3"/>
  <c r="S44" i="3" s="1"/>
  <c r="J46" i="4" s="1"/>
  <c r="F44" i="3"/>
  <c r="O44" i="3" s="1"/>
  <c r="F46" i="4" s="1"/>
  <c r="I42" i="3"/>
  <c r="R42" i="3" s="1"/>
  <c r="I44" i="4" s="1"/>
  <c r="E42" i="3"/>
  <c r="N42" i="3" s="1"/>
  <c r="E44" i="4" s="1"/>
  <c r="I43" i="3"/>
  <c r="R43" i="3" s="1"/>
  <c r="I45" i="4" s="1"/>
  <c r="E43" i="3"/>
  <c r="N43" i="3" s="1"/>
  <c r="E45" i="4" s="1"/>
  <c r="J45" i="3"/>
  <c r="S45" i="3" s="1"/>
  <c r="J47" i="4" s="1"/>
  <c r="F45" i="3"/>
  <c r="O45" i="3" s="1"/>
  <c r="F47" i="4" s="1"/>
  <c r="K34" i="3"/>
  <c r="T34" i="3" s="1"/>
  <c r="K36" i="4" s="1"/>
  <c r="G34" i="3"/>
  <c r="P34" i="3" s="1"/>
  <c r="G36" i="4" s="1"/>
  <c r="I36" i="3"/>
  <c r="R36" i="3" s="1"/>
  <c r="I38" i="4" s="1"/>
  <c r="E36" i="3"/>
  <c r="N36" i="3" s="1"/>
  <c r="E38" i="4" s="1"/>
  <c r="I32" i="3"/>
  <c r="R32" i="3" s="1"/>
  <c r="I34" i="4" s="1"/>
  <c r="E32" i="3"/>
  <c r="N32" i="3" s="1"/>
  <c r="E34" i="4" s="1"/>
  <c r="J40" i="3"/>
  <c r="S40" i="3" s="1"/>
  <c r="J42" i="4" s="1"/>
  <c r="F40" i="3"/>
  <c r="O40" i="3" s="1"/>
  <c r="F42" i="4" s="1"/>
  <c r="K41" i="3"/>
  <c r="T41" i="3" s="1"/>
  <c r="K43" i="4" s="1"/>
  <c r="G41" i="3"/>
  <c r="P41" i="3" s="1"/>
  <c r="G43" i="4" s="1"/>
  <c r="I38" i="3"/>
  <c r="R38" i="3" s="1"/>
  <c r="I40" i="4" s="1"/>
  <c r="E38" i="3"/>
  <c r="N38" i="3" s="1"/>
  <c r="E40" i="4" s="1"/>
  <c r="I37" i="3"/>
  <c r="R37" i="3" s="1"/>
  <c r="I39" i="4" s="1"/>
  <c r="E37" i="3"/>
  <c r="N37" i="3" s="1"/>
  <c r="E39" i="4" s="1"/>
  <c r="J35" i="3"/>
  <c r="S35" i="3" s="1"/>
  <c r="J37" i="4" s="1"/>
  <c r="F35" i="3"/>
  <c r="O35" i="3" s="1"/>
  <c r="F37" i="4" s="1"/>
  <c r="I33" i="3"/>
  <c r="R33" i="3" s="1"/>
  <c r="I35" i="4" s="1"/>
  <c r="E33" i="3"/>
  <c r="N33" i="3" s="1"/>
  <c r="E35" i="4" s="1"/>
  <c r="I39" i="3"/>
  <c r="R39" i="3" s="1"/>
  <c r="I41" i="4" s="1"/>
  <c r="E39" i="3"/>
  <c r="N39" i="3" s="1"/>
  <c r="E41" i="4" s="1"/>
  <c r="L26" i="3"/>
  <c r="U26" i="3" s="1"/>
  <c r="L28" i="4" s="1"/>
  <c r="H26" i="3"/>
  <c r="Q26" i="3" s="1"/>
  <c r="H28" i="4" s="1"/>
  <c r="D26" i="3"/>
  <c r="M26" i="3" s="1"/>
  <c r="D28" i="4" s="1"/>
  <c r="J25" i="3"/>
  <c r="S25" i="3" s="1"/>
  <c r="J27" i="4" s="1"/>
  <c r="F25" i="3"/>
  <c r="O25" i="3" s="1"/>
  <c r="F27" i="4" s="1"/>
  <c r="L29" i="3"/>
  <c r="U29" i="3" s="1"/>
  <c r="L31" i="4" s="1"/>
  <c r="H29" i="3"/>
  <c r="Q29" i="3" s="1"/>
  <c r="H31" i="4" s="1"/>
  <c r="D29" i="3"/>
  <c r="M29" i="3" s="1"/>
  <c r="D31" i="4" s="1"/>
  <c r="K27" i="3"/>
  <c r="T27" i="3" s="1"/>
  <c r="K29" i="4" s="1"/>
  <c r="G27" i="3"/>
  <c r="P27" i="3" s="1"/>
  <c r="G29" i="4" s="1"/>
  <c r="L31" i="3"/>
  <c r="U31" i="3" s="1"/>
  <c r="L33" i="4" s="1"/>
  <c r="H31" i="3"/>
  <c r="Q31" i="3" s="1"/>
  <c r="H33" i="4" s="1"/>
  <c r="D31" i="3"/>
  <c r="M31" i="3" s="1"/>
  <c r="D33" i="4" s="1"/>
  <c r="J24" i="3"/>
  <c r="S24" i="3" s="1"/>
  <c r="J26" i="4" s="1"/>
  <c r="F24" i="3"/>
  <c r="O24" i="3" s="1"/>
  <c r="F26" i="4" s="1"/>
  <c r="L28" i="3"/>
  <c r="U28" i="3" s="1"/>
  <c r="L30" i="4" s="1"/>
  <c r="H28" i="3"/>
  <c r="Q28" i="3" s="1"/>
  <c r="H30" i="4" s="1"/>
  <c r="D28" i="3"/>
  <c r="M28" i="3" s="1"/>
  <c r="D30" i="4" s="1"/>
  <c r="L30" i="3"/>
  <c r="U30" i="3" s="1"/>
  <c r="L32" i="4" s="1"/>
  <c r="H30" i="3"/>
  <c r="Q30" i="3" s="1"/>
  <c r="H32" i="4" s="1"/>
  <c r="D30" i="3"/>
  <c r="M30" i="3" s="1"/>
  <c r="D32" i="4" s="1"/>
  <c r="K14" i="3"/>
  <c r="T14" i="3" s="1"/>
  <c r="K16" i="4" s="1"/>
  <c r="G14" i="3"/>
  <c r="P14" i="3" s="1"/>
  <c r="G16" i="4" s="1"/>
  <c r="I15" i="3"/>
  <c r="R15" i="3" s="1"/>
  <c r="I17" i="4" s="1"/>
  <c r="E15" i="3"/>
  <c r="N15" i="3" s="1"/>
  <c r="E17" i="4" s="1"/>
  <c r="L22" i="3"/>
  <c r="U22" i="3" s="1"/>
  <c r="L24" i="4" s="1"/>
  <c r="H22" i="3"/>
  <c r="Q22" i="3" s="1"/>
  <c r="H24" i="4" s="1"/>
  <c r="D22" i="3"/>
  <c r="M22" i="3" s="1"/>
  <c r="D24" i="4" s="1"/>
  <c r="J21" i="3"/>
  <c r="S21" i="3" s="1"/>
  <c r="J23" i="4" s="1"/>
  <c r="F21" i="3"/>
  <c r="O21" i="3" s="1"/>
  <c r="F23" i="4" s="1"/>
  <c r="I18" i="3"/>
  <c r="R18" i="3" s="1"/>
  <c r="I20" i="4" s="1"/>
  <c r="E18" i="3"/>
  <c r="N18" i="3" s="1"/>
  <c r="E20" i="4" s="1"/>
  <c r="L19" i="3"/>
  <c r="U19" i="3" s="1"/>
  <c r="L21" i="4" s="1"/>
  <c r="H19" i="3"/>
  <c r="Q19" i="3" s="1"/>
  <c r="H21" i="4" s="1"/>
  <c r="D19" i="3"/>
  <c r="M19" i="3" s="1"/>
  <c r="D21" i="4" s="1"/>
  <c r="I16" i="3"/>
  <c r="R16" i="3" s="1"/>
  <c r="I18" i="4" s="1"/>
  <c r="E16" i="3"/>
  <c r="N16" i="3" s="1"/>
  <c r="E18" i="4" s="1"/>
  <c r="L23" i="3"/>
  <c r="U23" i="3" s="1"/>
  <c r="L25" i="4" s="1"/>
  <c r="H23" i="3"/>
  <c r="Q23" i="3" s="1"/>
  <c r="H25" i="4" s="1"/>
  <c r="D23" i="3"/>
  <c r="M23" i="3" s="1"/>
  <c r="D25" i="4" s="1"/>
  <c r="I17" i="3"/>
  <c r="R17" i="3" s="1"/>
  <c r="I19" i="4" s="1"/>
  <c r="E17" i="3"/>
  <c r="N17" i="3" s="1"/>
  <c r="E19" i="4" s="1"/>
  <c r="F13" i="3"/>
  <c r="O13" i="3" s="1"/>
  <c r="F15" i="4" s="1"/>
  <c r="K12" i="3"/>
  <c r="T12" i="3" s="1"/>
  <c r="K14" i="4" s="1"/>
  <c r="G12" i="3"/>
  <c r="P12" i="3" s="1"/>
  <c r="G14" i="4" s="1"/>
  <c r="J10" i="3"/>
  <c r="F10" i="3"/>
  <c r="L8" i="3"/>
  <c r="H8" i="3"/>
  <c r="D8" i="3"/>
  <c r="I7" i="3"/>
  <c r="E7" i="3"/>
  <c r="J6" i="3"/>
  <c r="F6" i="3"/>
  <c r="K5" i="3"/>
  <c r="G5" i="3"/>
  <c r="I11" i="3"/>
  <c r="R11" i="3" s="1"/>
  <c r="I13" i="4" s="1"/>
  <c r="E11" i="3"/>
  <c r="I48" i="3"/>
  <c r="R48" i="3" s="1"/>
  <c r="I50" i="4" s="1"/>
  <c r="E48" i="3"/>
  <c r="N48" i="3" s="1"/>
  <c r="E50" i="4" s="1"/>
  <c r="L47" i="3"/>
  <c r="U47" i="3" s="1"/>
  <c r="L49" i="4" s="1"/>
  <c r="H47" i="3"/>
  <c r="Q47" i="3" s="1"/>
  <c r="H49" i="4" s="1"/>
  <c r="D47" i="3"/>
  <c r="M47" i="3" s="1"/>
  <c r="D49" i="4" s="1"/>
  <c r="I46" i="3"/>
  <c r="R46" i="3" s="1"/>
  <c r="I48" i="4" s="1"/>
  <c r="E46" i="3"/>
  <c r="N46" i="3" s="1"/>
  <c r="E48" i="4" s="1"/>
  <c r="I44" i="3"/>
  <c r="R44" i="3" s="1"/>
  <c r="I46" i="4" s="1"/>
  <c r="E44" i="3"/>
  <c r="N44" i="3" s="1"/>
  <c r="E46" i="4" s="1"/>
  <c r="L42" i="3"/>
  <c r="U42" i="3" s="1"/>
  <c r="L44" i="4" s="1"/>
  <c r="H42" i="3"/>
  <c r="Q42" i="3" s="1"/>
  <c r="H44" i="4" s="1"/>
  <c r="D42" i="3"/>
  <c r="M42" i="3" s="1"/>
  <c r="D44" i="4" s="1"/>
  <c r="L43" i="3"/>
  <c r="U43" i="3" s="1"/>
  <c r="L45" i="4" s="1"/>
  <c r="H43" i="3"/>
  <c r="Q43" i="3" s="1"/>
  <c r="H45" i="4" s="1"/>
  <c r="D43" i="3"/>
  <c r="M43" i="3" s="1"/>
  <c r="D45" i="4" s="1"/>
  <c r="I45" i="3"/>
  <c r="R45" i="3" s="1"/>
  <c r="I47" i="4" s="1"/>
  <c r="E45" i="3"/>
  <c r="N45" i="3" s="1"/>
  <c r="E47" i="4" s="1"/>
  <c r="J34" i="3"/>
  <c r="S34" i="3" s="1"/>
  <c r="J36" i="4" s="1"/>
  <c r="F34" i="3"/>
  <c r="O34" i="3" s="1"/>
  <c r="F36" i="4" s="1"/>
  <c r="L36" i="3"/>
  <c r="U36" i="3" s="1"/>
  <c r="L38" i="4" s="1"/>
  <c r="H36" i="3"/>
  <c r="Q36" i="3" s="1"/>
  <c r="H38" i="4" s="1"/>
  <c r="D36" i="3"/>
  <c r="M36" i="3" s="1"/>
  <c r="D38" i="4" s="1"/>
  <c r="L32" i="3"/>
  <c r="U32" i="3" s="1"/>
  <c r="L34" i="4" s="1"/>
  <c r="H32" i="3"/>
  <c r="Q32" i="3" s="1"/>
  <c r="H34" i="4" s="1"/>
  <c r="D32" i="3"/>
  <c r="M32" i="3" s="1"/>
  <c r="D34" i="4" s="1"/>
  <c r="I40" i="3"/>
  <c r="R40" i="3" s="1"/>
  <c r="I42" i="4" s="1"/>
  <c r="E40" i="3"/>
  <c r="N40" i="3" s="1"/>
  <c r="E42" i="4" s="1"/>
  <c r="J41" i="3"/>
  <c r="S41" i="3" s="1"/>
  <c r="J43" i="4" s="1"/>
  <c r="F41" i="3"/>
  <c r="O41" i="3" s="1"/>
  <c r="F43" i="4" s="1"/>
  <c r="L38" i="3"/>
  <c r="U38" i="3" s="1"/>
  <c r="L40" i="4" s="1"/>
  <c r="H38" i="3"/>
  <c r="Q38" i="3" s="1"/>
  <c r="H40" i="4" s="1"/>
  <c r="D38" i="3"/>
  <c r="M38" i="3" s="1"/>
  <c r="D40" i="4" s="1"/>
  <c r="L37" i="3"/>
  <c r="U37" i="3" s="1"/>
  <c r="L39" i="4" s="1"/>
  <c r="H37" i="3"/>
  <c r="Q37" i="3" s="1"/>
  <c r="H39" i="4" s="1"/>
  <c r="D37" i="3"/>
  <c r="M37" i="3" s="1"/>
  <c r="D39" i="4" s="1"/>
  <c r="I35" i="3"/>
  <c r="R35" i="3" s="1"/>
  <c r="I37" i="4" s="1"/>
  <c r="E35" i="3"/>
  <c r="N35" i="3" s="1"/>
  <c r="E37" i="4" s="1"/>
  <c r="L33" i="3"/>
  <c r="U33" i="3" s="1"/>
  <c r="L35" i="4" s="1"/>
  <c r="H33" i="3"/>
  <c r="Q33" i="3" s="1"/>
  <c r="H35" i="4" s="1"/>
  <c r="D33" i="3"/>
  <c r="M33" i="3" s="1"/>
  <c r="D35" i="4" s="1"/>
  <c r="L39" i="3"/>
  <c r="U39" i="3" s="1"/>
  <c r="L41" i="4" s="1"/>
  <c r="H39" i="3"/>
  <c r="Q39" i="3" s="1"/>
  <c r="H41" i="4" s="1"/>
  <c r="D39" i="3"/>
  <c r="M39" i="3" s="1"/>
  <c r="D41" i="4" s="1"/>
  <c r="K26" i="3"/>
  <c r="T26" i="3" s="1"/>
  <c r="K28" i="4" s="1"/>
  <c r="G26" i="3"/>
  <c r="P26" i="3" s="1"/>
  <c r="G28" i="4" s="1"/>
  <c r="I25" i="3"/>
  <c r="R25" i="3" s="1"/>
  <c r="I27" i="4" s="1"/>
  <c r="E25" i="3"/>
  <c r="N25" i="3" s="1"/>
  <c r="E27" i="4" s="1"/>
  <c r="K29" i="3"/>
  <c r="T29" i="3" s="1"/>
  <c r="K31" i="4" s="1"/>
  <c r="G29" i="3"/>
  <c r="P29" i="3" s="1"/>
  <c r="G31" i="4" s="1"/>
  <c r="J27" i="3"/>
  <c r="S27" i="3" s="1"/>
  <c r="J29" i="4" s="1"/>
  <c r="F27" i="3"/>
  <c r="O27" i="3" s="1"/>
  <c r="F29" i="4" s="1"/>
  <c r="K31" i="3"/>
  <c r="T31" i="3" s="1"/>
  <c r="K33" i="4" s="1"/>
  <c r="G31" i="3"/>
  <c r="P31" i="3" s="1"/>
  <c r="G33" i="4" s="1"/>
  <c r="I24" i="3"/>
  <c r="R24" i="3" s="1"/>
  <c r="I26" i="4" s="1"/>
  <c r="E24" i="3"/>
  <c r="N24" i="3" s="1"/>
  <c r="E26" i="4" s="1"/>
  <c r="K28" i="3"/>
  <c r="T28" i="3" s="1"/>
  <c r="K30" i="4" s="1"/>
  <c r="G28" i="3"/>
  <c r="P28" i="3" s="1"/>
  <c r="G30" i="4" s="1"/>
  <c r="K30" i="3"/>
  <c r="T30" i="3" s="1"/>
  <c r="K32" i="4" s="1"/>
  <c r="G30" i="3"/>
  <c r="P30" i="3" s="1"/>
  <c r="G32" i="4" s="1"/>
  <c r="J14" i="3"/>
  <c r="S14" i="3" s="1"/>
  <c r="J16" i="4" s="1"/>
  <c r="F14" i="3"/>
  <c r="O14" i="3" s="1"/>
  <c r="F16" i="4" s="1"/>
  <c r="L15" i="3"/>
  <c r="U15" i="3" s="1"/>
  <c r="L17" i="4" s="1"/>
  <c r="H15" i="3"/>
  <c r="Q15" i="3" s="1"/>
  <c r="H17" i="4" s="1"/>
  <c r="D15" i="3"/>
  <c r="M15" i="3" s="1"/>
  <c r="D17" i="4" s="1"/>
  <c r="F12" i="3"/>
  <c r="O12" i="3" s="1"/>
  <c r="F14" i="4" s="1"/>
  <c r="I10" i="3"/>
  <c r="R10" i="3" s="1"/>
  <c r="I12" i="4" s="1"/>
  <c r="E10" i="3"/>
  <c r="N10" i="3" s="1"/>
  <c r="E12" i="4" s="1"/>
  <c r="K8" i="3"/>
  <c r="T8" i="3" s="1"/>
  <c r="K10" i="4" s="1"/>
  <c r="G8" i="3"/>
  <c r="P8" i="3" s="1"/>
  <c r="G10" i="4" s="1"/>
  <c r="L7" i="3"/>
  <c r="U7" i="3" s="1"/>
  <c r="L9" i="4" s="1"/>
  <c r="H7" i="3"/>
  <c r="Q7" i="3" s="1"/>
  <c r="H9" i="4" s="1"/>
  <c r="D7" i="3"/>
  <c r="M7" i="3" s="1"/>
  <c r="D9" i="4" s="1"/>
  <c r="I6" i="3"/>
  <c r="R6" i="3" s="1"/>
  <c r="I8" i="4" s="1"/>
  <c r="E6" i="3"/>
  <c r="N6" i="3" s="1"/>
  <c r="E8" i="4" s="1"/>
  <c r="J5" i="3"/>
  <c r="S5" i="3" s="1"/>
  <c r="J7" i="4" s="1"/>
  <c r="F5" i="3"/>
  <c r="O5" i="3" s="1"/>
  <c r="F7" i="4" s="1"/>
  <c r="L11" i="3"/>
  <c r="U11" i="3" s="1"/>
  <c r="L13" i="4" s="1"/>
  <c r="H11" i="3"/>
  <c r="Q11" i="3" s="1"/>
  <c r="H13" i="4" s="1"/>
  <c r="D11" i="3"/>
  <c r="M11" i="3" s="1"/>
  <c r="D13" i="4" s="1"/>
  <c r="L48" i="3"/>
  <c r="U48" i="3" s="1"/>
  <c r="L50" i="4" s="1"/>
  <c r="H48" i="3"/>
  <c r="Q48" i="3" s="1"/>
  <c r="H50" i="4" s="1"/>
  <c r="D48" i="3"/>
  <c r="M48" i="3" s="1"/>
  <c r="D50" i="4" s="1"/>
  <c r="K47" i="3"/>
  <c r="T47" i="3" s="1"/>
  <c r="K49" i="4" s="1"/>
  <c r="G47" i="3"/>
  <c r="P47" i="3" s="1"/>
  <c r="G49" i="4" s="1"/>
  <c r="L46" i="3"/>
  <c r="U46" i="3" s="1"/>
  <c r="L48" i="4" s="1"/>
  <c r="H46" i="3"/>
  <c r="Q46" i="3" s="1"/>
  <c r="H48" i="4" s="1"/>
  <c r="D46" i="3"/>
  <c r="M46" i="3" s="1"/>
  <c r="D48" i="4" s="1"/>
  <c r="L44" i="3"/>
  <c r="U44" i="3" s="1"/>
  <c r="L46" i="4" s="1"/>
  <c r="H44" i="3"/>
  <c r="Q44" i="3" s="1"/>
  <c r="H46" i="4" s="1"/>
  <c r="D44" i="3"/>
  <c r="M44" i="3" s="1"/>
  <c r="D46" i="4" s="1"/>
  <c r="K7" i="5" s="1"/>
  <c r="K42" i="3"/>
  <c r="T42" i="3" s="1"/>
  <c r="K44" i="4" s="1"/>
  <c r="G42" i="3"/>
  <c r="P42" i="3" s="1"/>
  <c r="G44" i="4" s="1"/>
  <c r="K43" i="3"/>
  <c r="T43" i="3" s="1"/>
  <c r="K45" i="4" s="1"/>
  <c r="G43" i="3"/>
  <c r="P43" i="3" s="1"/>
  <c r="G45" i="4" s="1"/>
  <c r="L45" i="3"/>
  <c r="U45" i="3" s="1"/>
  <c r="L47" i="4" s="1"/>
  <c r="H45" i="3"/>
  <c r="Q45" i="3" s="1"/>
  <c r="H47" i="4" s="1"/>
  <c r="D45" i="3"/>
  <c r="M45" i="3" s="1"/>
  <c r="D47" i="4" s="1"/>
  <c r="I34" i="3"/>
  <c r="R34" i="3" s="1"/>
  <c r="I36" i="4" s="1"/>
  <c r="E34" i="3"/>
  <c r="N34" i="3" s="1"/>
  <c r="E36" i="4" s="1"/>
  <c r="K36" i="3"/>
  <c r="T36" i="3" s="1"/>
  <c r="K38" i="4" s="1"/>
  <c r="G36" i="3"/>
  <c r="P36" i="3" s="1"/>
  <c r="G38" i="4" s="1"/>
  <c r="K32" i="3"/>
  <c r="T32" i="3" s="1"/>
  <c r="K34" i="4" s="1"/>
  <c r="G32" i="3"/>
  <c r="P32" i="3" s="1"/>
  <c r="G34" i="4" s="1"/>
  <c r="L40" i="3"/>
  <c r="U40" i="3" s="1"/>
  <c r="L42" i="4" s="1"/>
  <c r="H40" i="3"/>
  <c r="Q40" i="3" s="1"/>
  <c r="H42" i="4" s="1"/>
  <c r="D40" i="3"/>
  <c r="M40" i="3" s="1"/>
  <c r="D42" i="4" s="1"/>
  <c r="I41" i="3"/>
  <c r="R41" i="3" s="1"/>
  <c r="I43" i="4" s="1"/>
  <c r="E41" i="3"/>
  <c r="N41" i="3" s="1"/>
  <c r="E43" i="4" s="1"/>
  <c r="K38" i="3"/>
  <c r="T38" i="3" s="1"/>
  <c r="K40" i="4" s="1"/>
  <c r="G38" i="3"/>
  <c r="P38" i="3" s="1"/>
  <c r="G40" i="4" s="1"/>
  <c r="K37" i="3"/>
  <c r="T37" i="3" s="1"/>
  <c r="K39" i="4" s="1"/>
  <c r="G37" i="3"/>
  <c r="P37" i="3" s="1"/>
  <c r="G39" i="4" s="1"/>
  <c r="L35" i="3"/>
  <c r="U35" i="3" s="1"/>
  <c r="L37" i="4" s="1"/>
  <c r="H35" i="3"/>
  <c r="Q35" i="3" s="1"/>
  <c r="H37" i="4" s="1"/>
  <c r="D35" i="3"/>
  <c r="M35" i="3" s="1"/>
  <c r="D37" i="4" s="1"/>
  <c r="K33" i="3"/>
  <c r="T33" i="3" s="1"/>
  <c r="K35" i="4" s="1"/>
  <c r="G33" i="3"/>
  <c r="P33" i="3" s="1"/>
  <c r="G35" i="4" s="1"/>
  <c r="K39" i="3"/>
  <c r="T39" i="3" s="1"/>
  <c r="K41" i="4" s="1"/>
  <c r="G39" i="3"/>
  <c r="P39" i="3" s="1"/>
  <c r="G41" i="4" s="1"/>
  <c r="J26" i="3"/>
  <c r="S26" i="3" s="1"/>
  <c r="J28" i="4" s="1"/>
  <c r="F26" i="3"/>
  <c r="O26" i="3" s="1"/>
  <c r="F28" i="4" s="1"/>
  <c r="L25" i="3"/>
  <c r="U25" i="3" s="1"/>
  <c r="L27" i="4" s="1"/>
  <c r="H25" i="3"/>
  <c r="Q25" i="3" s="1"/>
  <c r="H27" i="4" s="1"/>
  <c r="D25" i="3"/>
  <c r="M25" i="3" s="1"/>
  <c r="D27" i="4" s="1"/>
  <c r="J29" i="3"/>
  <c r="S29" i="3" s="1"/>
  <c r="J31" i="4" s="1"/>
  <c r="F29" i="3"/>
  <c r="O29" i="3" s="1"/>
  <c r="F31" i="4" s="1"/>
  <c r="I27" i="3"/>
  <c r="R27" i="3" s="1"/>
  <c r="I29" i="4" s="1"/>
  <c r="E27" i="3"/>
  <c r="N27" i="3" s="1"/>
  <c r="E29" i="4" s="1"/>
  <c r="J31" i="3"/>
  <c r="S31" i="3" s="1"/>
  <c r="J33" i="4" s="1"/>
  <c r="F31" i="3"/>
  <c r="O31" i="3" s="1"/>
  <c r="F33" i="4" s="1"/>
  <c r="L24" i="3"/>
  <c r="U24" i="3" s="1"/>
  <c r="L26" i="4" s="1"/>
  <c r="H24" i="3"/>
  <c r="Q24" i="3" s="1"/>
  <c r="H26" i="4" s="1"/>
  <c r="D24" i="3"/>
  <c r="M24" i="3" s="1"/>
  <c r="D26" i="4" s="1"/>
  <c r="J28" i="3"/>
  <c r="S28" i="3" s="1"/>
  <c r="J30" i="4" s="1"/>
  <c r="F28" i="3"/>
  <c r="O28" i="3" s="1"/>
  <c r="F30" i="4" s="1"/>
  <c r="J30" i="3"/>
  <c r="S30" i="3" s="1"/>
  <c r="J32" i="4" s="1"/>
  <c r="F30" i="3"/>
  <c r="O30" i="3" s="1"/>
  <c r="F32" i="4" s="1"/>
  <c r="I14" i="3"/>
  <c r="R14" i="3" s="1"/>
  <c r="I16" i="4" s="1"/>
  <c r="E14" i="3"/>
  <c r="N14" i="3" s="1"/>
  <c r="E16" i="4" s="1"/>
  <c r="K15" i="3"/>
  <c r="T15" i="3" s="1"/>
  <c r="K17" i="4" s="1"/>
  <c r="G15" i="3"/>
  <c r="P15" i="3" s="1"/>
  <c r="G17" i="4" s="1"/>
  <c r="H13" i="3"/>
  <c r="Q13" i="3" s="1"/>
  <c r="H15" i="4" s="1"/>
  <c r="D13" i="3"/>
  <c r="M13" i="3" s="1"/>
  <c r="D15" i="4" s="1"/>
  <c r="I12" i="3"/>
  <c r="R12" i="3" s="1"/>
  <c r="I14" i="4" s="1"/>
  <c r="E12" i="3"/>
  <c r="N12" i="3" s="1"/>
  <c r="E14" i="4" s="1"/>
  <c r="L10" i="3"/>
  <c r="U10" i="3" s="1"/>
  <c r="L12" i="4" s="1"/>
  <c r="H10" i="3"/>
  <c r="Q10" i="3" s="1"/>
  <c r="H12" i="4" s="1"/>
  <c r="D10" i="3"/>
  <c r="M10" i="3" s="1"/>
  <c r="D12" i="4" s="1"/>
  <c r="J8" i="3"/>
  <c r="S8" i="3" s="1"/>
  <c r="J10" i="4" s="1"/>
  <c r="F8" i="3"/>
  <c r="O8" i="3" s="1"/>
  <c r="F10" i="4" s="1"/>
  <c r="K7" i="3"/>
  <c r="T7" i="3" s="1"/>
  <c r="K9" i="4" s="1"/>
  <c r="G7" i="3"/>
  <c r="P7" i="3" s="1"/>
  <c r="G9" i="4" s="1"/>
  <c r="L6" i="3"/>
  <c r="U6" i="3" s="1"/>
  <c r="L8" i="4" s="1"/>
  <c r="H6" i="3"/>
  <c r="Q6" i="3" s="1"/>
  <c r="H8" i="4" s="1"/>
  <c r="D6" i="3"/>
  <c r="M6" i="3" s="1"/>
  <c r="D8" i="4" s="1"/>
  <c r="I5" i="3"/>
  <c r="R5" i="3" s="1"/>
  <c r="I7" i="4" s="1"/>
  <c r="E5" i="3"/>
  <c r="N5" i="3" s="1"/>
  <c r="E7" i="4" s="1"/>
  <c r="K11" i="3"/>
  <c r="T11" i="3" s="1"/>
  <c r="K13" i="4" s="1"/>
  <c r="G11" i="3"/>
  <c r="P11" i="3" s="1"/>
  <c r="G13" i="4" s="1"/>
  <c r="K48" i="3"/>
  <c r="T48" i="3" s="1"/>
  <c r="K50" i="4" s="1"/>
  <c r="G48" i="3"/>
  <c r="P48" i="3" s="1"/>
  <c r="G50" i="4" s="1"/>
  <c r="J47" i="3"/>
  <c r="S47" i="3" s="1"/>
  <c r="J49" i="4" s="1"/>
  <c r="F47" i="3"/>
  <c r="O47" i="3" s="1"/>
  <c r="F49" i="4" s="1"/>
  <c r="K46" i="3"/>
  <c r="T46" i="3" s="1"/>
  <c r="K48" i="4" s="1"/>
  <c r="G46" i="3"/>
  <c r="P46" i="3" s="1"/>
  <c r="G48" i="4" s="1"/>
  <c r="K44" i="3"/>
  <c r="T44" i="3" s="1"/>
  <c r="K46" i="4" s="1"/>
  <c r="G44" i="3"/>
  <c r="P44" i="3" s="1"/>
  <c r="G46" i="4" s="1"/>
  <c r="J42" i="3"/>
  <c r="S42" i="3" s="1"/>
  <c r="J44" i="4" s="1"/>
  <c r="F42" i="3"/>
  <c r="O42" i="3" s="1"/>
  <c r="F44" i="4" s="1"/>
  <c r="L5" i="5" s="1"/>
  <c r="J43" i="3"/>
  <c r="S43" i="3" s="1"/>
  <c r="J45" i="4" s="1"/>
  <c r="F43" i="3"/>
  <c r="O43" i="3" s="1"/>
  <c r="F45" i="4" s="1"/>
  <c r="K45" i="3"/>
  <c r="T45" i="3" s="1"/>
  <c r="K47" i="4" s="1"/>
  <c r="G45" i="3"/>
  <c r="P45" i="3" s="1"/>
  <c r="G47" i="4" s="1"/>
  <c r="L34" i="3"/>
  <c r="U34" i="3" s="1"/>
  <c r="L36" i="4" s="1"/>
  <c r="H34" i="3"/>
  <c r="Q34" i="3" s="1"/>
  <c r="H36" i="4" s="1"/>
  <c r="D34" i="3"/>
  <c r="M34" i="3" s="1"/>
  <c r="D36" i="4" s="1"/>
  <c r="D36" i="5" s="1"/>
  <c r="J36" i="3"/>
  <c r="S36" i="3" s="1"/>
  <c r="J38" i="4" s="1"/>
  <c r="F36" i="3"/>
  <c r="O36" i="3" s="1"/>
  <c r="F38" i="4" s="1"/>
  <c r="J32" i="3"/>
  <c r="S32" i="3" s="1"/>
  <c r="J34" i="4" s="1"/>
  <c r="F32" i="3"/>
  <c r="O32" i="3" s="1"/>
  <c r="F34" i="4" s="1"/>
  <c r="K40" i="3"/>
  <c r="T40" i="3" s="1"/>
  <c r="K42" i="4" s="1"/>
  <c r="G40" i="3"/>
  <c r="P40" i="3" s="1"/>
  <c r="G42" i="4" s="1"/>
  <c r="L41" i="3"/>
  <c r="U41" i="3" s="1"/>
  <c r="L43" i="4" s="1"/>
  <c r="H41" i="3"/>
  <c r="Q41" i="3" s="1"/>
  <c r="H43" i="4" s="1"/>
  <c r="D41" i="3"/>
  <c r="M41" i="3" s="1"/>
  <c r="D43" i="4" s="1"/>
  <c r="D43" i="5" s="1"/>
  <c r="J38" i="3"/>
  <c r="S38" i="3" s="1"/>
  <c r="J40" i="4" s="1"/>
  <c r="F38" i="3"/>
  <c r="O38" i="3" s="1"/>
  <c r="F40" i="4" s="1"/>
  <c r="J37" i="3"/>
  <c r="S37" i="3" s="1"/>
  <c r="J39" i="4" s="1"/>
  <c r="F37" i="3"/>
  <c r="O37" i="3" s="1"/>
  <c r="F39" i="4" s="1"/>
  <c r="K35" i="3"/>
  <c r="T35" i="3" s="1"/>
  <c r="K37" i="4" s="1"/>
  <c r="G35" i="3"/>
  <c r="P35" i="3" s="1"/>
  <c r="G37" i="4" s="1"/>
  <c r="J33" i="3"/>
  <c r="S33" i="3" s="1"/>
  <c r="J35" i="4" s="1"/>
  <c r="F33" i="3"/>
  <c r="O33" i="3" s="1"/>
  <c r="F35" i="4" s="1"/>
  <c r="D35" i="5" s="1"/>
  <c r="J39" i="3"/>
  <c r="S39" i="3" s="1"/>
  <c r="J41" i="4" s="1"/>
  <c r="F39" i="3"/>
  <c r="O39" i="3" s="1"/>
  <c r="F41" i="4" s="1"/>
  <c r="I26" i="3"/>
  <c r="R26" i="3" s="1"/>
  <c r="I28" i="4" s="1"/>
  <c r="E26" i="3"/>
  <c r="N26" i="3" s="1"/>
  <c r="E28" i="4" s="1"/>
  <c r="K25" i="3"/>
  <c r="T25" i="3" s="1"/>
  <c r="K27" i="4" s="1"/>
  <c r="G25" i="3"/>
  <c r="P25" i="3" s="1"/>
  <c r="G27" i="4" s="1"/>
  <c r="I29" i="3"/>
  <c r="R29" i="3" s="1"/>
  <c r="I31" i="4" s="1"/>
  <c r="E29" i="3"/>
  <c r="N29" i="3" s="1"/>
  <c r="E31" i="4" s="1"/>
  <c r="D31" i="5" s="1"/>
  <c r="L27" i="3"/>
  <c r="U27" i="3" s="1"/>
  <c r="L29" i="4" s="1"/>
  <c r="H27" i="3"/>
  <c r="Q27" i="3" s="1"/>
  <c r="H29" i="4" s="1"/>
  <c r="D27" i="3"/>
  <c r="M27" i="3" s="1"/>
  <c r="D29" i="4" s="1"/>
  <c r="I31" i="3"/>
  <c r="R31" i="3" s="1"/>
  <c r="I33" i="4" s="1"/>
  <c r="E31" i="3"/>
  <c r="N31" i="3" s="1"/>
  <c r="E33" i="4" s="1"/>
  <c r="K24" i="3"/>
  <c r="T24" i="3" s="1"/>
  <c r="K26" i="4" s="1"/>
  <c r="G24" i="3"/>
  <c r="P24" i="3" s="1"/>
  <c r="G26" i="4" s="1"/>
  <c r="I28" i="3"/>
  <c r="R28" i="3" s="1"/>
  <c r="I30" i="4" s="1"/>
  <c r="E28" i="3"/>
  <c r="N28" i="3" s="1"/>
  <c r="E30" i="4" s="1"/>
  <c r="I30" i="3"/>
  <c r="R30" i="3" s="1"/>
  <c r="I32" i="4" s="1"/>
  <c r="E30" i="3"/>
  <c r="N30" i="3" s="1"/>
  <c r="E32" i="4" s="1"/>
  <c r="L14" i="3"/>
  <c r="U14" i="3" s="1"/>
  <c r="L16" i="4" s="1"/>
  <c r="H14" i="3"/>
  <c r="Q14" i="3" s="1"/>
  <c r="H16" i="4" s="1"/>
  <c r="D14" i="3"/>
  <c r="M14" i="3" s="1"/>
  <c r="D16" i="4" s="1"/>
  <c r="J15" i="3"/>
  <c r="S15" i="3" s="1"/>
  <c r="J17" i="4" s="1"/>
  <c r="F15" i="3"/>
  <c r="O15" i="3" s="1"/>
  <c r="F17" i="4" s="1"/>
  <c r="I22" i="3"/>
  <c r="R22" i="3" s="1"/>
  <c r="I24" i="4" s="1"/>
  <c r="E22" i="3"/>
  <c r="N22" i="3" s="1"/>
  <c r="E24" i="4" s="1"/>
  <c r="K21" i="3"/>
  <c r="T21" i="3" s="1"/>
  <c r="K23" i="4" s="1"/>
  <c r="G21" i="3"/>
  <c r="P21" i="3" s="1"/>
  <c r="G23" i="4" s="1"/>
  <c r="J18" i="3"/>
  <c r="S18" i="3" s="1"/>
  <c r="J20" i="4" s="1"/>
  <c r="F18" i="3"/>
  <c r="O18" i="3" s="1"/>
  <c r="F20" i="4" s="1"/>
  <c r="I19" i="3"/>
  <c r="R19" i="3" s="1"/>
  <c r="I21" i="4" s="1"/>
  <c r="E19" i="3"/>
  <c r="N19" i="3" s="1"/>
  <c r="E21" i="4" s="1"/>
  <c r="J16" i="3"/>
  <c r="S16" i="3" s="1"/>
  <c r="J18" i="4" s="1"/>
  <c r="F16" i="3"/>
  <c r="O16" i="3" s="1"/>
  <c r="F18" i="4" s="1"/>
  <c r="I23" i="3"/>
  <c r="R23" i="3" s="1"/>
  <c r="I25" i="4" s="1"/>
  <c r="E23" i="3"/>
  <c r="N23" i="3" s="1"/>
  <c r="E25" i="4" s="1"/>
  <c r="J17" i="3"/>
  <c r="S17" i="3" s="1"/>
  <c r="J19" i="4" s="1"/>
  <c r="F17" i="3"/>
  <c r="O17" i="3" s="1"/>
  <c r="F19" i="4" s="1"/>
  <c r="K22" i="3"/>
  <c r="T22" i="3" s="1"/>
  <c r="K24" i="4" s="1"/>
  <c r="G22" i="3"/>
  <c r="P22" i="3" s="1"/>
  <c r="G24" i="4" s="1"/>
  <c r="I21" i="3"/>
  <c r="R21" i="3" s="1"/>
  <c r="I23" i="4" s="1"/>
  <c r="E21" i="3"/>
  <c r="N21" i="3" s="1"/>
  <c r="E23" i="4" s="1"/>
  <c r="L18" i="3"/>
  <c r="U18" i="3" s="1"/>
  <c r="L20" i="4" s="1"/>
  <c r="H18" i="3"/>
  <c r="Q18" i="3" s="1"/>
  <c r="H20" i="4" s="1"/>
  <c r="D18" i="3"/>
  <c r="M18" i="3" s="1"/>
  <c r="D20" i="4" s="1"/>
  <c r="K19" i="3"/>
  <c r="T19" i="3" s="1"/>
  <c r="K21" i="4" s="1"/>
  <c r="G19" i="3"/>
  <c r="P19" i="3" s="1"/>
  <c r="G21" i="4" s="1"/>
  <c r="L16" i="3"/>
  <c r="U16" i="3" s="1"/>
  <c r="L18" i="4" s="1"/>
  <c r="H16" i="3"/>
  <c r="Q16" i="3" s="1"/>
  <c r="H18" i="4" s="1"/>
  <c r="D16" i="3"/>
  <c r="M16" i="3" s="1"/>
  <c r="D18" i="4" s="1"/>
  <c r="K23" i="3"/>
  <c r="T23" i="3" s="1"/>
  <c r="K25" i="4" s="1"/>
  <c r="G23" i="3"/>
  <c r="P23" i="3" s="1"/>
  <c r="G25" i="4" s="1"/>
  <c r="L17" i="3"/>
  <c r="U17" i="3" s="1"/>
  <c r="L19" i="4" s="1"/>
  <c r="H17" i="3"/>
  <c r="Q17" i="3" s="1"/>
  <c r="H19" i="4" s="1"/>
  <c r="D17" i="3"/>
  <c r="M17" i="3" s="1"/>
  <c r="D19" i="4" s="1"/>
  <c r="D19" i="5" s="1"/>
  <c r="J22" i="3"/>
  <c r="S22" i="3" s="1"/>
  <c r="J24" i="4" s="1"/>
  <c r="F22" i="3"/>
  <c r="O22" i="3" s="1"/>
  <c r="F24" i="4" s="1"/>
  <c r="L21" i="3"/>
  <c r="U21" i="3" s="1"/>
  <c r="L23" i="4" s="1"/>
  <c r="H21" i="3"/>
  <c r="Q21" i="3" s="1"/>
  <c r="H23" i="4" s="1"/>
  <c r="D21" i="3"/>
  <c r="M21" i="3" s="1"/>
  <c r="D23" i="4" s="1"/>
  <c r="K18" i="3"/>
  <c r="T18" i="3" s="1"/>
  <c r="K20" i="4" s="1"/>
  <c r="G18" i="3"/>
  <c r="P18" i="3" s="1"/>
  <c r="G20" i="4" s="1"/>
  <c r="J19" i="3"/>
  <c r="S19" i="3" s="1"/>
  <c r="J21" i="4" s="1"/>
  <c r="F19" i="3"/>
  <c r="O19" i="3" s="1"/>
  <c r="F21" i="4" s="1"/>
  <c r="K16" i="3"/>
  <c r="T16" i="3" s="1"/>
  <c r="K18" i="4" s="1"/>
  <c r="G16" i="3"/>
  <c r="P16" i="3" s="1"/>
  <c r="G18" i="4" s="1"/>
  <c r="J23" i="3"/>
  <c r="S23" i="3" s="1"/>
  <c r="J25" i="4" s="1"/>
  <c r="F23" i="3"/>
  <c r="O23" i="3" s="1"/>
  <c r="F25" i="4" s="1"/>
  <c r="E25" i="5" s="1"/>
  <c r="K17" i="3"/>
  <c r="T17" i="3" s="1"/>
  <c r="K19" i="4" s="1"/>
  <c r="G17" i="3"/>
  <c r="P17" i="3" s="1"/>
  <c r="G19" i="4" s="1"/>
  <c r="E27" i="5"/>
  <c r="D27" i="5"/>
  <c r="P4" i="3"/>
  <c r="G6" i="4" s="1"/>
  <c r="O4" i="3"/>
  <c r="F6" i="4" s="1"/>
  <c r="O11" i="3"/>
  <c r="F13" i="4" s="1"/>
  <c r="T10" i="3"/>
  <c r="K12" i="4" s="1"/>
  <c r="P10" i="3"/>
  <c r="G12" i="4" s="1"/>
  <c r="U9" i="3"/>
  <c r="L11" i="4" s="1"/>
  <c r="Q9" i="3"/>
  <c r="H11" i="4" s="1"/>
  <c r="M9" i="3"/>
  <c r="D11" i="4" s="1"/>
  <c r="R8" i="3"/>
  <c r="I10" i="4" s="1"/>
  <c r="N8" i="3"/>
  <c r="E10" i="4" s="1"/>
  <c r="S7" i="3"/>
  <c r="J9" i="4" s="1"/>
  <c r="O7" i="3"/>
  <c r="F9" i="4" s="1"/>
  <c r="T6" i="3"/>
  <c r="K8" i="4" s="1"/>
  <c r="P6" i="3"/>
  <c r="G8" i="4" s="1"/>
  <c r="U5" i="3"/>
  <c r="L7" i="4" s="1"/>
  <c r="Q5" i="3"/>
  <c r="H7" i="4" s="1"/>
  <c r="M5" i="3"/>
  <c r="D7" i="4" s="1"/>
  <c r="R4" i="3"/>
  <c r="I6" i="4" s="1"/>
  <c r="N4" i="3"/>
  <c r="E6" i="4" s="1"/>
  <c r="N11" i="3"/>
  <c r="E13" i="4" s="1"/>
  <c r="S10" i="3"/>
  <c r="J12" i="4" s="1"/>
  <c r="O10" i="3"/>
  <c r="F12" i="4" s="1"/>
  <c r="T9" i="3"/>
  <c r="K11" i="4" s="1"/>
  <c r="P9" i="3"/>
  <c r="G11" i="4" s="1"/>
  <c r="U8" i="3"/>
  <c r="L10" i="4" s="1"/>
  <c r="Q8" i="3"/>
  <c r="H10" i="4" s="1"/>
  <c r="M8" i="3"/>
  <c r="D10" i="4" s="1"/>
  <c r="R7" i="3"/>
  <c r="I9" i="4" s="1"/>
  <c r="N7" i="3"/>
  <c r="E9" i="4" s="1"/>
  <c r="S6" i="3"/>
  <c r="J8" i="4" s="1"/>
  <c r="O6" i="3"/>
  <c r="F8" i="4" s="1"/>
  <c r="D8" i="5" s="1"/>
  <c r="T5" i="3"/>
  <c r="K7" i="4" s="1"/>
  <c r="P5" i="3"/>
  <c r="G7" i="4" s="1"/>
  <c r="U4" i="3"/>
  <c r="L6" i="4" s="1"/>
  <c r="Q4" i="3"/>
  <c r="H6" i="4" s="1"/>
  <c r="M4" i="3"/>
  <c r="D6" i="4" s="1"/>
  <c r="M29" i="5"/>
  <c r="K26" i="5"/>
  <c r="K25" i="5"/>
  <c r="M24" i="5"/>
  <c r="M21" i="5"/>
  <c r="K18" i="5"/>
  <c r="K17" i="5"/>
  <c r="M16" i="5"/>
  <c r="M14" i="5"/>
  <c r="L14" i="5"/>
  <c r="M13" i="5"/>
  <c r="K10" i="5"/>
  <c r="K9" i="5"/>
  <c r="M8" i="5"/>
  <c r="L6" i="5"/>
  <c r="M5" i="5"/>
  <c r="D41" i="5"/>
  <c r="E41" i="5"/>
  <c r="D40" i="5"/>
  <c r="F39" i="5"/>
  <c r="F36" i="5"/>
  <c r="D33" i="5"/>
  <c r="F31" i="5"/>
  <c r="E29" i="5"/>
  <c r="F28" i="5"/>
  <c r="D24" i="5"/>
  <c r="D21" i="5"/>
  <c r="D20" i="5"/>
  <c r="D17" i="5"/>
  <c r="F15" i="5"/>
  <c r="K16" i="5"/>
  <c r="D39" i="5"/>
  <c r="L17" i="5"/>
  <c r="E40" i="5"/>
  <c r="E5" i="5"/>
  <c r="L16" i="5"/>
  <c r="E39" i="5"/>
  <c r="K31" i="5"/>
  <c r="K27" i="5"/>
  <c r="K15" i="5"/>
  <c r="K11" i="5"/>
  <c r="D42" i="5"/>
  <c r="D38" i="5"/>
  <c r="D22" i="5"/>
  <c r="D18" i="5"/>
  <c r="M27" i="5"/>
  <c r="M11" i="5"/>
  <c r="F34" i="5"/>
  <c r="F14" i="5"/>
  <c r="D4" i="5"/>
  <c r="D6" i="5" l="1"/>
  <c r="F17" i="5"/>
  <c r="D32" i="5"/>
  <c r="F26" i="5"/>
  <c r="F38" i="5"/>
  <c r="L8" i="5"/>
  <c r="F16" i="5"/>
  <c r="F30" i="5"/>
  <c r="E33" i="5"/>
  <c r="F37" i="5"/>
  <c r="D34" i="5"/>
  <c r="M7" i="5"/>
  <c r="L10" i="5"/>
  <c r="D28" i="5"/>
  <c r="F41" i="5"/>
  <c r="D15" i="5"/>
  <c r="M23" i="5"/>
  <c r="M30" i="5"/>
  <c r="L20" i="5"/>
  <c r="M22" i="5"/>
  <c r="L26" i="5"/>
  <c r="M31" i="5"/>
  <c r="L13" i="5"/>
  <c r="L12" i="5"/>
  <c r="L18" i="5"/>
  <c r="K24" i="5"/>
  <c r="K28" i="5"/>
  <c r="M15" i="5"/>
  <c r="M19" i="5"/>
  <c r="F32" i="5"/>
  <c r="F29" i="5"/>
  <c r="F27" i="5"/>
  <c r="F9" i="5"/>
  <c r="E17" i="5"/>
  <c r="F35" i="5"/>
  <c r="F40" i="5"/>
  <c r="K5" i="5"/>
  <c r="D30" i="5"/>
  <c r="M6" i="5"/>
  <c r="K14" i="5"/>
  <c r="L24" i="5"/>
  <c r="M28" i="5"/>
  <c r="M17" i="5"/>
  <c r="F42" i="5"/>
  <c r="M9" i="5"/>
  <c r="D14" i="5"/>
  <c r="M25" i="5"/>
  <c r="K30" i="5"/>
  <c r="D26" i="5"/>
  <c r="K19" i="5"/>
  <c r="E43" i="5"/>
  <c r="L21" i="5"/>
  <c r="D16" i="5"/>
  <c r="F33" i="5"/>
  <c r="E37" i="5"/>
  <c r="M10" i="5"/>
  <c r="M18" i="5"/>
  <c r="L22" i="5"/>
  <c r="M26" i="5"/>
  <c r="L30" i="5"/>
  <c r="K8" i="5"/>
  <c r="K12" i="5"/>
  <c r="L9" i="5"/>
  <c r="L25" i="5"/>
  <c r="D29" i="5"/>
  <c r="D37" i="5"/>
  <c r="F43" i="5"/>
  <c r="K6" i="5"/>
  <c r="M12" i="5"/>
  <c r="M20" i="5"/>
  <c r="K22" i="5"/>
  <c r="D12" i="5"/>
  <c r="F19" i="5"/>
  <c r="F18" i="5"/>
  <c r="F20" i="5"/>
  <c r="D5" i="5"/>
  <c r="L28" i="5"/>
  <c r="L29" i="5"/>
  <c r="F10" i="5"/>
  <c r="F23" i="5"/>
  <c r="E9" i="5"/>
  <c r="F24" i="5"/>
  <c r="D23" i="5"/>
  <c r="F8" i="5"/>
  <c r="E13" i="5"/>
  <c r="E21" i="5"/>
  <c r="E22" i="5"/>
  <c r="D10" i="5"/>
  <c r="I4" i="4"/>
  <c r="J4" i="4" s="1"/>
  <c r="L4" i="5"/>
  <c r="E6" i="5"/>
  <c r="F7" i="5"/>
  <c r="D9" i="5"/>
  <c r="D13" i="5"/>
  <c r="E10" i="5"/>
  <c r="F21" i="5"/>
  <c r="E36" i="5"/>
  <c r="L23" i="5"/>
  <c r="F12" i="5"/>
  <c r="E19" i="5"/>
  <c r="E12" i="5"/>
  <c r="E35" i="5"/>
  <c r="E30" i="5"/>
  <c r="L27" i="5"/>
  <c r="E18" i="5"/>
  <c r="E16" i="5"/>
  <c r="E8" i="5"/>
  <c r="E15" i="5"/>
  <c r="E32" i="5"/>
  <c r="L31" i="5"/>
  <c r="L15" i="5"/>
  <c r="D25" i="5"/>
  <c r="F13" i="5"/>
  <c r="F25" i="5"/>
  <c r="F6" i="5"/>
  <c r="E7" i="5"/>
  <c r="E20" i="5"/>
  <c r="E42" i="5"/>
  <c r="L7" i="5"/>
  <c r="L11" i="5"/>
  <c r="E38" i="5"/>
  <c r="E24" i="5"/>
  <c r="E31" i="5"/>
  <c r="E14" i="5"/>
  <c r="E23" i="5"/>
  <c r="E26" i="5"/>
  <c r="E34" i="5"/>
  <c r="E28" i="5"/>
  <c r="L19" i="5"/>
  <c r="E11" i="5"/>
  <c r="F11" i="5"/>
  <c r="D11" i="5"/>
  <c r="D7" i="5"/>
  <c r="K4" i="4" l="1"/>
  <c r="L4" i="4" s="1"/>
  <c r="M4" i="5"/>
  <c r="F4" i="5"/>
</calcChain>
</file>

<file path=xl/sharedStrings.xml><?xml version="1.0" encoding="utf-8"?>
<sst xmlns="http://schemas.openxmlformats.org/spreadsheetml/2006/main" count="6946" uniqueCount="232">
  <si>
    <t>Shape *</t>
  </si>
  <si>
    <t>AMP_CODE</t>
  </si>
  <si>
    <t>AMP_NAM_T</t>
  </si>
  <si>
    <t>AMP_NAM_E</t>
  </si>
  <si>
    <t>PROV_CODE</t>
  </si>
  <si>
    <t>REG_CODE</t>
  </si>
  <si>
    <t>AMP_ID</t>
  </si>
  <si>
    <t>Id</t>
  </si>
  <si>
    <t>Input_FID</t>
  </si>
  <si>
    <t>lat</t>
  </si>
  <si>
    <t>lon</t>
  </si>
  <si>
    <t>00_00Z_202</t>
  </si>
  <si>
    <t>00_00Z_203</t>
  </si>
  <si>
    <t>00_00Z_204</t>
  </si>
  <si>
    <t>00_00Z_205</t>
  </si>
  <si>
    <t>00_00Z_206</t>
  </si>
  <si>
    <t>00_00Z_207</t>
  </si>
  <si>
    <t>00_00Z_208</t>
  </si>
  <si>
    <t>00_00Z_209</t>
  </si>
  <si>
    <t>00_00Z_210</t>
  </si>
  <si>
    <t>Polygon</t>
  </si>
  <si>
    <t>อ.เมืองชลบุรี</t>
  </si>
  <si>
    <t>Amphoe Muang Chonburi</t>
  </si>
  <si>
    <t>อ.บ้านบึง</t>
  </si>
  <si>
    <t>Amphoe Ban Bung</t>
  </si>
  <si>
    <t>อ.หนองใหญ่</t>
  </si>
  <si>
    <t>Amphoe Nong Yai</t>
  </si>
  <si>
    <t>อ.บางละมุง</t>
  </si>
  <si>
    <t>Amphoe Bang La Mung</t>
  </si>
  <si>
    <t>อ.พานทอง</t>
  </si>
  <si>
    <t>Amphoe Phan Thong</t>
  </si>
  <si>
    <t>อ.พนัสนิคม</t>
  </si>
  <si>
    <t>Amphoe Panusnikom</t>
  </si>
  <si>
    <t>อ.ศรีราชา</t>
  </si>
  <si>
    <t>Amphoe Siracha</t>
  </si>
  <si>
    <t>อ.เกาะสีชัง</t>
  </si>
  <si>
    <t>Amphoe Ko Sichang</t>
  </si>
  <si>
    <t>อ.สัตหีบ</t>
  </si>
  <si>
    <t>Amphoe Sattahip</t>
  </si>
  <si>
    <t>อ.บ่อทอง</t>
  </si>
  <si>
    <t>Amphoe Borthong</t>
  </si>
  <si>
    <t>อ.เกาะจันทร์</t>
  </si>
  <si>
    <t>King Amphoe Ko Jan</t>
  </si>
  <si>
    <t>อ.เมืองระยอง</t>
  </si>
  <si>
    <t>Amphoe Muang Rayong</t>
  </si>
  <si>
    <t>อ.บ้านฉาง</t>
  </si>
  <si>
    <t>Amphoe BanChang</t>
  </si>
  <si>
    <t>อ.แกลง</t>
  </si>
  <si>
    <t>Amphoe Klang</t>
  </si>
  <si>
    <t>อ.วังจันทร์</t>
  </si>
  <si>
    <t>Amphoe Wangjun</t>
  </si>
  <si>
    <t>อ.บ้านค่าย</t>
  </si>
  <si>
    <t>Amphoe Bankhai</t>
  </si>
  <si>
    <t>อ.ปลวกแดง</t>
  </si>
  <si>
    <t>Amphoe Pluagdeang</t>
  </si>
  <si>
    <t>อ.เขาชะเมา</t>
  </si>
  <si>
    <t>King Amphoe Khao Chamao</t>
  </si>
  <si>
    <t>อ.นิคมพัฒนา</t>
  </si>
  <si>
    <t>King Amphoe Nikom Pattana</t>
  </si>
  <si>
    <t>อ.เมืองจันทบุรี</t>
  </si>
  <si>
    <t>Amphoe Muang Chanthaburi</t>
  </si>
  <si>
    <t>อ.ขลุง</t>
  </si>
  <si>
    <t>Amphoe Khlung</t>
  </si>
  <si>
    <t>อ.ท่าใหม่</t>
  </si>
  <si>
    <t>Amphoe Thamai</t>
  </si>
  <si>
    <t>อ.โป่งน้ำร้อน</t>
  </si>
  <si>
    <t>Amphoe Pong Nam Ron</t>
  </si>
  <si>
    <t>อ.มะขาม</t>
  </si>
  <si>
    <t>Amphoe Makham</t>
  </si>
  <si>
    <t>อ.แหลมสิงห์</t>
  </si>
  <si>
    <t>Amphoe Laem Sing</t>
  </si>
  <si>
    <t>อ.สอยดาว</t>
  </si>
  <si>
    <t>Amphoe Soi Dao</t>
  </si>
  <si>
    <t>อ.แก่งหางแมว</t>
  </si>
  <si>
    <t>Amphoe Kaeng Hang Maeo</t>
  </si>
  <si>
    <t>อ.นายายอาม</t>
  </si>
  <si>
    <t>Amphoe Na Yaiarm</t>
  </si>
  <si>
    <t>อ.เขาคิชฌกูฏ</t>
  </si>
  <si>
    <t>King Amphoe Khao Khitchakut</t>
  </si>
  <si>
    <t>อ.เมืองตราด</t>
  </si>
  <si>
    <t>Amphoe Muang Trat</t>
  </si>
  <si>
    <t>อ.คลองใหญ่</t>
  </si>
  <si>
    <t>Amphoe Khlong Yai</t>
  </si>
  <si>
    <t>อ.เขาสมิง</t>
  </si>
  <si>
    <t>Amphoe Khoa Saming</t>
  </si>
  <si>
    <t>อ.บ่อไร่</t>
  </si>
  <si>
    <t>Amphoe Bo Rai</t>
  </si>
  <si>
    <t>อ.แหลมงอบ</t>
  </si>
  <si>
    <t>Amphoe Laem Ngop</t>
  </si>
  <si>
    <t>กิ่ง อ.เกาะกูด</t>
  </si>
  <si>
    <t>King Ampoe Ko Kut</t>
  </si>
  <si>
    <t>กิ่ง อ.เกาะช้าง</t>
  </si>
  <si>
    <t>King Amphoe  Ko Chang</t>
  </si>
  <si>
    <t>อ.เมืองฉะเชิงเทรา</t>
  </si>
  <si>
    <t>Amphoe Muang Chachoengsao</t>
  </si>
  <si>
    <t>อ.บางคล้า</t>
  </si>
  <si>
    <t>Amphoe Bang Khla</t>
  </si>
  <si>
    <t>อ.บางน้ำเปรี้ยว</t>
  </si>
  <si>
    <t>Amphoe Bang Nam Pieo</t>
  </si>
  <si>
    <t>อ.บางปะกง</t>
  </si>
  <si>
    <t>Amphoe Bang Pakong</t>
  </si>
  <si>
    <t>อ.บ้านโพธิ์</t>
  </si>
  <si>
    <t>Amphoe Ban Phoe</t>
  </si>
  <si>
    <t>อ.พนมสารคาม</t>
  </si>
  <si>
    <t>Amphoe Phanom Sarakham</t>
  </si>
  <si>
    <t>อ.ราชสาส์น</t>
  </si>
  <si>
    <t>Amphoe Ratchasan</t>
  </si>
  <si>
    <t>อ.สนามชัยเขต</t>
  </si>
  <si>
    <t>Amphoe Sanam Chaikhet</t>
  </si>
  <si>
    <t>อ.แปลงยาว</t>
  </si>
  <si>
    <t>Amphoe Plaeng Yao</t>
  </si>
  <si>
    <t>อ.ท่าตะเกียบ</t>
  </si>
  <si>
    <t>Amphoe Tha Takiap</t>
  </si>
  <si>
    <t>อ.คลองเขื่อน</t>
  </si>
  <si>
    <t>King Amphoe Khong Khuain</t>
  </si>
  <si>
    <t>อ.เมืองปราจีนบุรี</t>
  </si>
  <si>
    <t>Amphoe Muang Prachinburi</t>
  </si>
  <si>
    <t>อ.กบินทร์บุรี</t>
  </si>
  <si>
    <t>Amphoe Kabinburi</t>
  </si>
  <si>
    <t>อ.นาดี</t>
  </si>
  <si>
    <t>Amphoe Nadi</t>
  </si>
  <si>
    <t>อ.บ้านสร้าง</t>
  </si>
  <si>
    <t>Amphoe Ban Srang</t>
  </si>
  <si>
    <t>อ.ประจันตคาม</t>
  </si>
  <si>
    <t>Amphoe Prachantakham</t>
  </si>
  <si>
    <t>อ.ศรีมหาโพธิ</t>
  </si>
  <si>
    <t>Amphoe Srimahapho</t>
  </si>
  <si>
    <t>อ.ศรีมโหสถ</t>
  </si>
  <si>
    <t>Amphoe Sri Mahosoit</t>
  </si>
  <si>
    <t>อ.เมืองนครนายก</t>
  </si>
  <si>
    <t>Amphoe Muang Nakhon Nayok</t>
  </si>
  <si>
    <t>อ.ปากพลี</t>
  </si>
  <si>
    <t>Amphoe Pakphli</t>
  </si>
  <si>
    <t>อ.บ้านนา</t>
  </si>
  <si>
    <t>Amphoe Banna</t>
  </si>
  <si>
    <t>อ.องครักษ์</t>
  </si>
  <si>
    <t>Amphoe Ongkhalak</t>
  </si>
  <si>
    <t>อ.เมืองสระแก้ว</t>
  </si>
  <si>
    <t>Amphoe Muang Srakaeo</t>
  </si>
  <si>
    <t>อ.คลองหาด</t>
  </si>
  <si>
    <t>Amphoe Khlong Hat</t>
  </si>
  <si>
    <t>อ.ตาพระยา</t>
  </si>
  <si>
    <t>Amphoe Taphaya</t>
  </si>
  <si>
    <t>อ.วังน้ำเย็น</t>
  </si>
  <si>
    <t>Amphoe Wang Nam Yen</t>
  </si>
  <si>
    <t>อ.วัฒนานคร</t>
  </si>
  <si>
    <t>Amphoe Wattana Nakhon</t>
  </si>
  <si>
    <t>อ.อรัญประเทศ</t>
  </si>
  <si>
    <t>Amphoe Aranyaprathet</t>
  </si>
  <si>
    <t>อ.เขาฉกรรจ์</t>
  </si>
  <si>
    <t>Amphoe Khao Chakan</t>
  </si>
  <si>
    <t>อ.โคกสูง</t>
  </si>
  <si>
    <t>King Amphoe Khoksung</t>
  </si>
  <si>
    <t>อ.วังสมบูรณ์</t>
  </si>
  <si>
    <t>King Amphoe Wang Sombun</t>
  </si>
  <si>
    <t>-</t>
  </si>
  <si>
    <t>เขตปกครองพิเศษกร</t>
  </si>
  <si>
    <t>Bangkok</t>
  </si>
  <si>
    <t>PROV_NAM_T</t>
  </si>
  <si>
    <t>จ.ชลบุรี</t>
  </si>
  <si>
    <t>จ.ระยอง</t>
  </si>
  <si>
    <t>จ.จันทบุรี</t>
  </si>
  <si>
    <t>จ.ตราด</t>
  </si>
  <si>
    <t>จ.ฉะเชิงเทรา</t>
  </si>
  <si>
    <t>จ.ปราจีนบุรี</t>
  </si>
  <si>
    <t>จ.นครนายก</t>
  </si>
  <si>
    <t>จ.สระแก้ว</t>
  </si>
  <si>
    <t>จัวหวัด</t>
  </si>
  <si>
    <t>จังหวัด</t>
  </si>
  <si>
    <t>อำเภอ</t>
  </si>
  <si>
    <t>หมายเหตุ จากแบบจำลอง ECMWF 01:00 น. 26/8/2567</t>
  </si>
  <si>
    <t>สะสม 3 วัน</t>
  </si>
  <si>
    <t>สะสม 5 วัน</t>
  </si>
  <si>
    <t>สะสม 7 วัน</t>
  </si>
  <si>
    <t>พื้นที่ (ตร.ม.)</t>
  </si>
  <si>
    <t>ฝน x พื้นที่</t>
  </si>
  <si>
    <t>ฝน</t>
  </si>
  <si>
    <t>ปริมาณฝนพยากรณ์ (มม.)</t>
  </si>
  <si>
    <t>1 วัน</t>
  </si>
  <si>
    <t>2 วัน</t>
  </si>
  <si>
    <t>3 วัน</t>
  </si>
  <si>
    <t>4 วัน</t>
  </si>
  <si>
    <t>5 วัน</t>
  </si>
  <si>
    <t>6 วัน</t>
  </si>
  <si>
    <t>7 วัน</t>
  </si>
  <si>
    <t>8 วัน</t>
  </si>
  <si>
    <t>9 วัน</t>
  </si>
  <si>
    <t>ปริมาณฝนพยากรณ์สะสม (มม.)</t>
  </si>
  <si>
    <t>เล็กน้อย</t>
  </si>
  <si>
    <t>ปานกลาง</t>
  </si>
  <si>
    <t>หนัก</t>
  </si>
  <si>
    <t>หนักมาก</t>
  </si>
  <si>
    <t>0 - 10</t>
  </si>
  <si>
    <t>&gt;10 - 20</t>
  </si>
  <si>
    <t xml:space="preserve">&gt;20 - 35 </t>
  </si>
  <si>
    <t>&gt;35 - 50</t>
  </si>
  <si>
    <t>&gt;50 - 70</t>
  </si>
  <si>
    <t>&gt;70 -90</t>
  </si>
  <si>
    <t>&gt;90</t>
  </si>
  <si>
    <t>ระดับปริมาณฝน</t>
  </si>
  <si>
    <t>0 - 30</t>
  </si>
  <si>
    <t>0 - 50</t>
  </si>
  <si>
    <t>0 - 70</t>
  </si>
  <si>
    <t>&gt;30 - 60</t>
  </si>
  <si>
    <t>&gt;50 - 100</t>
  </si>
  <si>
    <t>&gt;70 - 140</t>
  </si>
  <si>
    <t xml:space="preserve">&gt;60 - 105 </t>
  </si>
  <si>
    <t>&gt;100 - 175</t>
  </si>
  <si>
    <t>&gt;105 - 150</t>
  </si>
  <si>
    <t>&gt;175 - 250</t>
  </si>
  <si>
    <t>&gt;245 - 350</t>
  </si>
  <si>
    <t>&gt;150 - 210</t>
  </si>
  <si>
    <t>&gt;250 - 350</t>
  </si>
  <si>
    <t>&gt;350 - 490</t>
  </si>
  <si>
    <t>&gt;210 - 270</t>
  </si>
  <si>
    <t>&gt;350 - 450</t>
  </si>
  <si>
    <t>&gt;490 - 630</t>
  </si>
  <si>
    <t>&gt;270</t>
  </si>
  <si>
    <t>&gt;450</t>
  </si>
  <si>
    <t>&gt;630</t>
  </si>
  <si>
    <t>ระดับ</t>
  </si>
  <si>
    <t>&gt;140 - 245</t>
  </si>
  <si>
    <t>FID</t>
  </si>
  <si>
    <t>FID_Amphoe</t>
  </si>
  <si>
    <t>FID_GridRa</t>
  </si>
  <si>
    <t>Area</t>
  </si>
  <si>
    <t>Length</t>
  </si>
  <si>
    <t>อ.เกาะกูด</t>
  </si>
  <si>
    <t>อ.เกาะช้าง</t>
  </si>
  <si>
    <t>ปริมาณฝนคาดการณ์ระหว่างวันที่ 27 กันยายน - 5 ตุลาคม  2567</t>
  </si>
  <si>
    <t>หมายเหตุ จากแบบจำลอง ECMWF 01:00 น. 29/9/2567</t>
  </si>
  <si>
    <t>หมายเหตุ จากแบบจำลอง ECMWF 19:00 น. 27/9/2567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</si>
</sst>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_ ;\-#,##0\ "/>
    <numFmt numFmtId="189" formatCode="[$-107041E]d\ mmm\ yy;@"/>
  </numFmts>
  <fonts count="8" x14ac:knownFonts="1">
    <font>
      <sz val="16"/>
      <color theme="1"/>
      <name val="TH Sarabun New"/>
      <family val="2"/>
      <charset val="222"/>
    </font>
    <font>
      <sz val="16"/>
      <color theme="1"/>
      <name val="TH Sarabun New"/>
      <family val="2"/>
      <charset val="222"/>
    </font>
    <font>
      <b/>
      <sz val="16"/>
      <color theme="1"/>
      <name val="TH Sarabun New"/>
      <family val="2"/>
    </font>
    <font>
      <sz val="12"/>
      <color theme="1"/>
      <name val="TH Sarabun New"/>
      <family val="2"/>
    </font>
    <font>
      <sz val="8"/>
      <name val="TH Sarabun New"/>
      <family val="2"/>
      <charset val="222"/>
    </font>
    <font>
      <sz val="16"/>
      <name val="TH Sarabun New"/>
      <family val="2"/>
      <charset val="222"/>
    </font>
    <font>
      <b/>
      <sz val="20"/>
      <color theme="1"/>
      <name val="TH Sarabun New"/>
      <family val="2"/>
    </font>
    <font>
      <b/>
      <sz val="14"/>
      <color theme="1"/>
      <name val="TH Sarabun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2" fontId="0" fillId="0" borderId="0" xfId="0" applyNumberFormat="1"/>
    <xf numFmtId="0" fontId="2" fillId="0" borderId="0" xfId="0" applyFont="1"/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3" borderId="0" xfId="0" applyFill="1"/>
    <xf numFmtId="187" fontId="0" fillId="0" borderId="0" xfId="1" applyNumberFormat="1" applyFont="1"/>
    <xf numFmtId="188" fontId="0" fillId="0" borderId="0" xfId="1" applyNumberFormat="1" applyFont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2" fillId="0" borderId="5" xfId="0" applyFont="1" applyBorder="1" applyAlignment="1">
      <alignment vertical="center"/>
    </xf>
    <xf numFmtId="0" fontId="0" fillId="4" borderId="9" xfId="0" applyFill="1" applyBorder="1"/>
    <xf numFmtId="0" fontId="0" fillId="5" borderId="9" xfId="0" applyFill="1" applyBorder="1"/>
    <xf numFmtId="0" fontId="0" fillId="6" borderId="9" xfId="0" applyFill="1" applyBorder="1"/>
    <xf numFmtId="0" fontId="5" fillId="7" borderId="9" xfId="0" applyFont="1" applyFill="1" applyBorder="1"/>
    <xf numFmtId="0" fontId="0" fillId="8" borderId="9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9" borderId="14" xfId="0" applyFill="1" applyBorder="1"/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1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4" fontId="7" fillId="0" borderId="1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14" fontId="2" fillId="10" borderId="0" xfId="0" applyNumberFormat="1" applyFont="1" applyFill="1" applyAlignment="1">
      <alignment horizontal="center" vertical="center"/>
    </xf>
    <xf numFmtId="2" fontId="0" fillId="10" borderId="0" xfId="0" applyNumberFormat="1" applyFill="1" applyAlignment="1">
      <alignment horizontal="center"/>
    </xf>
    <xf numFmtId="0" fontId="3" fillId="10" borderId="0" xfId="0" applyFont="1" applyFill="1" applyAlignment="1">
      <alignment horizontal="left"/>
    </xf>
    <xf numFmtId="189" fontId="7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10" borderId="2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5"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679176</xdr:colOff>
      <xdr:row>33</xdr:row>
      <xdr:rowOff>134952</xdr:rowOff>
    </xdr:from>
    <xdr:to>
      <xdr:col>12</xdr:col>
      <xdr:colOff>501928</xdr:colOff>
      <xdr:row>37</xdr:row>
      <xdr:rowOff>20098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F6AF1-B1A6-385F-DDA8-B65F2CCD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8698" y="10488213"/>
          <a:ext cx="5118652" cy="111097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0887-1BA7-43DF-89E4-1BED16162334}">
  <dimension ref="A1:B9"/>
  <sheetViews>
    <sheetView workbookViewId="0">
      <selection activeCell="E8" sqref="E8"/>
    </sheetView>
  </sheetViews>
  <sheetFormatPr defaultRowHeight="24" x14ac:dyDescent="0.55000000000000004"/>
  <cols>
    <col min="2" max="2" width="11.5" bestFit="1" customWidth="1"/>
  </cols>
  <sheetData>
    <row r="1" spans="1:2" x14ac:dyDescent="0.55000000000000004">
      <c r="A1" t="s">
        <v>4</v>
      </c>
      <c r="B1" t="s">
        <v>158</v>
      </c>
    </row>
    <row r="2" spans="1:2" x14ac:dyDescent="0.55000000000000004">
      <c r="A2">
        <v>20</v>
      </c>
      <c r="B2" t="s">
        <v>159</v>
      </c>
    </row>
    <row r="3" spans="1:2" x14ac:dyDescent="0.55000000000000004">
      <c r="A3">
        <v>21</v>
      </c>
      <c r="B3" t="s">
        <v>160</v>
      </c>
    </row>
    <row r="4" spans="1:2" x14ac:dyDescent="0.55000000000000004">
      <c r="A4">
        <v>22</v>
      </c>
      <c r="B4" t="s">
        <v>161</v>
      </c>
    </row>
    <row r="5" spans="1:2" x14ac:dyDescent="0.55000000000000004">
      <c r="A5">
        <v>23</v>
      </c>
      <c r="B5" t="s">
        <v>162</v>
      </c>
    </row>
    <row r="6" spans="1:2" x14ac:dyDescent="0.55000000000000004">
      <c r="A6">
        <v>24</v>
      </c>
      <c r="B6" t="s">
        <v>163</v>
      </c>
    </row>
    <row r="7" spans="1:2" x14ac:dyDescent="0.55000000000000004">
      <c r="A7">
        <v>25</v>
      </c>
      <c r="B7" t="s">
        <v>164</v>
      </c>
    </row>
    <row r="8" spans="1:2" x14ac:dyDescent="0.55000000000000004">
      <c r="A8">
        <v>26</v>
      </c>
      <c r="B8" t="s">
        <v>165</v>
      </c>
    </row>
    <row r="9" spans="1:2" x14ac:dyDescent="0.55000000000000004">
      <c r="A9">
        <v>27</v>
      </c>
      <c r="B9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71D6-BB15-44A4-829A-3066123468FC}">
  <dimension ref="A1:Y1069"/>
  <sheetViews>
    <sheetView topLeftCell="F1" workbookViewId="0">
      <selection activeCell="Y1" sqref="Y1"/>
    </sheetView>
  </sheetViews>
  <sheetFormatPr defaultRowHeight="24" x14ac:dyDescent="0.55000000000000004"/>
  <sheetData>
    <row r="1" spans="1:25" x14ac:dyDescent="0.55000000000000004">
      <c r="A1" t="s">
        <v>222</v>
      </c>
      <c r="B1" t="s">
        <v>0</v>
      </c>
      <c r="C1" t="s">
        <v>223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224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226</v>
      </c>
      <c r="Y1" t="s">
        <v>225</v>
      </c>
    </row>
    <row r="2" spans="1:25" x14ac:dyDescent="0.55000000000000004">
      <c r="A2">
        <v>0</v>
      </c>
      <c r="B2" t="s">
        <v>20</v>
      </c>
      <c r="C2">
        <v>1</v>
      </c>
      <c r="D2">
        <v>1</v>
      </c>
      <c r="E2" t="s">
        <v>21</v>
      </c>
      <c r="F2" t="s">
        <v>22</v>
      </c>
      <c r="G2">
        <v>20</v>
      </c>
      <c r="H2">
        <v>2</v>
      </c>
      <c r="I2">
        <v>20010000</v>
      </c>
      <c r="J2">
        <v>678</v>
      </c>
      <c r="K2">
        <v>0</v>
      </c>
      <c r="L2">
        <v>13619</v>
      </c>
      <c r="M2">
        <v>13.284592</v>
      </c>
      <c r="N2">
        <v>100.93988</v>
      </c>
      <c r="O2">
        <v>1.52</v>
      </c>
      <c r="P2">
        <v>1.01</v>
      </c>
      <c r="Q2">
        <v>0.55000000000000004</v>
      </c>
      <c r="R2">
        <v>0.2</v>
      </c>
      <c r="S2">
        <v>2.2999999999999998</v>
      </c>
      <c r="T2">
        <v>32.520000000000003</v>
      </c>
      <c r="U2">
        <v>4.99</v>
      </c>
      <c r="V2">
        <v>1.3</v>
      </c>
      <c r="W2">
        <v>0</v>
      </c>
      <c r="X2">
        <v>32984.059328000003</v>
      </c>
      <c r="Y2">
        <v>61459357.477700002</v>
      </c>
    </row>
    <row r="3" spans="1:25" x14ac:dyDescent="0.55000000000000004">
      <c r="A3">
        <v>1</v>
      </c>
      <c r="B3" t="s">
        <v>20</v>
      </c>
      <c r="C3">
        <v>1</v>
      </c>
      <c r="D3">
        <v>1</v>
      </c>
      <c r="E3" t="s">
        <v>21</v>
      </c>
      <c r="F3" t="s">
        <v>22</v>
      </c>
      <c r="G3">
        <v>20</v>
      </c>
      <c r="H3">
        <v>2</v>
      </c>
      <c r="I3">
        <v>20010000</v>
      </c>
      <c r="J3">
        <v>679</v>
      </c>
      <c r="K3">
        <v>0</v>
      </c>
      <c r="L3">
        <v>13618</v>
      </c>
      <c r="M3">
        <v>13.284592</v>
      </c>
      <c r="N3">
        <v>100.85674</v>
      </c>
      <c r="O3">
        <v>1.5</v>
      </c>
      <c r="P3">
        <v>7.0000000000000007E-2</v>
      </c>
      <c r="Q3">
        <v>0.54</v>
      </c>
      <c r="R3">
        <v>1.1499999999999999</v>
      </c>
      <c r="S3">
        <v>2.2400000000000002</v>
      </c>
      <c r="T3">
        <v>54.619999</v>
      </c>
      <c r="U3">
        <v>18.079999999999998</v>
      </c>
      <c r="V3">
        <v>1.32</v>
      </c>
      <c r="W3">
        <v>0.03</v>
      </c>
      <c r="X3">
        <v>532.43568900000002</v>
      </c>
      <c r="Y3">
        <v>12606.372471999999</v>
      </c>
    </row>
    <row r="4" spans="1:25" x14ac:dyDescent="0.55000000000000004">
      <c r="A4">
        <v>2</v>
      </c>
      <c r="B4" t="s">
        <v>20</v>
      </c>
      <c r="C4">
        <v>1</v>
      </c>
      <c r="D4">
        <v>1</v>
      </c>
      <c r="E4" t="s">
        <v>21</v>
      </c>
      <c r="F4" t="s">
        <v>22</v>
      </c>
      <c r="G4">
        <v>20</v>
      </c>
      <c r="H4">
        <v>2</v>
      </c>
      <c r="I4">
        <v>20010000</v>
      </c>
      <c r="J4">
        <v>680</v>
      </c>
      <c r="K4">
        <v>0</v>
      </c>
      <c r="L4">
        <v>13499</v>
      </c>
      <c r="M4">
        <v>13.203666999999999</v>
      </c>
      <c r="N4">
        <v>100.93988</v>
      </c>
      <c r="O4">
        <v>0.74</v>
      </c>
      <c r="P4">
        <v>0.36</v>
      </c>
      <c r="Q4">
        <v>5.45</v>
      </c>
      <c r="R4">
        <v>0.65</v>
      </c>
      <c r="S4">
        <v>0.21</v>
      </c>
      <c r="T4">
        <v>52.720001000000003</v>
      </c>
      <c r="U4">
        <v>6.51</v>
      </c>
      <c r="V4">
        <v>1.78</v>
      </c>
      <c r="W4">
        <v>2.4</v>
      </c>
      <c r="X4">
        <v>8386.2691959999993</v>
      </c>
      <c r="Y4">
        <v>1662760.71897</v>
      </c>
    </row>
    <row r="5" spans="1:25" x14ac:dyDescent="0.55000000000000004">
      <c r="A5">
        <v>3</v>
      </c>
      <c r="B5" t="s">
        <v>20</v>
      </c>
      <c r="C5">
        <v>1</v>
      </c>
      <c r="D5">
        <v>1</v>
      </c>
      <c r="E5" t="s">
        <v>21</v>
      </c>
      <c r="F5" t="s">
        <v>22</v>
      </c>
      <c r="G5">
        <v>20</v>
      </c>
      <c r="H5">
        <v>2</v>
      </c>
      <c r="I5">
        <v>20010000</v>
      </c>
      <c r="J5">
        <v>681</v>
      </c>
      <c r="K5">
        <v>0</v>
      </c>
      <c r="L5">
        <v>13739</v>
      </c>
      <c r="M5">
        <v>13.365479000000001</v>
      </c>
      <c r="N5">
        <v>100.93988</v>
      </c>
      <c r="O5">
        <v>0</v>
      </c>
      <c r="P5">
        <v>3.54</v>
      </c>
      <c r="Q5">
        <v>2.0499999999999998</v>
      </c>
      <c r="R5">
        <v>2.38</v>
      </c>
      <c r="S5">
        <v>1.35</v>
      </c>
      <c r="T5">
        <v>36.060001</v>
      </c>
      <c r="U5">
        <v>4.55</v>
      </c>
      <c r="V5">
        <v>0.22</v>
      </c>
      <c r="W5">
        <v>0</v>
      </c>
      <c r="X5">
        <v>27386.195509000001</v>
      </c>
      <c r="Y5">
        <v>16159820.1241</v>
      </c>
    </row>
    <row r="6" spans="1:25" x14ac:dyDescent="0.55000000000000004">
      <c r="A6">
        <v>4</v>
      </c>
      <c r="B6" t="s">
        <v>20</v>
      </c>
      <c r="C6">
        <v>1</v>
      </c>
      <c r="D6">
        <v>1</v>
      </c>
      <c r="E6" t="s">
        <v>21</v>
      </c>
      <c r="F6" t="s">
        <v>22</v>
      </c>
      <c r="G6">
        <v>20</v>
      </c>
      <c r="H6">
        <v>2</v>
      </c>
      <c r="I6">
        <v>20010000</v>
      </c>
      <c r="J6">
        <v>683</v>
      </c>
      <c r="K6">
        <v>0</v>
      </c>
      <c r="L6">
        <v>13741</v>
      </c>
      <c r="M6">
        <v>13.365479000000001</v>
      </c>
      <c r="N6">
        <v>101.10615</v>
      </c>
      <c r="O6">
        <v>0.38</v>
      </c>
      <c r="P6">
        <v>15.7</v>
      </c>
      <c r="Q6">
        <v>7.94</v>
      </c>
      <c r="R6">
        <v>2.33</v>
      </c>
      <c r="S6">
        <v>0.05</v>
      </c>
      <c r="T6">
        <v>52.740001999999997</v>
      </c>
      <c r="U6">
        <v>1.25</v>
      </c>
      <c r="V6">
        <v>0</v>
      </c>
      <c r="W6">
        <v>0</v>
      </c>
      <c r="X6">
        <v>4196.1118180000003</v>
      </c>
      <c r="Y6">
        <v>339241.31624700001</v>
      </c>
    </row>
    <row r="7" spans="1:25" x14ac:dyDescent="0.55000000000000004">
      <c r="A7">
        <v>5</v>
      </c>
      <c r="B7" t="s">
        <v>20</v>
      </c>
      <c r="C7">
        <v>1</v>
      </c>
      <c r="D7">
        <v>1</v>
      </c>
      <c r="E7" t="s">
        <v>21</v>
      </c>
      <c r="F7" t="s">
        <v>22</v>
      </c>
      <c r="G7">
        <v>20</v>
      </c>
      <c r="H7">
        <v>2</v>
      </c>
      <c r="I7">
        <v>20010000</v>
      </c>
      <c r="J7">
        <v>684</v>
      </c>
      <c r="K7">
        <v>0</v>
      </c>
      <c r="L7">
        <v>13859</v>
      </c>
      <c r="M7">
        <v>13.446358</v>
      </c>
      <c r="N7">
        <v>100.93988</v>
      </c>
      <c r="O7">
        <v>0.5</v>
      </c>
      <c r="P7">
        <v>5.71</v>
      </c>
      <c r="Q7">
        <v>0.03</v>
      </c>
      <c r="R7">
        <v>5</v>
      </c>
      <c r="S7">
        <v>5.15</v>
      </c>
      <c r="T7">
        <v>23.23</v>
      </c>
      <c r="U7">
        <v>6.55</v>
      </c>
      <c r="V7">
        <v>0.49</v>
      </c>
      <c r="W7">
        <v>0</v>
      </c>
      <c r="X7">
        <v>15834.741339</v>
      </c>
      <c r="Y7">
        <v>7638855.7024800004</v>
      </c>
    </row>
    <row r="8" spans="1:25" x14ac:dyDescent="0.55000000000000004">
      <c r="A8">
        <v>6</v>
      </c>
      <c r="B8" t="s">
        <v>20</v>
      </c>
      <c r="C8">
        <v>1</v>
      </c>
      <c r="D8">
        <v>1</v>
      </c>
      <c r="E8" t="s">
        <v>21</v>
      </c>
      <c r="F8" t="s">
        <v>22</v>
      </c>
      <c r="G8">
        <v>20</v>
      </c>
      <c r="H8">
        <v>2</v>
      </c>
      <c r="I8">
        <v>20010000</v>
      </c>
      <c r="J8">
        <v>692</v>
      </c>
      <c r="K8">
        <v>0</v>
      </c>
      <c r="L8">
        <v>13860</v>
      </c>
      <c r="M8">
        <v>13.446358</v>
      </c>
      <c r="N8">
        <v>101.02302</v>
      </c>
      <c r="O8">
        <v>0.03</v>
      </c>
      <c r="P8">
        <v>41.380001</v>
      </c>
      <c r="Q8">
        <v>4.1100000000000003</v>
      </c>
      <c r="R8">
        <v>3.2</v>
      </c>
      <c r="S8">
        <v>0.97</v>
      </c>
      <c r="T8">
        <v>44.740001999999997</v>
      </c>
      <c r="U8">
        <v>5.44</v>
      </c>
      <c r="V8">
        <v>0</v>
      </c>
      <c r="W8">
        <v>0</v>
      </c>
      <c r="X8">
        <v>31336.021411999998</v>
      </c>
      <c r="Y8">
        <v>39719258.894599997</v>
      </c>
    </row>
    <row r="9" spans="1:25" x14ac:dyDescent="0.55000000000000004">
      <c r="A9">
        <v>7</v>
      </c>
      <c r="B9" t="s">
        <v>20</v>
      </c>
      <c r="C9">
        <v>1</v>
      </c>
      <c r="D9">
        <v>1</v>
      </c>
      <c r="E9" t="s">
        <v>21</v>
      </c>
      <c r="F9" t="s">
        <v>22</v>
      </c>
      <c r="G9">
        <v>20</v>
      </c>
      <c r="H9">
        <v>2</v>
      </c>
      <c r="I9">
        <v>20010000</v>
      </c>
      <c r="J9">
        <v>693</v>
      </c>
      <c r="K9">
        <v>0</v>
      </c>
      <c r="L9">
        <v>13740</v>
      </c>
      <c r="M9">
        <v>13.365479000000001</v>
      </c>
      <c r="N9">
        <v>101.02302</v>
      </c>
      <c r="O9">
        <v>1.94</v>
      </c>
      <c r="P9">
        <v>16.649999999999999</v>
      </c>
      <c r="Q9">
        <v>16.649999999999999</v>
      </c>
      <c r="R9">
        <v>6.78</v>
      </c>
      <c r="S9">
        <v>0.44</v>
      </c>
      <c r="T9">
        <v>34.099997999999999</v>
      </c>
      <c r="U9">
        <v>3.39</v>
      </c>
      <c r="V9">
        <v>0.05</v>
      </c>
      <c r="W9">
        <v>0</v>
      </c>
      <c r="X9">
        <v>41937.608686</v>
      </c>
      <c r="Y9">
        <v>72989892.236699998</v>
      </c>
    </row>
    <row r="10" spans="1:25" x14ac:dyDescent="0.55000000000000004">
      <c r="A10">
        <v>8</v>
      </c>
      <c r="B10" t="s">
        <v>20</v>
      </c>
      <c r="C10">
        <v>1</v>
      </c>
      <c r="D10">
        <v>1</v>
      </c>
      <c r="E10" t="s">
        <v>21</v>
      </c>
      <c r="F10" t="s">
        <v>22</v>
      </c>
      <c r="G10">
        <v>20</v>
      </c>
      <c r="H10">
        <v>2</v>
      </c>
      <c r="I10">
        <v>20010000</v>
      </c>
      <c r="J10">
        <v>694</v>
      </c>
      <c r="K10">
        <v>0</v>
      </c>
      <c r="L10">
        <v>13621</v>
      </c>
      <c r="M10">
        <v>13.284592</v>
      </c>
      <c r="N10">
        <v>101.10615</v>
      </c>
      <c r="O10">
        <v>0.01</v>
      </c>
      <c r="P10">
        <v>27.23</v>
      </c>
      <c r="Q10">
        <v>2.86</v>
      </c>
      <c r="R10">
        <v>1.07</v>
      </c>
      <c r="S10">
        <v>0</v>
      </c>
      <c r="T10">
        <v>25.360001</v>
      </c>
      <c r="U10">
        <v>1.22</v>
      </c>
      <c r="V10">
        <v>0.03</v>
      </c>
      <c r="W10">
        <v>0</v>
      </c>
      <c r="X10">
        <v>10020.996198999999</v>
      </c>
      <c r="Y10">
        <v>3033125.3253799998</v>
      </c>
    </row>
    <row r="11" spans="1:25" x14ac:dyDescent="0.55000000000000004">
      <c r="A11">
        <v>9</v>
      </c>
      <c r="B11" t="s">
        <v>20</v>
      </c>
      <c r="C11">
        <v>1</v>
      </c>
      <c r="D11">
        <v>1</v>
      </c>
      <c r="E11" t="s">
        <v>21</v>
      </c>
      <c r="F11" t="s">
        <v>22</v>
      </c>
      <c r="G11">
        <v>20</v>
      </c>
      <c r="H11">
        <v>2</v>
      </c>
      <c r="I11">
        <v>20010000</v>
      </c>
      <c r="J11">
        <v>695</v>
      </c>
      <c r="K11">
        <v>0</v>
      </c>
      <c r="L11">
        <v>13620</v>
      </c>
      <c r="M11">
        <v>13.284592</v>
      </c>
      <c r="N11">
        <v>101.02302</v>
      </c>
      <c r="O11">
        <v>2.91</v>
      </c>
      <c r="P11">
        <v>8.7100000000000009</v>
      </c>
      <c r="Q11">
        <v>1.0900000000000001</v>
      </c>
      <c r="R11">
        <v>0.09</v>
      </c>
      <c r="S11">
        <v>0.45</v>
      </c>
      <c r="T11">
        <v>35.630001</v>
      </c>
      <c r="U11">
        <v>1.78</v>
      </c>
      <c r="V11">
        <v>0.02</v>
      </c>
      <c r="W11">
        <v>0</v>
      </c>
      <c r="X11">
        <v>31810.656763999999</v>
      </c>
      <c r="Y11">
        <v>51942791.685099997</v>
      </c>
    </row>
    <row r="12" spans="1:25" x14ac:dyDescent="0.55000000000000004">
      <c r="A12">
        <v>10</v>
      </c>
      <c r="B12" t="s">
        <v>20</v>
      </c>
      <c r="C12">
        <v>1</v>
      </c>
      <c r="D12">
        <v>1</v>
      </c>
      <c r="E12" t="s">
        <v>21</v>
      </c>
      <c r="F12" t="s">
        <v>22</v>
      </c>
      <c r="G12">
        <v>20</v>
      </c>
      <c r="H12">
        <v>2</v>
      </c>
      <c r="I12">
        <v>20010000</v>
      </c>
      <c r="J12">
        <v>719</v>
      </c>
      <c r="K12">
        <v>0</v>
      </c>
      <c r="L12">
        <v>13861</v>
      </c>
      <c r="M12">
        <v>13.446358</v>
      </c>
      <c r="N12">
        <v>101.10615</v>
      </c>
      <c r="O12">
        <v>2.2999999999999998</v>
      </c>
      <c r="P12">
        <v>43.209999000000003</v>
      </c>
      <c r="Q12">
        <v>21.57</v>
      </c>
      <c r="R12">
        <v>5.38</v>
      </c>
      <c r="S12">
        <v>0.03</v>
      </c>
      <c r="T12">
        <v>60.759998000000003</v>
      </c>
      <c r="U12">
        <v>1.86</v>
      </c>
      <c r="V12">
        <v>0</v>
      </c>
      <c r="W12">
        <v>0</v>
      </c>
      <c r="X12">
        <v>3706.4838490000002</v>
      </c>
      <c r="Y12">
        <v>715966.14457500004</v>
      </c>
    </row>
    <row r="13" spans="1:25" x14ac:dyDescent="0.55000000000000004">
      <c r="A13">
        <v>11</v>
      </c>
      <c r="B13" t="s">
        <v>20</v>
      </c>
      <c r="C13">
        <v>2</v>
      </c>
      <c r="D13">
        <v>2</v>
      </c>
      <c r="E13" t="s">
        <v>23</v>
      </c>
      <c r="F13" t="s">
        <v>24</v>
      </c>
      <c r="G13">
        <v>20</v>
      </c>
      <c r="H13">
        <v>2</v>
      </c>
      <c r="I13">
        <v>20020000</v>
      </c>
      <c r="J13">
        <v>683</v>
      </c>
      <c r="K13">
        <v>0</v>
      </c>
      <c r="L13">
        <v>13741</v>
      </c>
      <c r="M13">
        <v>13.365479000000001</v>
      </c>
      <c r="N13">
        <v>101.10615</v>
      </c>
      <c r="O13">
        <v>0.38</v>
      </c>
      <c r="P13">
        <v>15.7</v>
      </c>
      <c r="Q13">
        <v>7.94</v>
      </c>
      <c r="R13">
        <v>2.33</v>
      </c>
      <c r="S13">
        <v>0.05</v>
      </c>
      <c r="T13">
        <v>52.740001999999997</v>
      </c>
      <c r="U13">
        <v>1.25</v>
      </c>
      <c r="V13">
        <v>0</v>
      </c>
      <c r="W13">
        <v>0</v>
      </c>
      <c r="X13">
        <v>40208.174705999998</v>
      </c>
      <c r="Y13">
        <v>50752081.336199999</v>
      </c>
    </row>
    <row r="14" spans="1:25" x14ac:dyDescent="0.55000000000000004">
      <c r="A14">
        <v>12</v>
      </c>
      <c r="B14" t="s">
        <v>20</v>
      </c>
      <c r="C14">
        <v>2</v>
      </c>
      <c r="D14">
        <v>2</v>
      </c>
      <c r="E14" t="s">
        <v>23</v>
      </c>
      <c r="F14" t="s">
        <v>24</v>
      </c>
      <c r="G14">
        <v>20</v>
      </c>
      <c r="H14">
        <v>2</v>
      </c>
      <c r="I14">
        <v>20020000</v>
      </c>
      <c r="J14">
        <v>687</v>
      </c>
      <c r="K14">
        <v>0</v>
      </c>
      <c r="L14">
        <v>13500</v>
      </c>
      <c r="M14">
        <v>13.203666999999999</v>
      </c>
      <c r="N14">
        <v>101.02302</v>
      </c>
      <c r="O14">
        <v>0.22</v>
      </c>
      <c r="P14">
        <v>1.97</v>
      </c>
      <c r="Q14">
        <v>2.52</v>
      </c>
      <c r="R14">
        <v>1.0900000000000001</v>
      </c>
      <c r="S14">
        <v>0</v>
      </c>
      <c r="T14">
        <v>33.169998</v>
      </c>
      <c r="U14">
        <v>1.42</v>
      </c>
      <c r="V14">
        <v>7.0000000000000007E-2</v>
      </c>
      <c r="W14">
        <v>0</v>
      </c>
      <c r="X14">
        <v>6046.9664979999998</v>
      </c>
      <c r="Y14">
        <v>862605.18203200004</v>
      </c>
    </row>
    <row r="15" spans="1:25" x14ac:dyDescent="0.55000000000000004">
      <c r="A15">
        <v>13</v>
      </c>
      <c r="B15" t="s">
        <v>20</v>
      </c>
      <c r="C15">
        <v>2</v>
      </c>
      <c r="D15">
        <v>2</v>
      </c>
      <c r="E15" t="s">
        <v>23</v>
      </c>
      <c r="F15" t="s">
        <v>24</v>
      </c>
      <c r="G15">
        <v>20</v>
      </c>
      <c r="H15">
        <v>2</v>
      </c>
      <c r="I15">
        <v>20020000</v>
      </c>
      <c r="J15">
        <v>688</v>
      </c>
      <c r="K15">
        <v>0</v>
      </c>
      <c r="L15">
        <v>13381</v>
      </c>
      <c r="M15">
        <v>13.122719</v>
      </c>
      <c r="N15">
        <v>101.10615</v>
      </c>
      <c r="O15">
        <v>2.12</v>
      </c>
      <c r="P15">
        <v>0.11</v>
      </c>
      <c r="Q15">
        <v>8.19</v>
      </c>
      <c r="R15">
        <v>1.79</v>
      </c>
      <c r="S15">
        <v>0.17</v>
      </c>
      <c r="T15">
        <v>91.879997000000003</v>
      </c>
      <c r="U15">
        <v>2.96</v>
      </c>
      <c r="V15">
        <v>0.2</v>
      </c>
      <c r="W15">
        <v>0</v>
      </c>
      <c r="X15">
        <v>5197.0415380000004</v>
      </c>
      <c r="Y15">
        <v>781012.65754100005</v>
      </c>
    </row>
    <row r="16" spans="1:25" x14ac:dyDescent="0.55000000000000004">
      <c r="A16">
        <v>14</v>
      </c>
      <c r="B16" t="s">
        <v>20</v>
      </c>
      <c r="C16">
        <v>2</v>
      </c>
      <c r="D16">
        <v>2</v>
      </c>
      <c r="E16" t="s">
        <v>23</v>
      </c>
      <c r="F16" t="s">
        <v>24</v>
      </c>
      <c r="G16">
        <v>20</v>
      </c>
      <c r="H16">
        <v>2</v>
      </c>
      <c r="I16">
        <v>20020000</v>
      </c>
      <c r="J16">
        <v>689</v>
      </c>
      <c r="K16">
        <v>0</v>
      </c>
      <c r="L16">
        <v>13502</v>
      </c>
      <c r="M16">
        <v>13.203666999999999</v>
      </c>
      <c r="N16">
        <v>101.189285</v>
      </c>
      <c r="O16">
        <v>0.09</v>
      </c>
      <c r="P16">
        <v>3.11</v>
      </c>
      <c r="Q16">
        <v>14.83</v>
      </c>
      <c r="R16">
        <v>24.59</v>
      </c>
      <c r="S16">
        <v>0</v>
      </c>
      <c r="T16">
        <v>78.010002</v>
      </c>
      <c r="U16">
        <v>2.37</v>
      </c>
      <c r="V16">
        <v>0.9</v>
      </c>
      <c r="W16">
        <v>0</v>
      </c>
      <c r="X16">
        <v>35941.963222999999</v>
      </c>
      <c r="Y16">
        <v>80738223.140100002</v>
      </c>
    </row>
    <row r="17" spans="1:25" x14ac:dyDescent="0.55000000000000004">
      <c r="A17">
        <v>15</v>
      </c>
      <c r="B17" t="s">
        <v>20</v>
      </c>
      <c r="C17">
        <v>2</v>
      </c>
      <c r="D17">
        <v>2</v>
      </c>
      <c r="E17" t="s">
        <v>23</v>
      </c>
      <c r="F17" t="s">
        <v>24</v>
      </c>
      <c r="G17">
        <v>20</v>
      </c>
      <c r="H17">
        <v>2</v>
      </c>
      <c r="I17">
        <v>20020000</v>
      </c>
      <c r="J17">
        <v>690</v>
      </c>
      <c r="K17">
        <v>0</v>
      </c>
      <c r="L17">
        <v>13501</v>
      </c>
      <c r="M17">
        <v>13.203666999999999</v>
      </c>
      <c r="N17">
        <v>101.10615</v>
      </c>
      <c r="O17">
        <v>2.27</v>
      </c>
      <c r="P17">
        <v>0</v>
      </c>
      <c r="Q17">
        <v>32.360000999999997</v>
      </c>
      <c r="R17">
        <v>7.44</v>
      </c>
      <c r="S17">
        <v>0</v>
      </c>
      <c r="T17">
        <v>71.300003000000004</v>
      </c>
      <c r="U17">
        <v>0.67</v>
      </c>
      <c r="V17">
        <v>0.01</v>
      </c>
      <c r="W17">
        <v>0</v>
      </c>
      <c r="X17">
        <v>34328.916538999998</v>
      </c>
      <c r="Y17">
        <v>59513869.592600003</v>
      </c>
    </row>
    <row r="18" spans="1:25" x14ac:dyDescent="0.55000000000000004">
      <c r="A18">
        <v>16</v>
      </c>
      <c r="B18" t="s">
        <v>20</v>
      </c>
      <c r="C18">
        <v>2</v>
      </c>
      <c r="D18">
        <v>2</v>
      </c>
      <c r="E18" t="s">
        <v>23</v>
      </c>
      <c r="F18" t="s">
        <v>24</v>
      </c>
      <c r="G18">
        <v>20</v>
      </c>
      <c r="H18">
        <v>2</v>
      </c>
      <c r="I18">
        <v>20020000</v>
      </c>
      <c r="J18">
        <v>691</v>
      </c>
      <c r="K18">
        <v>0</v>
      </c>
      <c r="L18">
        <v>13382</v>
      </c>
      <c r="M18">
        <v>13.122719</v>
      </c>
      <c r="N18">
        <v>101.189285</v>
      </c>
      <c r="O18">
        <v>3.57</v>
      </c>
      <c r="P18">
        <v>0</v>
      </c>
      <c r="Q18">
        <v>3.4</v>
      </c>
      <c r="R18">
        <v>1.1299999999999999</v>
      </c>
      <c r="S18">
        <v>0</v>
      </c>
      <c r="T18">
        <v>92.800003000000004</v>
      </c>
      <c r="U18">
        <v>2.93</v>
      </c>
      <c r="V18">
        <v>8.3699999999999992</v>
      </c>
      <c r="W18">
        <v>0</v>
      </c>
      <c r="X18">
        <v>31613.413950999999</v>
      </c>
      <c r="Y18">
        <v>52013607.299800001</v>
      </c>
    </row>
    <row r="19" spans="1:25" x14ac:dyDescent="0.55000000000000004">
      <c r="A19">
        <v>17</v>
      </c>
      <c r="B19" t="s">
        <v>20</v>
      </c>
      <c r="C19">
        <v>2</v>
      </c>
      <c r="D19">
        <v>2</v>
      </c>
      <c r="E19" t="s">
        <v>23</v>
      </c>
      <c r="F19" t="s">
        <v>24</v>
      </c>
      <c r="G19">
        <v>20</v>
      </c>
      <c r="H19">
        <v>2</v>
      </c>
      <c r="I19">
        <v>20020000</v>
      </c>
      <c r="J19">
        <v>693</v>
      </c>
      <c r="K19">
        <v>0</v>
      </c>
      <c r="L19">
        <v>13740</v>
      </c>
      <c r="M19">
        <v>13.365479000000001</v>
      </c>
      <c r="N19">
        <v>101.02302</v>
      </c>
      <c r="O19">
        <v>1.94</v>
      </c>
      <c r="P19">
        <v>16.649999999999999</v>
      </c>
      <c r="Q19">
        <v>16.649999999999999</v>
      </c>
      <c r="R19">
        <v>6.78</v>
      </c>
      <c r="S19">
        <v>0.44</v>
      </c>
      <c r="T19">
        <v>34.099997999999999</v>
      </c>
      <c r="U19">
        <v>3.39</v>
      </c>
      <c r="V19">
        <v>0.05</v>
      </c>
      <c r="W19">
        <v>0</v>
      </c>
      <c r="X19">
        <v>16894.057323000001</v>
      </c>
      <c r="Y19">
        <v>5674352.5573000005</v>
      </c>
    </row>
    <row r="20" spans="1:25" x14ac:dyDescent="0.55000000000000004">
      <c r="A20">
        <v>18</v>
      </c>
      <c r="B20" t="s">
        <v>20</v>
      </c>
      <c r="C20">
        <v>2</v>
      </c>
      <c r="D20">
        <v>2</v>
      </c>
      <c r="E20" t="s">
        <v>23</v>
      </c>
      <c r="F20" t="s">
        <v>24</v>
      </c>
      <c r="G20">
        <v>20</v>
      </c>
      <c r="H20">
        <v>2</v>
      </c>
      <c r="I20">
        <v>20020000</v>
      </c>
      <c r="J20">
        <v>694</v>
      </c>
      <c r="K20">
        <v>0</v>
      </c>
      <c r="L20">
        <v>13621</v>
      </c>
      <c r="M20">
        <v>13.284592</v>
      </c>
      <c r="N20">
        <v>101.10615</v>
      </c>
      <c r="O20">
        <v>0.01</v>
      </c>
      <c r="P20">
        <v>27.23</v>
      </c>
      <c r="Q20">
        <v>2.86</v>
      </c>
      <c r="R20">
        <v>1.07</v>
      </c>
      <c r="S20">
        <v>0</v>
      </c>
      <c r="T20">
        <v>25.360001</v>
      </c>
      <c r="U20">
        <v>1.22</v>
      </c>
      <c r="V20">
        <v>0.03</v>
      </c>
      <c r="W20">
        <v>0</v>
      </c>
      <c r="X20">
        <v>36279.727752999999</v>
      </c>
      <c r="Y20">
        <v>77637659.508200005</v>
      </c>
    </row>
    <row r="21" spans="1:25" x14ac:dyDescent="0.55000000000000004">
      <c r="A21">
        <v>19</v>
      </c>
      <c r="B21" t="s">
        <v>20</v>
      </c>
      <c r="C21">
        <v>2</v>
      </c>
      <c r="D21">
        <v>2</v>
      </c>
      <c r="E21" t="s">
        <v>23</v>
      </c>
      <c r="F21" t="s">
        <v>24</v>
      </c>
      <c r="G21">
        <v>20</v>
      </c>
      <c r="H21">
        <v>2</v>
      </c>
      <c r="I21">
        <v>20020000</v>
      </c>
      <c r="J21">
        <v>695</v>
      </c>
      <c r="K21">
        <v>0</v>
      </c>
      <c r="L21">
        <v>13620</v>
      </c>
      <c r="M21">
        <v>13.284592</v>
      </c>
      <c r="N21">
        <v>101.02302</v>
      </c>
      <c r="O21">
        <v>2.91</v>
      </c>
      <c r="P21">
        <v>8.7100000000000009</v>
      </c>
      <c r="Q21">
        <v>1.0900000000000001</v>
      </c>
      <c r="R21">
        <v>0.09</v>
      </c>
      <c r="S21">
        <v>0.45</v>
      </c>
      <c r="T21">
        <v>35.630001</v>
      </c>
      <c r="U21">
        <v>1.78</v>
      </c>
      <c r="V21">
        <v>0.02</v>
      </c>
      <c r="W21">
        <v>0</v>
      </c>
      <c r="X21">
        <v>10840.955751</v>
      </c>
      <c r="Y21">
        <v>3148376.94331</v>
      </c>
    </row>
    <row r="22" spans="1:25" x14ac:dyDescent="0.55000000000000004">
      <c r="A22">
        <v>20</v>
      </c>
      <c r="B22" t="s">
        <v>20</v>
      </c>
      <c r="C22">
        <v>2</v>
      </c>
      <c r="D22">
        <v>2</v>
      </c>
      <c r="E22" t="s">
        <v>23</v>
      </c>
      <c r="F22" t="s">
        <v>24</v>
      </c>
      <c r="G22">
        <v>20</v>
      </c>
      <c r="H22">
        <v>2</v>
      </c>
      <c r="I22">
        <v>20020000</v>
      </c>
      <c r="J22">
        <v>696</v>
      </c>
      <c r="K22">
        <v>0</v>
      </c>
      <c r="L22">
        <v>13622</v>
      </c>
      <c r="M22">
        <v>13.284592</v>
      </c>
      <c r="N22">
        <v>101.189285</v>
      </c>
      <c r="O22">
        <v>0</v>
      </c>
      <c r="P22">
        <v>0.56000000000000005</v>
      </c>
      <c r="Q22">
        <v>1.0900000000000001</v>
      </c>
      <c r="R22">
        <v>3.93</v>
      </c>
      <c r="S22">
        <v>0</v>
      </c>
      <c r="T22">
        <v>34.340000000000003</v>
      </c>
      <c r="U22">
        <v>7.23</v>
      </c>
      <c r="V22">
        <v>0.01</v>
      </c>
      <c r="W22">
        <v>0</v>
      </c>
      <c r="X22">
        <v>35929.355449000002</v>
      </c>
      <c r="Y22">
        <v>80681579.727599993</v>
      </c>
    </row>
    <row r="23" spans="1:25" x14ac:dyDescent="0.55000000000000004">
      <c r="A23">
        <v>21</v>
      </c>
      <c r="B23" t="s">
        <v>20</v>
      </c>
      <c r="C23">
        <v>2</v>
      </c>
      <c r="D23">
        <v>2</v>
      </c>
      <c r="E23" t="s">
        <v>23</v>
      </c>
      <c r="F23" t="s">
        <v>24</v>
      </c>
      <c r="G23">
        <v>20</v>
      </c>
      <c r="H23">
        <v>2</v>
      </c>
      <c r="I23">
        <v>20020000</v>
      </c>
      <c r="J23">
        <v>721</v>
      </c>
      <c r="K23">
        <v>0</v>
      </c>
      <c r="L23">
        <v>13742</v>
      </c>
      <c r="M23">
        <v>13.365479000000001</v>
      </c>
      <c r="N23">
        <v>101.189285</v>
      </c>
      <c r="O23">
        <v>0.63</v>
      </c>
      <c r="P23">
        <v>0.32</v>
      </c>
      <c r="Q23">
        <v>0.33</v>
      </c>
      <c r="R23">
        <v>1.3</v>
      </c>
      <c r="S23">
        <v>0</v>
      </c>
      <c r="T23">
        <v>40.090000000000003</v>
      </c>
      <c r="U23">
        <v>2.78</v>
      </c>
      <c r="V23">
        <v>0</v>
      </c>
      <c r="W23">
        <v>0</v>
      </c>
      <c r="X23">
        <v>31367.177658000001</v>
      </c>
      <c r="Y23">
        <v>35343288.309</v>
      </c>
    </row>
    <row r="24" spans="1:25" x14ac:dyDescent="0.55000000000000004">
      <c r="A24">
        <v>22</v>
      </c>
      <c r="B24" t="s">
        <v>20</v>
      </c>
      <c r="C24">
        <v>2</v>
      </c>
      <c r="D24">
        <v>2</v>
      </c>
      <c r="E24" t="s">
        <v>23</v>
      </c>
      <c r="F24" t="s">
        <v>24</v>
      </c>
      <c r="G24">
        <v>20</v>
      </c>
      <c r="H24">
        <v>2</v>
      </c>
      <c r="I24">
        <v>20020000</v>
      </c>
      <c r="J24">
        <v>734</v>
      </c>
      <c r="K24">
        <v>0</v>
      </c>
      <c r="L24">
        <v>13383</v>
      </c>
      <c r="M24">
        <v>13.122719</v>
      </c>
      <c r="N24">
        <v>101.27242</v>
      </c>
      <c r="O24">
        <v>3.83</v>
      </c>
      <c r="P24">
        <v>0</v>
      </c>
      <c r="Q24">
        <v>0.14000000000000001</v>
      </c>
      <c r="R24">
        <v>2.57</v>
      </c>
      <c r="S24">
        <v>0</v>
      </c>
      <c r="T24">
        <v>45.52</v>
      </c>
      <c r="U24">
        <v>4.59</v>
      </c>
      <c r="V24">
        <v>3.34</v>
      </c>
      <c r="W24">
        <v>0</v>
      </c>
      <c r="X24">
        <v>21059.517190999999</v>
      </c>
      <c r="Y24">
        <v>16513613.932600001</v>
      </c>
    </row>
    <row r="25" spans="1:25" x14ac:dyDescent="0.55000000000000004">
      <c r="A25">
        <v>23</v>
      </c>
      <c r="B25" t="s">
        <v>20</v>
      </c>
      <c r="C25">
        <v>2</v>
      </c>
      <c r="D25">
        <v>2</v>
      </c>
      <c r="E25" t="s">
        <v>23</v>
      </c>
      <c r="F25" t="s">
        <v>24</v>
      </c>
      <c r="G25">
        <v>20</v>
      </c>
      <c r="H25">
        <v>2</v>
      </c>
      <c r="I25">
        <v>20020000</v>
      </c>
      <c r="J25">
        <v>736</v>
      </c>
      <c r="K25">
        <v>0</v>
      </c>
      <c r="L25">
        <v>13624</v>
      </c>
      <c r="M25">
        <v>13.284592</v>
      </c>
      <c r="N25">
        <v>101.35556</v>
      </c>
      <c r="O25">
        <v>1.54</v>
      </c>
      <c r="P25">
        <v>0.14000000000000001</v>
      </c>
      <c r="Q25">
        <v>9.5299999999999994</v>
      </c>
      <c r="R25">
        <v>3.86</v>
      </c>
      <c r="S25">
        <v>0.2</v>
      </c>
      <c r="T25">
        <v>42.799999</v>
      </c>
      <c r="U25">
        <v>4.95</v>
      </c>
      <c r="V25">
        <v>3.98</v>
      </c>
      <c r="W25">
        <v>0</v>
      </c>
      <c r="X25">
        <v>7138.2365769999997</v>
      </c>
      <c r="Y25">
        <v>973348.398101</v>
      </c>
    </row>
    <row r="26" spans="1:25" x14ac:dyDescent="0.55000000000000004">
      <c r="A26">
        <v>24</v>
      </c>
      <c r="B26" t="s">
        <v>20</v>
      </c>
      <c r="C26">
        <v>2</v>
      </c>
      <c r="D26">
        <v>2</v>
      </c>
      <c r="E26" t="s">
        <v>23</v>
      </c>
      <c r="F26" t="s">
        <v>24</v>
      </c>
      <c r="G26">
        <v>20</v>
      </c>
      <c r="H26">
        <v>2</v>
      </c>
      <c r="I26">
        <v>20020000</v>
      </c>
      <c r="J26">
        <v>737</v>
      </c>
      <c r="K26">
        <v>0</v>
      </c>
      <c r="L26">
        <v>13503</v>
      </c>
      <c r="M26">
        <v>13.203666999999999</v>
      </c>
      <c r="N26">
        <v>101.27242</v>
      </c>
      <c r="O26">
        <v>0.64</v>
      </c>
      <c r="P26">
        <v>0.32</v>
      </c>
      <c r="Q26">
        <v>1.55</v>
      </c>
      <c r="R26">
        <v>3.9</v>
      </c>
      <c r="S26">
        <v>0</v>
      </c>
      <c r="T26">
        <v>65.569999999999993</v>
      </c>
      <c r="U26">
        <v>11.08</v>
      </c>
      <c r="V26">
        <v>5.77</v>
      </c>
      <c r="W26">
        <v>0</v>
      </c>
      <c r="X26">
        <v>38916.097486999999</v>
      </c>
      <c r="Y26">
        <v>61287593.944600001</v>
      </c>
    </row>
    <row r="27" spans="1:25" x14ac:dyDescent="0.55000000000000004">
      <c r="A27">
        <v>25</v>
      </c>
      <c r="B27" t="s">
        <v>20</v>
      </c>
      <c r="C27">
        <v>2</v>
      </c>
      <c r="D27">
        <v>2</v>
      </c>
      <c r="E27" t="s">
        <v>23</v>
      </c>
      <c r="F27" t="s">
        <v>24</v>
      </c>
      <c r="G27">
        <v>20</v>
      </c>
      <c r="H27">
        <v>2</v>
      </c>
      <c r="I27">
        <v>20020000</v>
      </c>
      <c r="J27">
        <v>738</v>
      </c>
      <c r="K27">
        <v>0</v>
      </c>
      <c r="L27">
        <v>13504</v>
      </c>
      <c r="M27">
        <v>13.203666999999999</v>
      </c>
      <c r="N27">
        <v>101.35556</v>
      </c>
      <c r="O27">
        <v>0.34</v>
      </c>
      <c r="P27">
        <v>0.34</v>
      </c>
      <c r="Q27">
        <v>1.1299999999999999</v>
      </c>
      <c r="R27">
        <v>2.7</v>
      </c>
      <c r="S27">
        <v>0.02</v>
      </c>
      <c r="T27">
        <v>43.509998000000003</v>
      </c>
      <c r="U27">
        <v>7.4</v>
      </c>
      <c r="V27">
        <v>12.8</v>
      </c>
      <c r="W27">
        <v>0</v>
      </c>
      <c r="X27">
        <v>1705.6573089999999</v>
      </c>
      <c r="Y27">
        <v>65542.469253999996</v>
      </c>
    </row>
    <row r="28" spans="1:25" x14ac:dyDescent="0.55000000000000004">
      <c r="A28">
        <v>26</v>
      </c>
      <c r="B28" t="s">
        <v>20</v>
      </c>
      <c r="C28">
        <v>2</v>
      </c>
      <c r="D28">
        <v>2</v>
      </c>
      <c r="E28" t="s">
        <v>23</v>
      </c>
      <c r="F28" t="s">
        <v>24</v>
      </c>
      <c r="G28">
        <v>20</v>
      </c>
      <c r="H28">
        <v>2</v>
      </c>
      <c r="I28">
        <v>20020000</v>
      </c>
      <c r="J28">
        <v>740</v>
      </c>
      <c r="K28">
        <v>0</v>
      </c>
      <c r="L28">
        <v>13623</v>
      </c>
      <c r="M28">
        <v>13.284592</v>
      </c>
      <c r="N28">
        <v>101.27242</v>
      </c>
      <c r="O28">
        <v>7.0000000000000007E-2</v>
      </c>
      <c r="P28">
        <v>4.38</v>
      </c>
      <c r="Q28">
        <v>0.7</v>
      </c>
      <c r="R28">
        <v>9.3699999999999992</v>
      </c>
      <c r="S28">
        <v>2.34</v>
      </c>
      <c r="T28">
        <v>47.98</v>
      </c>
      <c r="U28">
        <v>8.1300000000000008</v>
      </c>
      <c r="V28">
        <v>0.08</v>
      </c>
      <c r="W28">
        <v>0</v>
      </c>
      <c r="X28">
        <v>34277.738344999998</v>
      </c>
      <c r="Y28">
        <v>66434524.860699996</v>
      </c>
    </row>
    <row r="29" spans="1:25" x14ac:dyDescent="0.55000000000000004">
      <c r="A29">
        <v>27</v>
      </c>
      <c r="B29" t="s">
        <v>20</v>
      </c>
      <c r="C29">
        <v>2</v>
      </c>
      <c r="D29">
        <v>2</v>
      </c>
      <c r="E29" t="s">
        <v>23</v>
      </c>
      <c r="F29" t="s">
        <v>24</v>
      </c>
      <c r="G29">
        <v>20</v>
      </c>
      <c r="H29">
        <v>2</v>
      </c>
      <c r="I29">
        <v>20020000</v>
      </c>
      <c r="J29">
        <v>741</v>
      </c>
      <c r="K29">
        <v>0</v>
      </c>
      <c r="L29">
        <v>13743</v>
      </c>
      <c r="M29">
        <v>13.365479000000001</v>
      </c>
      <c r="N29">
        <v>101.27242</v>
      </c>
      <c r="O29">
        <v>0.32</v>
      </c>
      <c r="P29">
        <v>0.06</v>
      </c>
      <c r="Q29">
        <v>0.02</v>
      </c>
      <c r="R29">
        <v>2.44</v>
      </c>
      <c r="S29">
        <v>0.02</v>
      </c>
      <c r="T29">
        <v>11.6</v>
      </c>
      <c r="U29">
        <v>4.04</v>
      </c>
      <c r="V29">
        <v>0</v>
      </c>
      <c r="W29">
        <v>0</v>
      </c>
      <c r="X29">
        <v>5280.9719240000004</v>
      </c>
      <c r="Y29">
        <v>989306.92753800005</v>
      </c>
    </row>
    <row r="30" spans="1:25" x14ac:dyDescent="0.55000000000000004">
      <c r="A30">
        <v>28</v>
      </c>
      <c r="B30" t="s">
        <v>20</v>
      </c>
      <c r="C30">
        <v>3</v>
      </c>
      <c r="D30">
        <v>3</v>
      </c>
      <c r="E30" t="s">
        <v>25</v>
      </c>
      <c r="F30" t="s">
        <v>26</v>
      </c>
      <c r="G30">
        <v>20</v>
      </c>
      <c r="H30">
        <v>2</v>
      </c>
      <c r="I30">
        <v>20030000</v>
      </c>
      <c r="J30">
        <v>277</v>
      </c>
      <c r="K30">
        <v>0</v>
      </c>
      <c r="L30">
        <v>13263</v>
      </c>
      <c r="M30">
        <v>13.041733000000001</v>
      </c>
      <c r="N30">
        <v>101.27242</v>
      </c>
      <c r="O30">
        <v>1.27</v>
      </c>
      <c r="P30">
        <v>0</v>
      </c>
      <c r="Q30">
        <v>0.98</v>
      </c>
      <c r="R30">
        <v>3.08</v>
      </c>
      <c r="S30">
        <v>1.43</v>
      </c>
      <c r="T30">
        <v>63.950001</v>
      </c>
      <c r="U30">
        <v>5.75</v>
      </c>
      <c r="V30">
        <v>22.07</v>
      </c>
      <c r="W30">
        <v>0.79</v>
      </c>
      <c r="X30">
        <v>23366.041347999999</v>
      </c>
      <c r="Y30">
        <v>14941297.771</v>
      </c>
    </row>
    <row r="31" spans="1:25" x14ac:dyDescent="0.55000000000000004">
      <c r="A31">
        <v>29</v>
      </c>
      <c r="B31" t="s">
        <v>20</v>
      </c>
      <c r="C31">
        <v>3</v>
      </c>
      <c r="D31">
        <v>3</v>
      </c>
      <c r="E31" t="s">
        <v>25</v>
      </c>
      <c r="F31" t="s">
        <v>26</v>
      </c>
      <c r="G31">
        <v>20</v>
      </c>
      <c r="H31">
        <v>2</v>
      </c>
      <c r="I31">
        <v>20030000</v>
      </c>
      <c r="J31">
        <v>278</v>
      </c>
      <c r="K31">
        <v>0</v>
      </c>
      <c r="L31">
        <v>13262</v>
      </c>
      <c r="M31">
        <v>13.041733000000001</v>
      </c>
      <c r="N31">
        <v>101.189285</v>
      </c>
      <c r="O31">
        <v>2.85</v>
      </c>
      <c r="P31">
        <v>0.01</v>
      </c>
      <c r="Q31">
        <v>0.88</v>
      </c>
      <c r="R31">
        <v>0.12</v>
      </c>
      <c r="S31">
        <v>2.9</v>
      </c>
      <c r="T31">
        <v>42.27</v>
      </c>
      <c r="U31">
        <v>4.16</v>
      </c>
      <c r="V31">
        <v>21.74</v>
      </c>
      <c r="W31">
        <v>0.01</v>
      </c>
      <c r="X31">
        <v>4490.1420129999997</v>
      </c>
      <c r="Y31">
        <v>1041015.66152</v>
      </c>
    </row>
    <row r="32" spans="1:25" x14ac:dyDescent="0.55000000000000004">
      <c r="A32">
        <v>30</v>
      </c>
      <c r="B32" t="s">
        <v>20</v>
      </c>
      <c r="C32">
        <v>3</v>
      </c>
      <c r="D32">
        <v>3</v>
      </c>
      <c r="E32" t="s">
        <v>25</v>
      </c>
      <c r="F32" t="s">
        <v>26</v>
      </c>
      <c r="G32">
        <v>20</v>
      </c>
      <c r="H32">
        <v>2</v>
      </c>
      <c r="I32">
        <v>20030000</v>
      </c>
      <c r="J32">
        <v>289</v>
      </c>
      <c r="K32">
        <v>0</v>
      </c>
      <c r="L32">
        <v>13265</v>
      </c>
      <c r="M32">
        <v>13.041733000000001</v>
      </c>
      <c r="N32">
        <v>101.4387</v>
      </c>
      <c r="O32">
        <v>0.31</v>
      </c>
      <c r="P32">
        <v>0.03</v>
      </c>
      <c r="Q32">
        <v>0.69</v>
      </c>
      <c r="R32">
        <v>0.01</v>
      </c>
      <c r="S32">
        <v>34.330002</v>
      </c>
      <c r="T32">
        <v>6.61</v>
      </c>
      <c r="U32">
        <v>3.3</v>
      </c>
      <c r="V32">
        <v>11.41</v>
      </c>
      <c r="W32">
        <v>0.14000000000000001</v>
      </c>
      <c r="X32">
        <v>35406.774944999997</v>
      </c>
      <c r="Y32">
        <v>44484911.422600001</v>
      </c>
    </row>
    <row r="33" spans="1:25" x14ac:dyDescent="0.55000000000000004">
      <c r="A33">
        <v>31</v>
      </c>
      <c r="B33" t="s">
        <v>20</v>
      </c>
      <c r="C33">
        <v>3</v>
      </c>
      <c r="D33">
        <v>3</v>
      </c>
      <c r="E33" t="s">
        <v>25</v>
      </c>
      <c r="F33" t="s">
        <v>26</v>
      </c>
      <c r="G33">
        <v>20</v>
      </c>
      <c r="H33">
        <v>2</v>
      </c>
      <c r="I33">
        <v>20030000</v>
      </c>
      <c r="J33">
        <v>290</v>
      </c>
      <c r="K33">
        <v>0</v>
      </c>
      <c r="L33">
        <v>13264</v>
      </c>
      <c r="M33">
        <v>13.041733000000001</v>
      </c>
      <c r="N33">
        <v>101.35556</v>
      </c>
      <c r="O33">
        <v>0.9</v>
      </c>
      <c r="P33">
        <v>1.3</v>
      </c>
      <c r="Q33">
        <v>0.12</v>
      </c>
      <c r="R33">
        <v>0.22</v>
      </c>
      <c r="S33">
        <v>7.49</v>
      </c>
      <c r="T33">
        <v>10.43</v>
      </c>
      <c r="U33">
        <v>7.26</v>
      </c>
      <c r="V33">
        <v>6.97</v>
      </c>
      <c r="W33">
        <v>0.05</v>
      </c>
      <c r="X33">
        <v>26246.72797</v>
      </c>
      <c r="Y33">
        <v>25261815.326499999</v>
      </c>
    </row>
    <row r="34" spans="1:25" x14ac:dyDescent="0.55000000000000004">
      <c r="A34">
        <v>32</v>
      </c>
      <c r="B34" t="s">
        <v>20</v>
      </c>
      <c r="C34">
        <v>3</v>
      </c>
      <c r="D34">
        <v>3</v>
      </c>
      <c r="E34" t="s">
        <v>25</v>
      </c>
      <c r="F34" t="s">
        <v>26</v>
      </c>
      <c r="G34">
        <v>20</v>
      </c>
      <c r="H34">
        <v>2</v>
      </c>
      <c r="I34">
        <v>20030000</v>
      </c>
      <c r="J34">
        <v>304</v>
      </c>
      <c r="K34">
        <v>0</v>
      </c>
      <c r="L34">
        <v>13266</v>
      </c>
      <c r="M34">
        <v>13.041733000000001</v>
      </c>
      <c r="N34">
        <v>101.52182999999999</v>
      </c>
      <c r="O34">
        <v>1.22</v>
      </c>
      <c r="P34">
        <v>0.01</v>
      </c>
      <c r="Q34">
        <v>6.37</v>
      </c>
      <c r="R34">
        <v>7.0000000000000007E-2</v>
      </c>
      <c r="S34">
        <v>11.69</v>
      </c>
      <c r="T34">
        <v>6.71</v>
      </c>
      <c r="U34">
        <v>8.59</v>
      </c>
      <c r="V34">
        <v>4.3</v>
      </c>
      <c r="W34">
        <v>0.2</v>
      </c>
      <c r="X34">
        <v>22779.458835000001</v>
      </c>
      <c r="Y34">
        <v>14266979.807700001</v>
      </c>
    </row>
    <row r="35" spans="1:25" x14ac:dyDescent="0.55000000000000004">
      <c r="A35">
        <v>33</v>
      </c>
      <c r="B35" t="s">
        <v>20</v>
      </c>
      <c r="C35">
        <v>3</v>
      </c>
      <c r="D35">
        <v>3</v>
      </c>
      <c r="E35" t="s">
        <v>25</v>
      </c>
      <c r="F35" t="s">
        <v>26</v>
      </c>
      <c r="G35">
        <v>20</v>
      </c>
      <c r="H35">
        <v>2</v>
      </c>
      <c r="I35">
        <v>20030000</v>
      </c>
      <c r="J35">
        <v>691</v>
      </c>
      <c r="K35">
        <v>0</v>
      </c>
      <c r="L35">
        <v>13382</v>
      </c>
      <c r="M35">
        <v>13.122719</v>
      </c>
      <c r="N35">
        <v>101.189285</v>
      </c>
      <c r="O35">
        <v>3.57</v>
      </c>
      <c r="P35">
        <v>0</v>
      </c>
      <c r="Q35">
        <v>3.4</v>
      </c>
      <c r="R35">
        <v>1.1299999999999999</v>
      </c>
      <c r="S35">
        <v>0</v>
      </c>
      <c r="T35">
        <v>92.800003000000004</v>
      </c>
      <c r="U35">
        <v>2.93</v>
      </c>
      <c r="V35">
        <v>8.3699999999999992</v>
      </c>
      <c r="W35">
        <v>0</v>
      </c>
      <c r="X35">
        <v>4551.9093249999996</v>
      </c>
      <c r="Y35">
        <v>1286389.32427</v>
      </c>
    </row>
    <row r="36" spans="1:25" x14ac:dyDescent="0.55000000000000004">
      <c r="A36">
        <v>34</v>
      </c>
      <c r="B36" t="s">
        <v>20</v>
      </c>
      <c r="C36">
        <v>3</v>
      </c>
      <c r="D36">
        <v>3</v>
      </c>
      <c r="E36" t="s">
        <v>25</v>
      </c>
      <c r="F36" t="s">
        <v>26</v>
      </c>
      <c r="G36">
        <v>20</v>
      </c>
      <c r="H36">
        <v>2</v>
      </c>
      <c r="I36">
        <v>20030000</v>
      </c>
      <c r="J36">
        <v>734</v>
      </c>
      <c r="K36">
        <v>0</v>
      </c>
      <c r="L36">
        <v>13383</v>
      </c>
      <c r="M36">
        <v>13.122719</v>
      </c>
      <c r="N36">
        <v>101.27242</v>
      </c>
      <c r="O36">
        <v>3.83</v>
      </c>
      <c r="P36">
        <v>0</v>
      </c>
      <c r="Q36">
        <v>0.14000000000000001</v>
      </c>
      <c r="R36">
        <v>2.57</v>
      </c>
      <c r="S36">
        <v>0</v>
      </c>
      <c r="T36">
        <v>45.52</v>
      </c>
      <c r="U36">
        <v>4.59</v>
      </c>
      <c r="V36">
        <v>3.34</v>
      </c>
      <c r="W36">
        <v>0</v>
      </c>
      <c r="X36">
        <v>37071.712599999999</v>
      </c>
      <c r="Y36">
        <v>64292272.173100002</v>
      </c>
    </row>
    <row r="37" spans="1:25" x14ac:dyDescent="0.55000000000000004">
      <c r="A37">
        <v>35</v>
      </c>
      <c r="B37" t="s">
        <v>20</v>
      </c>
      <c r="C37">
        <v>3</v>
      </c>
      <c r="D37">
        <v>3</v>
      </c>
      <c r="E37" t="s">
        <v>25</v>
      </c>
      <c r="F37" t="s">
        <v>26</v>
      </c>
      <c r="G37">
        <v>20</v>
      </c>
      <c r="H37">
        <v>2</v>
      </c>
      <c r="I37">
        <v>20030000</v>
      </c>
      <c r="J37">
        <v>735</v>
      </c>
      <c r="K37">
        <v>0</v>
      </c>
      <c r="L37">
        <v>13384</v>
      </c>
      <c r="M37">
        <v>13.122719</v>
      </c>
      <c r="N37">
        <v>101.35556</v>
      </c>
      <c r="O37">
        <v>0.4</v>
      </c>
      <c r="P37">
        <v>7.0000000000000007E-2</v>
      </c>
      <c r="Q37">
        <v>0.02</v>
      </c>
      <c r="R37">
        <v>0.97</v>
      </c>
      <c r="S37">
        <v>0.06</v>
      </c>
      <c r="T37">
        <v>24.940000999999999</v>
      </c>
      <c r="U37">
        <v>4.46</v>
      </c>
      <c r="V37">
        <v>4.47</v>
      </c>
      <c r="W37">
        <v>0</v>
      </c>
      <c r="X37">
        <v>36370.934427</v>
      </c>
      <c r="Y37">
        <v>80693975.955799997</v>
      </c>
    </row>
    <row r="38" spans="1:25" x14ac:dyDescent="0.55000000000000004">
      <c r="A38">
        <v>36</v>
      </c>
      <c r="B38" t="s">
        <v>20</v>
      </c>
      <c r="C38">
        <v>3</v>
      </c>
      <c r="D38">
        <v>3</v>
      </c>
      <c r="E38" t="s">
        <v>25</v>
      </c>
      <c r="F38" t="s">
        <v>26</v>
      </c>
      <c r="G38">
        <v>20</v>
      </c>
      <c r="H38">
        <v>2</v>
      </c>
      <c r="I38">
        <v>20030000</v>
      </c>
      <c r="J38">
        <v>736</v>
      </c>
      <c r="K38">
        <v>0</v>
      </c>
      <c r="L38">
        <v>13624</v>
      </c>
      <c r="M38">
        <v>13.284592</v>
      </c>
      <c r="N38">
        <v>101.35556</v>
      </c>
      <c r="O38">
        <v>1.54</v>
      </c>
      <c r="P38">
        <v>0.14000000000000001</v>
      </c>
      <c r="Q38">
        <v>9.5299999999999994</v>
      </c>
      <c r="R38">
        <v>3.86</v>
      </c>
      <c r="S38">
        <v>0.2</v>
      </c>
      <c r="T38">
        <v>42.799999</v>
      </c>
      <c r="U38">
        <v>4.95</v>
      </c>
      <c r="V38">
        <v>3.98</v>
      </c>
      <c r="W38">
        <v>0</v>
      </c>
      <c r="X38">
        <v>16575.799856000001</v>
      </c>
      <c r="Y38">
        <v>10969452.7523</v>
      </c>
    </row>
    <row r="39" spans="1:25" x14ac:dyDescent="0.55000000000000004">
      <c r="A39">
        <v>37</v>
      </c>
      <c r="B39" t="s">
        <v>20</v>
      </c>
      <c r="C39">
        <v>3</v>
      </c>
      <c r="D39">
        <v>3</v>
      </c>
      <c r="E39" t="s">
        <v>25</v>
      </c>
      <c r="F39" t="s">
        <v>26</v>
      </c>
      <c r="G39">
        <v>20</v>
      </c>
      <c r="H39">
        <v>2</v>
      </c>
      <c r="I39">
        <v>20030000</v>
      </c>
      <c r="J39">
        <v>737</v>
      </c>
      <c r="K39">
        <v>0</v>
      </c>
      <c r="L39">
        <v>13503</v>
      </c>
      <c r="M39">
        <v>13.203666999999999</v>
      </c>
      <c r="N39">
        <v>101.27242</v>
      </c>
      <c r="O39">
        <v>0.64</v>
      </c>
      <c r="P39">
        <v>0.32</v>
      </c>
      <c r="Q39">
        <v>1.55</v>
      </c>
      <c r="R39">
        <v>3.9</v>
      </c>
      <c r="S39">
        <v>0</v>
      </c>
      <c r="T39">
        <v>65.569999999999993</v>
      </c>
      <c r="U39">
        <v>11.08</v>
      </c>
      <c r="V39">
        <v>5.77</v>
      </c>
      <c r="W39">
        <v>0</v>
      </c>
      <c r="X39">
        <v>33887.897637000002</v>
      </c>
      <c r="Y39">
        <v>19461763.646600001</v>
      </c>
    </row>
    <row r="40" spans="1:25" x14ac:dyDescent="0.55000000000000004">
      <c r="A40">
        <v>38</v>
      </c>
      <c r="B40" t="s">
        <v>20</v>
      </c>
      <c r="C40">
        <v>3</v>
      </c>
      <c r="D40">
        <v>3</v>
      </c>
      <c r="E40" t="s">
        <v>25</v>
      </c>
      <c r="F40" t="s">
        <v>26</v>
      </c>
      <c r="G40">
        <v>20</v>
      </c>
      <c r="H40">
        <v>2</v>
      </c>
      <c r="I40">
        <v>20030000</v>
      </c>
      <c r="J40">
        <v>738</v>
      </c>
      <c r="K40">
        <v>0</v>
      </c>
      <c r="L40">
        <v>13504</v>
      </c>
      <c r="M40">
        <v>13.203666999999999</v>
      </c>
      <c r="N40">
        <v>101.35556</v>
      </c>
      <c r="O40">
        <v>0.34</v>
      </c>
      <c r="P40">
        <v>0.34</v>
      </c>
      <c r="Q40">
        <v>1.1299999999999999</v>
      </c>
      <c r="R40">
        <v>2.7</v>
      </c>
      <c r="S40">
        <v>0.02</v>
      </c>
      <c r="T40">
        <v>43.509998000000003</v>
      </c>
      <c r="U40">
        <v>7.4</v>
      </c>
      <c r="V40">
        <v>12.8</v>
      </c>
      <c r="W40">
        <v>0</v>
      </c>
      <c r="X40">
        <v>33824.041000999998</v>
      </c>
      <c r="Y40">
        <v>68974066.861300007</v>
      </c>
    </row>
    <row r="41" spans="1:25" x14ac:dyDescent="0.55000000000000004">
      <c r="A41">
        <v>39</v>
      </c>
      <c r="B41" t="s">
        <v>20</v>
      </c>
      <c r="C41">
        <v>3</v>
      </c>
      <c r="D41">
        <v>3</v>
      </c>
      <c r="E41" t="s">
        <v>25</v>
      </c>
      <c r="F41" t="s">
        <v>26</v>
      </c>
      <c r="G41">
        <v>20</v>
      </c>
      <c r="H41">
        <v>2</v>
      </c>
      <c r="I41">
        <v>20030000</v>
      </c>
      <c r="J41">
        <v>740</v>
      </c>
      <c r="K41">
        <v>0</v>
      </c>
      <c r="L41">
        <v>13623</v>
      </c>
      <c r="M41">
        <v>13.284592</v>
      </c>
      <c r="N41">
        <v>101.27242</v>
      </c>
      <c r="O41">
        <v>7.0000000000000007E-2</v>
      </c>
      <c r="P41">
        <v>4.38</v>
      </c>
      <c r="Q41">
        <v>0.7</v>
      </c>
      <c r="R41">
        <v>9.3699999999999992</v>
      </c>
      <c r="S41">
        <v>2.34</v>
      </c>
      <c r="T41">
        <v>47.98</v>
      </c>
      <c r="U41">
        <v>8.1300000000000008</v>
      </c>
      <c r="V41">
        <v>0.08</v>
      </c>
      <c r="W41">
        <v>0</v>
      </c>
      <c r="X41">
        <v>4242.8811889999997</v>
      </c>
      <c r="Y41">
        <v>763919.59398899996</v>
      </c>
    </row>
    <row r="42" spans="1:25" x14ac:dyDescent="0.55000000000000004">
      <c r="A42">
        <v>40</v>
      </c>
      <c r="B42" t="s">
        <v>20</v>
      </c>
      <c r="C42">
        <v>3</v>
      </c>
      <c r="D42">
        <v>3</v>
      </c>
      <c r="E42" t="s">
        <v>25</v>
      </c>
      <c r="F42" t="s">
        <v>26</v>
      </c>
      <c r="G42">
        <v>20</v>
      </c>
      <c r="H42">
        <v>2</v>
      </c>
      <c r="I42">
        <v>20030000</v>
      </c>
      <c r="J42">
        <v>744</v>
      </c>
      <c r="K42">
        <v>0</v>
      </c>
      <c r="L42">
        <v>13385</v>
      </c>
      <c r="M42">
        <v>13.122719</v>
      </c>
      <c r="N42">
        <v>101.4387</v>
      </c>
      <c r="O42">
        <v>0.02</v>
      </c>
      <c r="P42">
        <v>8.1999999999999993</v>
      </c>
      <c r="Q42">
        <v>0.01</v>
      </c>
      <c r="R42">
        <v>0.35</v>
      </c>
      <c r="S42">
        <v>9.27</v>
      </c>
      <c r="T42">
        <v>8.6999999999999993</v>
      </c>
      <c r="U42">
        <v>6.24</v>
      </c>
      <c r="V42">
        <v>0.41</v>
      </c>
      <c r="W42">
        <v>0.02</v>
      </c>
      <c r="X42">
        <v>37912.748378999997</v>
      </c>
      <c r="Y42">
        <v>68523676.922499999</v>
      </c>
    </row>
    <row r="43" spans="1:25" x14ac:dyDescent="0.55000000000000004">
      <c r="A43">
        <v>41</v>
      </c>
      <c r="B43" t="s">
        <v>20</v>
      </c>
      <c r="C43">
        <v>3</v>
      </c>
      <c r="D43">
        <v>3</v>
      </c>
      <c r="E43" t="s">
        <v>25</v>
      </c>
      <c r="F43" t="s">
        <v>26</v>
      </c>
      <c r="G43">
        <v>20</v>
      </c>
      <c r="H43">
        <v>2</v>
      </c>
      <c r="I43">
        <v>20030000</v>
      </c>
      <c r="J43">
        <v>745</v>
      </c>
      <c r="K43">
        <v>0</v>
      </c>
      <c r="L43">
        <v>13386</v>
      </c>
      <c r="M43">
        <v>13.122719</v>
      </c>
      <c r="N43">
        <v>101.52182999999999</v>
      </c>
      <c r="O43">
        <v>0.87</v>
      </c>
      <c r="P43">
        <v>0.16</v>
      </c>
      <c r="Q43">
        <v>0.3</v>
      </c>
      <c r="R43">
        <v>0.68</v>
      </c>
      <c r="S43">
        <v>5.83</v>
      </c>
      <c r="T43">
        <v>4.1100000000000003</v>
      </c>
      <c r="U43">
        <v>9.27</v>
      </c>
      <c r="V43">
        <v>0.76</v>
      </c>
      <c r="W43">
        <v>0.14000000000000001</v>
      </c>
      <c r="X43">
        <v>26869.324815</v>
      </c>
      <c r="Y43">
        <v>36598442.163199998</v>
      </c>
    </row>
    <row r="44" spans="1:25" x14ac:dyDescent="0.55000000000000004">
      <c r="A44">
        <v>42</v>
      </c>
      <c r="B44" t="s">
        <v>20</v>
      </c>
      <c r="C44">
        <v>3</v>
      </c>
      <c r="D44">
        <v>3</v>
      </c>
      <c r="E44" t="s">
        <v>25</v>
      </c>
      <c r="F44" t="s">
        <v>26</v>
      </c>
      <c r="G44">
        <v>20</v>
      </c>
      <c r="H44">
        <v>2</v>
      </c>
      <c r="I44">
        <v>20030000</v>
      </c>
      <c r="J44">
        <v>747</v>
      </c>
      <c r="K44">
        <v>0</v>
      </c>
      <c r="L44">
        <v>13505</v>
      </c>
      <c r="M44">
        <v>13.203666999999999</v>
      </c>
      <c r="N44">
        <v>101.4387</v>
      </c>
      <c r="O44">
        <v>0.26</v>
      </c>
      <c r="P44">
        <v>0.2</v>
      </c>
      <c r="Q44">
        <v>0.82</v>
      </c>
      <c r="R44">
        <v>4.0999999999999996</v>
      </c>
      <c r="S44">
        <v>0.01</v>
      </c>
      <c r="T44">
        <v>31.610001</v>
      </c>
      <c r="U44">
        <v>12</v>
      </c>
      <c r="V44">
        <v>6.41</v>
      </c>
      <c r="W44">
        <v>0</v>
      </c>
      <c r="X44">
        <v>9949.5405129999999</v>
      </c>
      <c r="Y44">
        <v>4445485.3074899996</v>
      </c>
    </row>
    <row r="45" spans="1:25" x14ac:dyDescent="0.55000000000000004">
      <c r="A45">
        <v>43</v>
      </c>
      <c r="B45" t="s">
        <v>20</v>
      </c>
      <c r="C45">
        <v>4</v>
      </c>
      <c r="D45">
        <v>4</v>
      </c>
      <c r="E45" t="s">
        <v>27</v>
      </c>
      <c r="F45" t="s">
        <v>28</v>
      </c>
      <c r="G45">
        <v>20</v>
      </c>
      <c r="H45">
        <v>2</v>
      </c>
      <c r="I45">
        <v>20040000</v>
      </c>
      <c r="J45">
        <v>213</v>
      </c>
      <c r="K45">
        <v>0</v>
      </c>
      <c r="L45">
        <v>12899</v>
      </c>
      <c r="M45">
        <v>12.798636999999999</v>
      </c>
      <c r="N45">
        <v>100.93988</v>
      </c>
      <c r="O45">
        <v>0.02</v>
      </c>
      <c r="P45">
        <v>8.75</v>
      </c>
      <c r="Q45">
        <v>1.63</v>
      </c>
      <c r="R45">
        <v>0</v>
      </c>
      <c r="S45">
        <v>0.08</v>
      </c>
      <c r="T45">
        <v>6.06</v>
      </c>
      <c r="U45">
        <v>16.32</v>
      </c>
      <c r="V45">
        <v>14.81</v>
      </c>
      <c r="W45">
        <v>13.74</v>
      </c>
      <c r="X45">
        <v>27006.483231999999</v>
      </c>
      <c r="Y45">
        <v>36021856.594499998</v>
      </c>
    </row>
    <row r="46" spans="1:25" x14ac:dyDescent="0.55000000000000004">
      <c r="A46">
        <v>44</v>
      </c>
      <c r="B46" t="s">
        <v>20</v>
      </c>
      <c r="C46">
        <v>4</v>
      </c>
      <c r="D46">
        <v>4</v>
      </c>
      <c r="E46" t="s">
        <v>27</v>
      </c>
      <c r="F46" t="s">
        <v>28</v>
      </c>
      <c r="G46">
        <v>20</v>
      </c>
      <c r="H46">
        <v>2</v>
      </c>
      <c r="I46">
        <v>20040000</v>
      </c>
      <c r="J46">
        <v>217</v>
      </c>
      <c r="K46">
        <v>0</v>
      </c>
      <c r="L46">
        <v>13019</v>
      </c>
      <c r="M46">
        <v>12.8797</v>
      </c>
      <c r="N46">
        <v>100.93988</v>
      </c>
      <c r="O46">
        <v>0.05</v>
      </c>
      <c r="P46">
        <v>3.2</v>
      </c>
      <c r="Q46">
        <v>1.32</v>
      </c>
      <c r="R46">
        <v>0.17</v>
      </c>
      <c r="S46">
        <v>4.05</v>
      </c>
      <c r="T46">
        <v>15.27</v>
      </c>
      <c r="U46">
        <v>5.31</v>
      </c>
      <c r="V46">
        <v>29.57</v>
      </c>
      <c r="W46">
        <v>2.63</v>
      </c>
      <c r="X46">
        <v>33242.052430000003</v>
      </c>
      <c r="Y46">
        <v>70186846.298500001</v>
      </c>
    </row>
    <row r="47" spans="1:25" x14ac:dyDescent="0.55000000000000004">
      <c r="A47">
        <v>45</v>
      </c>
      <c r="B47" t="s">
        <v>20</v>
      </c>
      <c r="C47">
        <v>4</v>
      </c>
      <c r="D47">
        <v>4</v>
      </c>
      <c r="E47" t="s">
        <v>27</v>
      </c>
      <c r="F47" t="s">
        <v>28</v>
      </c>
      <c r="G47">
        <v>20</v>
      </c>
      <c r="H47">
        <v>2</v>
      </c>
      <c r="I47">
        <v>20040000</v>
      </c>
      <c r="J47">
        <v>218</v>
      </c>
      <c r="K47">
        <v>0</v>
      </c>
      <c r="L47">
        <v>12900</v>
      </c>
      <c r="M47">
        <v>12.798636999999999</v>
      </c>
      <c r="N47">
        <v>101.02302</v>
      </c>
      <c r="O47">
        <v>0</v>
      </c>
      <c r="P47">
        <v>7.98</v>
      </c>
      <c r="Q47">
        <v>0.14000000000000001</v>
      </c>
      <c r="R47">
        <v>0.01</v>
      </c>
      <c r="S47">
        <v>1.87</v>
      </c>
      <c r="T47">
        <v>88.580001999999993</v>
      </c>
      <c r="U47">
        <v>14.2</v>
      </c>
      <c r="V47">
        <v>21.92</v>
      </c>
      <c r="W47">
        <v>7.95</v>
      </c>
      <c r="X47">
        <v>32893.734645999997</v>
      </c>
      <c r="Y47">
        <v>44062246.273100004</v>
      </c>
    </row>
    <row r="48" spans="1:25" x14ac:dyDescent="0.55000000000000004">
      <c r="A48">
        <v>46</v>
      </c>
      <c r="B48" t="s">
        <v>20</v>
      </c>
      <c r="C48">
        <v>4</v>
      </c>
      <c r="D48">
        <v>4</v>
      </c>
      <c r="E48" t="s">
        <v>27</v>
      </c>
      <c r="F48" t="s">
        <v>28</v>
      </c>
      <c r="G48">
        <v>20</v>
      </c>
      <c r="H48">
        <v>2</v>
      </c>
      <c r="I48">
        <v>20040000</v>
      </c>
      <c r="J48">
        <v>219</v>
      </c>
      <c r="K48">
        <v>0</v>
      </c>
      <c r="L48">
        <v>13139</v>
      </c>
      <c r="M48">
        <v>12.960724000000001</v>
      </c>
      <c r="N48">
        <v>100.93988</v>
      </c>
      <c r="O48">
        <v>2.61</v>
      </c>
      <c r="P48">
        <v>6.89</v>
      </c>
      <c r="Q48">
        <v>5.4</v>
      </c>
      <c r="R48">
        <v>0.12</v>
      </c>
      <c r="S48">
        <v>13.99</v>
      </c>
      <c r="T48">
        <v>18.899999999999999</v>
      </c>
      <c r="U48">
        <v>6.12</v>
      </c>
      <c r="V48">
        <v>33.659999999999997</v>
      </c>
      <c r="W48">
        <v>0</v>
      </c>
      <c r="X48">
        <v>35244.428</v>
      </c>
      <c r="Y48">
        <v>72433305.733899996</v>
      </c>
    </row>
    <row r="49" spans="1:25" x14ac:dyDescent="0.55000000000000004">
      <c r="A49">
        <v>47</v>
      </c>
      <c r="B49" t="s">
        <v>20</v>
      </c>
      <c r="C49">
        <v>4</v>
      </c>
      <c r="D49">
        <v>4</v>
      </c>
      <c r="E49" t="s">
        <v>27</v>
      </c>
      <c r="F49" t="s">
        <v>28</v>
      </c>
      <c r="G49">
        <v>20</v>
      </c>
      <c r="H49">
        <v>2</v>
      </c>
      <c r="I49">
        <v>20040000</v>
      </c>
      <c r="J49">
        <v>220</v>
      </c>
      <c r="K49">
        <v>0</v>
      </c>
      <c r="L49">
        <v>13138</v>
      </c>
      <c r="M49">
        <v>12.960724000000001</v>
      </c>
      <c r="N49">
        <v>100.85674</v>
      </c>
      <c r="O49">
        <v>9.16</v>
      </c>
      <c r="P49">
        <v>0.34</v>
      </c>
      <c r="Q49">
        <v>1.53</v>
      </c>
      <c r="R49">
        <v>0.56000000000000005</v>
      </c>
      <c r="S49">
        <v>8.58</v>
      </c>
      <c r="T49">
        <v>13.63</v>
      </c>
      <c r="U49">
        <v>4.38</v>
      </c>
      <c r="V49">
        <v>9.85</v>
      </c>
      <c r="W49">
        <v>0</v>
      </c>
      <c r="X49">
        <v>9219.9078100000006</v>
      </c>
      <c r="Y49">
        <v>3872733.5957200001</v>
      </c>
    </row>
    <row r="50" spans="1:25" x14ac:dyDescent="0.55000000000000004">
      <c r="A50">
        <v>48</v>
      </c>
      <c r="B50" t="s">
        <v>20</v>
      </c>
      <c r="C50">
        <v>4</v>
      </c>
      <c r="D50">
        <v>4</v>
      </c>
      <c r="E50" t="s">
        <v>27</v>
      </c>
      <c r="F50" t="s">
        <v>28</v>
      </c>
      <c r="G50">
        <v>20</v>
      </c>
      <c r="H50">
        <v>2</v>
      </c>
      <c r="I50">
        <v>20040000</v>
      </c>
      <c r="J50">
        <v>221</v>
      </c>
      <c r="K50">
        <v>0</v>
      </c>
      <c r="L50">
        <v>13259</v>
      </c>
      <c r="M50">
        <v>13.041733000000001</v>
      </c>
      <c r="N50">
        <v>100.93988</v>
      </c>
      <c r="O50">
        <v>0.84</v>
      </c>
      <c r="P50">
        <v>0.74</v>
      </c>
      <c r="Q50">
        <v>4.41</v>
      </c>
      <c r="R50">
        <v>1.42</v>
      </c>
      <c r="S50">
        <v>0.23</v>
      </c>
      <c r="T50">
        <v>25.049999</v>
      </c>
      <c r="U50">
        <v>7.62</v>
      </c>
      <c r="V50">
        <v>4.5</v>
      </c>
      <c r="W50">
        <v>0</v>
      </c>
      <c r="X50">
        <v>31935.959232000001</v>
      </c>
      <c r="Y50">
        <v>46548403.804700002</v>
      </c>
    </row>
    <row r="51" spans="1:25" x14ac:dyDescent="0.55000000000000004">
      <c r="A51">
        <v>49</v>
      </c>
      <c r="B51" t="s">
        <v>20</v>
      </c>
      <c r="C51">
        <v>4</v>
      </c>
      <c r="D51">
        <v>4</v>
      </c>
      <c r="E51" t="s">
        <v>27</v>
      </c>
      <c r="F51" t="s">
        <v>28</v>
      </c>
      <c r="G51">
        <v>20</v>
      </c>
      <c r="H51">
        <v>2</v>
      </c>
      <c r="I51">
        <v>20040000</v>
      </c>
      <c r="J51">
        <v>223</v>
      </c>
      <c r="K51">
        <v>0</v>
      </c>
      <c r="L51">
        <v>13020</v>
      </c>
      <c r="M51">
        <v>12.8797</v>
      </c>
      <c r="N51">
        <v>101.02302</v>
      </c>
      <c r="O51">
        <v>0.05</v>
      </c>
      <c r="P51">
        <v>0.23</v>
      </c>
      <c r="Q51">
        <v>0.15</v>
      </c>
      <c r="R51">
        <v>0.04</v>
      </c>
      <c r="S51">
        <v>3.58</v>
      </c>
      <c r="T51">
        <v>27.25</v>
      </c>
      <c r="U51">
        <v>8.32</v>
      </c>
      <c r="V51">
        <v>24.030000999999999</v>
      </c>
      <c r="W51">
        <v>8.8800000000000008</v>
      </c>
      <c r="X51">
        <v>36239.39258</v>
      </c>
      <c r="Y51">
        <v>80551492.554800004</v>
      </c>
    </row>
    <row r="52" spans="1:25" x14ac:dyDescent="0.55000000000000004">
      <c r="A52">
        <v>50</v>
      </c>
      <c r="B52" t="s">
        <v>20</v>
      </c>
      <c r="C52">
        <v>4</v>
      </c>
      <c r="D52">
        <v>4</v>
      </c>
      <c r="E52" t="s">
        <v>27</v>
      </c>
      <c r="F52" t="s">
        <v>28</v>
      </c>
      <c r="G52">
        <v>20</v>
      </c>
      <c r="H52">
        <v>2</v>
      </c>
      <c r="I52">
        <v>20040000</v>
      </c>
      <c r="J52">
        <v>224</v>
      </c>
      <c r="K52">
        <v>0</v>
      </c>
      <c r="L52">
        <v>13141</v>
      </c>
      <c r="M52">
        <v>12.960724000000001</v>
      </c>
      <c r="N52">
        <v>101.10615</v>
      </c>
      <c r="O52">
        <v>0.11</v>
      </c>
      <c r="P52">
        <v>0.09</v>
      </c>
      <c r="Q52">
        <v>0.11</v>
      </c>
      <c r="R52">
        <v>0.02</v>
      </c>
      <c r="S52">
        <v>0.24</v>
      </c>
      <c r="T52">
        <v>46.040000999999997</v>
      </c>
      <c r="U52">
        <v>3.41</v>
      </c>
      <c r="V52">
        <v>28.25</v>
      </c>
      <c r="W52">
        <v>2.17</v>
      </c>
      <c r="X52">
        <v>25082.100724</v>
      </c>
      <c r="Y52">
        <v>26973862.948800001</v>
      </c>
    </row>
    <row r="53" spans="1:25" x14ac:dyDescent="0.55000000000000004">
      <c r="A53">
        <v>51</v>
      </c>
      <c r="B53" t="s">
        <v>20</v>
      </c>
      <c r="C53">
        <v>4</v>
      </c>
      <c r="D53">
        <v>4</v>
      </c>
      <c r="E53" t="s">
        <v>27</v>
      </c>
      <c r="F53" t="s">
        <v>28</v>
      </c>
      <c r="G53">
        <v>20</v>
      </c>
      <c r="H53">
        <v>2</v>
      </c>
      <c r="I53">
        <v>20040000</v>
      </c>
      <c r="J53">
        <v>225</v>
      </c>
      <c r="K53">
        <v>0</v>
      </c>
      <c r="L53">
        <v>13140</v>
      </c>
      <c r="M53">
        <v>12.960724000000001</v>
      </c>
      <c r="N53">
        <v>101.02302</v>
      </c>
      <c r="O53">
        <v>0.15</v>
      </c>
      <c r="P53">
        <v>0.46</v>
      </c>
      <c r="Q53">
        <v>1.63</v>
      </c>
      <c r="R53">
        <v>0</v>
      </c>
      <c r="S53">
        <v>0.26</v>
      </c>
      <c r="T53">
        <v>21.16</v>
      </c>
      <c r="U53">
        <v>10.96</v>
      </c>
      <c r="V53">
        <v>43.52</v>
      </c>
      <c r="W53">
        <v>0</v>
      </c>
      <c r="X53">
        <v>35973.372769000001</v>
      </c>
      <c r="Y53">
        <v>80879395.948500007</v>
      </c>
    </row>
    <row r="54" spans="1:25" x14ac:dyDescent="0.55000000000000004">
      <c r="A54">
        <v>52</v>
      </c>
      <c r="B54" t="s">
        <v>20</v>
      </c>
      <c r="C54">
        <v>4</v>
      </c>
      <c r="D54">
        <v>4</v>
      </c>
      <c r="E54" t="s">
        <v>27</v>
      </c>
      <c r="F54" t="s">
        <v>28</v>
      </c>
      <c r="G54">
        <v>20</v>
      </c>
      <c r="H54">
        <v>2</v>
      </c>
      <c r="I54">
        <v>20040000</v>
      </c>
      <c r="J54">
        <v>226</v>
      </c>
      <c r="K54">
        <v>0</v>
      </c>
      <c r="L54">
        <v>13021</v>
      </c>
      <c r="M54">
        <v>12.8797</v>
      </c>
      <c r="N54">
        <v>101.10615</v>
      </c>
      <c r="O54">
        <v>7.0000000000000007E-2</v>
      </c>
      <c r="P54">
        <v>0.01</v>
      </c>
      <c r="Q54">
        <v>0</v>
      </c>
      <c r="R54">
        <v>1.1000000000000001</v>
      </c>
      <c r="S54">
        <v>3.27</v>
      </c>
      <c r="T54">
        <v>24.68</v>
      </c>
      <c r="U54">
        <v>36.240001999999997</v>
      </c>
      <c r="V54">
        <v>10.33</v>
      </c>
      <c r="W54">
        <v>5.99</v>
      </c>
      <c r="X54">
        <v>17674.371975999999</v>
      </c>
      <c r="Y54">
        <v>8152784.4751199996</v>
      </c>
    </row>
    <row r="55" spans="1:25" x14ac:dyDescent="0.55000000000000004">
      <c r="A55">
        <v>53</v>
      </c>
      <c r="B55" t="s">
        <v>20</v>
      </c>
      <c r="C55">
        <v>4</v>
      </c>
      <c r="D55">
        <v>4</v>
      </c>
      <c r="E55" t="s">
        <v>27</v>
      </c>
      <c r="F55" t="s">
        <v>28</v>
      </c>
      <c r="G55">
        <v>20</v>
      </c>
      <c r="H55">
        <v>2</v>
      </c>
      <c r="I55">
        <v>20040000</v>
      </c>
      <c r="J55">
        <v>227</v>
      </c>
      <c r="K55">
        <v>0</v>
      </c>
      <c r="L55">
        <v>13261</v>
      </c>
      <c r="M55">
        <v>13.041733000000001</v>
      </c>
      <c r="N55">
        <v>101.10615</v>
      </c>
      <c r="O55">
        <v>6.42</v>
      </c>
      <c r="P55">
        <v>0.24</v>
      </c>
      <c r="Q55">
        <v>0.51</v>
      </c>
      <c r="R55">
        <v>2.87</v>
      </c>
      <c r="S55">
        <v>2.2599999999999998</v>
      </c>
      <c r="T55">
        <v>45.639999000000003</v>
      </c>
      <c r="U55">
        <v>5.42</v>
      </c>
      <c r="V55">
        <v>25.700001</v>
      </c>
      <c r="W55">
        <v>0</v>
      </c>
      <c r="X55">
        <v>6565.6802019999996</v>
      </c>
      <c r="Y55">
        <v>910358.72929199995</v>
      </c>
    </row>
    <row r="56" spans="1:25" x14ac:dyDescent="0.55000000000000004">
      <c r="A56">
        <v>54</v>
      </c>
      <c r="B56" t="s">
        <v>20</v>
      </c>
      <c r="C56">
        <v>4</v>
      </c>
      <c r="D56">
        <v>4</v>
      </c>
      <c r="E56" t="s">
        <v>27</v>
      </c>
      <c r="F56" t="s">
        <v>28</v>
      </c>
      <c r="G56">
        <v>20</v>
      </c>
      <c r="H56">
        <v>2</v>
      </c>
      <c r="I56">
        <v>20040000</v>
      </c>
      <c r="J56">
        <v>228</v>
      </c>
      <c r="K56">
        <v>0</v>
      </c>
      <c r="L56">
        <v>13260</v>
      </c>
      <c r="M56">
        <v>13.041733000000001</v>
      </c>
      <c r="N56">
        <v>101.02302</v>
      </c>
      <c r="O56">
        <v>0.05</v>
      </c>
      <c r="P56">
        <v>0.5</v>
      </c>
      <c r="Q56">
        <v>2.56</v>
      </c>
      <c r="R56">
        <v>0.33</v>
      </c>
      <c r="S56">
        <v>0</v>
      </c>
      <c r="T56">
        <v>33.659999999999997</v>
      </c>
      <c r="U56">
        <v>1.95</v>
      </c>
      <c r="V56">
        <v>9.98</v>
      </c>
      <c r="W56">
        <v>0</v>
      </c>
      <c r="X56">
        <v>27928.082608000001</v>
      </c>
      <c r="Y56">
        <v>28640667.3684</v>
      </c>
    </row>
    <row r="57" spans="1:25" x14ac:dyDescent="0.55000000000000004">
      <c r="A57">
        <v>55</v>
      </c>
      <c r="B57" t="s">
        <v>20</v>
      </c>
      <c r="C57">
        <v>4</v>
      </c>
      <c r="D57">
        <v>4</v>
      </c>
      <c r="E57" t="s">
        <v>27</v>
      </c>
      <c r="F57" t="s">
        <v>28</v>
      </c>
      <c r="G57">
        <v>20</v>
      </c>
      <c r="H57">
        <v>2</v>
      </c>
      <c r="I57">
        <v>20040000</v>
      </c>
      <c r="J57">
        <v>676</v>
      </c>
      <c r="K57">
        <v>0</v>
      </c>
      <c r="L57">
        <v>13379</v>
      </c>
      <c r="M57">
        <v>13.122719</v>
      </c>
      <c r="N57">
        <v>100.93988</v>
      </c>
      <c r="O57">
        <v>1.1000000000000001</v>
      </c>
      <c r="P57">
        <v>0.18</v>
      </c>
      <c r="Q57">
        <v>33.950001</v>
      </c>
      <c r="R57">
        <v>1.19</v>
      </c>
      <c r="S57">
        <v>0.03</v>
      </c>
      <c r="T57">
        <v>22.01</v>
      </c>
      <c r="U57">
        <v>9.7100000000000009</v>
      </c>
      <c r="V57">
        <v>5.91</v>
      </c>
      <c r="W57">
        <v>0</v>
      </c>
      <c r="X57">
        <v>1780.322128</v>
      </c>
      <c r="Y57">
        <v>128853.896838</v>
      </c>
    </row>
    <row r="58" spans="1:25" x14ac:dyDescent="0.55000000000000004">
      <c r="A58">
        <v>56</v>
      </c>
      <c r="B58" t="s">
        <v>20</v>
      </c>
      <c r="C58">
        <v>5</v>
      </c>
      <c r="D58">
        <v>5</v>
      </c>
      <c r="E58" t="s">
        <v>29</v>
      </c>
      <c r="F58" t="s">
        <v>30</v>
      </c>
      <c r="G58">
        <v>20</v>
      </c>
      <c r="H58">
        <v>2</v>
      </c>
      <c r="I58">
        <v>20050000</v>
      </c>
      <c r="J58">
        <v>683</v>
      </c>
      <c r="K58">
        <v>0</v>
      </c>
      <c r="L58">
        <v>13741</v>
      </c>
      <c r="M58">
        <v>13.365479000000001</v>
      </c>
      <c r="N58">
        <v>101.10615</v>
      </c>
      <c r="O58">
        <v>0.38</v>
      </c>
      <c r="P58">
        <v>15.7</v>
      </c>
      <c r="Q58">
        <v>7.94</v>
      </c>
      <c r="R58">
        <v>2.33</v>
      </c>
      <c r="S58">
        <v>0.05</v>
      </c>
      <c r="T58">
        <v>52.740001999999997</v>
      </c>
      <c r="U58">
        <v>1.25</v>
      </c>
      <c r="V58">
        <v>0</v>
      </c>
      <c r="W58">
        <v>0</v>
      </c>
      <c r="X58">
        <v>27737.412262999998</v>
      </c>
      <c r="Y58">
        <v>22735708.004500002</v>
      </c>
    </row>
    <row r="59" spans="1:25" x14ac:dyDescent="0.55000000000000004">
      <c r="A59">
        <v>57</v>
      </c>
      <c r="B59" t="s">
        <v>20</v>
      </c>
      <c r="C59">
        <v>5</v>
      </c>
      <c r="D59">
        <v>5</v>
      </c>
      <c r="E59" t="s">
        <v>29</v>
      </c>
      <c r="F59" t="s">
        <v>30</v>
      </c>
      <c r="G59">
        <v>20</v>
      </c>
      <c r="H59">
        <v>2</v>
      </c>
      <c r="I59">
        <v>20050000</v>
      </c>
      <c r="J59">
        <v>692</v>
      </c>
      <c r="K59">
        <v>0</v>
      </c>
      <c r="L59">
        <v>13860</v>
      </c>
      <c r="M59">
        <v>13.446358</v>
      </c>
      <c r="N59">
        <v>101.02302</v>
      </c>
      <c r="O59">
        <v>0.03</v>
      </c>
      <c r="P59">
        <v>41.380001</v>
      </c>
      <c r="Q59">
        <v>4.1100000000000003</v>
      </c>
      <c r="R59">
        <v>3.2</v>
      </c>
      <c r="S59">
        <v>0.97</v>
      </c>
      <c r="T59">
        <v>44.740001999999997</v>
      </c>
      <c r="U59">
        <v>5.44</v>
      </c>
      <c r="V59">
        <v>0</v>
      </c>
      <c r="W59">
        <v>0</v>
      </c>
      <c r="X59">
        <v>29233.739612000001</v>
      </c>
      <c r="Y59">
        <v>27902164.635200001</v>
      </c>
    </row>
    <row r="60" spans="1:25" x14ac:dyDescent="0.55000000000000004">
      <c r="A60">
        <v>58</v>
      </c>
      <c r="B60" t="s">
        <v>20</v>
      </c>
      <c r="C60">
        <v>5</v>
      </c>
      <c r="D60">
        <v>5</v>
      </c>
      <c r="E60" t="s">
        <v>29</v>
      </c>
      <c r="F60" t="s">
        <v>30</v>
      </c>
      <c r="G60">
        <v>20</v>
      </c>
      <c r="H60">
        <v>2</v>
      </c>
      <c r="I60">
        <v>20050000</v>
      </c>
      <c r="J60">
        <v>693</v>
      </c>
      <c r="K60">
        <v>0</v>
      </c>
      <c r="L60">
        <v>13740</v>
      </c>
      <c r="M60">
        <v>13.365479000000001</v>
      </c>
      <c r="N60">
        <v>101.02302</v>
      </c>
      <c r="O60">
        <v>1.94</v>
      </c>
      <c r="P60">
        <v>16.649999999999999</v>
      </c>
      <c r="Q60">
        <v>16.649999999999999</v>
      </c>
      <c r="R60">
        <v>6.78</v>
      </c>
      <c r="S60">
        <v>0.44</v>
      </c>
      <c r="T60">
        <v>34.099997999999999</v>
      </c>
      <c r="U60">
        <v>3.39</v>
      </c>
      <c r="V60">
        <v>0.05</v>
      </c>
      <c r="W60">
        <v>0</v>
      </c>
      <c r="X60">
        <v>4415.1217500000002</v>
      </c>
      <c r="Y60">
        <v>762479.63178900001</v>
      </c>
    </row>
    <row r="61" spans="1:25" x14ac:dyDescent="0.55000000000000004">
      <c r="A61">
        <v>59</v>
      </c>
      <c r="B61" t="s">
        <v>20</v>
      </c>
      <c r="C61">
        <v>5</v>
      </c>
      <c r="D61">
        <v>5</v>
      </c>
      <c r="E61" t="s">
        <v>29</v>
      </c>
      <c r="F61" t="s">
        <v>30</v>
      </c>
      <c r="G61">
        <v>20</v>
      </c>
      <c r="H61">
        <v>2</v>
      </c>
      <c r="I61">
        <v>20050000</v>
      </c>
      <c r="J61">
        <v>714</v>
      </c>
      <c r="K61">
        <v>0</v>
      </c>
      <c r="L61">
        <v>13980</v>
      </c>
      <c r="M61">
        <v>13.527199</v>
      </c>
      <c r="N61">
        <v>101.02302</v>
      </c>
      <c r="O61">
        <v>4.5199999999999996</v>
      </c>
      <c r="P61">
        <v>9.1</v>
      </c>
      <c r="Q61">
        <v>6.18</v>
      </c>
      <c r="R61">
        <v>3.52</v>
      </c>
      <c r="S61">
        <v>0.94</v>
      </c>
      <c r="T61">
        <v>28.809999000000001</v>
      </c>
      <c r="U61">
        <v>3.01</v>
      </c>
      <c r="V61">
        <v>0</v>
      </c>
      <c r="W61">
        <v>0</v>
      </c>
      <c r="X61">
        <v>20766.231501999999</v>
      </c>
      <c r="Y61">
        <v>8460255.1229699999</v>
      </c>
    </row>
    <row r="62" spans="1:25" x14ac:dyDescent="0.55000000000000004">
      <c r="A62">
        <v>60</v>
      </c>
      <c r="B62" t="s">
        <v>20</v>
      </c>
      <c r="C62">
        <v>5</v>
      </c>
      <c r="D62">
        <v>5</v>
      </c>
      <c r="E62" t="s">
        <v>29</v>
      </c>
      <c r="F62" t="s">
        <v>30</v>
      </c>
      <c r="G62">
        <v>20</v>
      </c>
      <c r="H62">
        <v>2</v>
      </c>
      <c r="I62">
        <v>20050000</v>
      </c>
      <c r="J62">
        <v>716</v>
      </c>
      <c r="K62">
        <v>0</v>
      </c>
      <c r="L62">
        <v>14101</v>
      </c>
      <c r="M62">
        <v>13.608017</v>
      </c>
      <c r="N62">
        <v>101.10615</v>
      </c>
      <c r="O62">
        <v>9.66</v>
      </c>
      <c r="P62">
        <v>0.01</v>
      </c>
      <c r="Q62">
        <v>0.54</v>
      </c>
      <c r="R62">
        <v>0.17</v>
      </c>
      <c r="S62">
        <v>1.17</v>
      </c>
      <c r="T62">
        <v>7.87</v>
      </c>
      <c r="U62">
        <v>21.27</v>
      </c>
      <c r="V62">
        <v>0</v>
      </c>
      <c r="W62">
        <v>0</v>
      </c>
      <c r="X62">
        <v>1784.5779829999999</v>
      </c>
      <c r="Y62">
        <v>113262.7515</v>
      </c>
    </row>
    <row r="63" spans="1:25" x14ac:dyDescent="0.55000000000000004">
      <c r="A63">
        <v>61</v>
      </c>
      <c r="B63" t="s">
        <v>20</v>
      </c>
      <c r="C63">
        <v>5</v>
      </c>
      <c r="D63">
        <v>5</v>
      </c>
      <c r="E63" t="s">
        <v>29</v>
      </c>
      <c r="F63" t="s">
        <v>30</v>
      </c>
      <c r="G63">
        <v>20</v>
      </c>
      <c r="H63">
        <v>2</v>
      </c>
      <c r="I63">
        <v>20050000</v>
      </c>
      <c r="J63">
        <v>719</v>
      </c>
      <c r="K63">
        <v>0</v>
      </c>
      <c r="L63">
        <v>13861</v>
      </c>
      <c r="M63">
        <v>13.446358</v>
      </c>
      <c r="N63">
        <v>101.10615</v>
      </c>
      <c r="O63">
        <v>2.2999999999999998</v>
      </c>
      <c r="P63">
        <v>43.209999000000003</v>
      </c>
      <c r="Q63">
        <v>21.57</v>
      </c>
      <c r="R63">
        <v>5.38</v>
      </c>
      <c r="S63">
        <v>0.03</v>
      </c>
      <c r="T63">
        <v>60.759998000000003</v>
      </c>
      <c r="U63">
        <v>1.86</v>
      </c>
      <c r="V63">
        <v>0</v>
      </c>
      <c r="W63">
        <v>0</v>
      </c>
      <c r="X63">
        <v>34398.250788999998</v>
      </c>
      <c r="Y63">
        <v>65085962.402800001</v>
      </c>
    </row>
    <row r="64" spans="1:25" x14ac:dyDescent="0.55000000000000004">
      <c r="A64">
        <v>62</v>
      </c>
      <c r="B64" t="s">
        <v>20</v>
      </c>
      <c r="C64">
        <v>5</v>
      </c>
      <c r="D64">
        <v>5</v>
      </c>
      <c r="E64" t="s">
        <v>29</v>
      </c>
      <c r="F64" t="s">
        <v>30</v>
      </c>
      <c r="G64">
        <v>20</v>
      </c>
      <c r="H64">
        <v>2</v>
      </c>
      <c r="I64">
        <v>20050000</v>
      </c>
      <c r="J64">
        <v>720</v>
      </c>
      <c r="K64">
        <v>0</v>
      </c>
      <c r="L64">
        <v>13981</v>
      </c>
      <c r="M64">
        <v>13.527199</v>
      </c>
      <c r="N64">
        <v>101.10615</v>
      </c>
      <c r="O64">
        <v>3.51</v>
      </c>
      <c r="P64">
        <v>6.94</v>
      </c>
      <c r="Q64">
        <v>0.25</v>
      </c>
      <c r="R64">
        <v>0.08</v>
      </c>
      <c r="S64">
        <v>0.13</v>
      </c>
      <c r="T64">
        <v>54.290000999999997</v>
      </c>
      <c r="U64">
        <v>1.47</v>
      </c>
      <c r="V64">
        <v>0</v>
      </c>
      <c r="W64">
        <v>0</v>
      </c>
      <c r="X64">
        <v>36651.458327</v>
      </c>
      <c r="Y64">
        <v>42687442.2711</v>
      </c>
    </row>
    <row r="65" spans="1:25" x14ac:dyDescent="0.55000000000000004">
      <c r="A65">
        <v>63</v>
      </c>
      <c r="B65" t="s">
        <v>20</v>
      </c>
      <c r="C65">
        <v>6</v>
      </c>
      <c r="D65">
        <v>6</v>
      </c>
      <c r="E65" t="s">
        <v>31</v>
      </c>
      <c r="F65" t="s">
        <v>32</v>
      </c>
      <c r="G65">
        <v>20</v>
      </c>
      <c r="H65">
        <v>2</v>
      </c>
      <c r="I65">
        <v>20060000</v>
      </c>
      <c r="J65">
        <v>683</v>
      </c>
      <c r="K65">
        <v>0</v>
      </c>
      <c r="L65">
        <v>13741</v>
      </c>
      <c r="M65">
        <v>13.365479000000001</v>
      </c>
      <c r="N65">
        <v>101.10615</v>
      </c>
      <c r="O65">
        <v>0.38</v>
      </c>
      <c r="P65">
        <v>15.7</v>
      </c>
      <c r="Q65">
        <v>7.94</v>
      </c>
      <c r="R65">
        <v>2.33</v>
      </c>
      <c r="S65">
        <v>0.05</v>
      </c>
      <c r="T65">
        <v>52.740001999999997</v>
      </c>
      <c r="U65">
        <v>1.25</v>
      </c>
      <c r="V65">
        <v>0</v>
      </c>
      <c r="W65">
        <v>0</v>
      </c>
      <c r="X65">
        <v>12341.267539</v>
      </c>
      <c r="Y65">
        <v>6794470.4078000002</v>
      </c>
    </row>
    <row r="66" spans="1:25" x14ac:dyDescent="0.55000000000000004">
      <c r="A66">
        <v>64</v>
      </c>
      <c r="B66" t="s">
        <v>20</v>
      </c>
      <c r="C66">
        <v>6</v>
      </c>
      <c r="D66">
        <v>6</v>
      </c>
      <c r="E66" t="s">
        <v>31</v>
      </c>
      <c r="F66" t="s">
        <v>32</v>
      </c>
      <c r="G66">
        <v>20</v>
      </c>
      <c r="H66">
        <v>2</v>
      </c>
      <c r="I66">
        <v>20060000</v>
      </c>
      <c r="J66">
        <v>716</v>
      </c>
      <c r="K66">
        <v>0</v>
      </c>
      <c r="L66">
        <v>14101</v>
      </c>
      <c r="M66">
        <v>13.608017</v>
      </c>
      <c r="N66">
        <v>101.10615</v>
      </c>
      <c r="O66">
        <v>9.66</v>
      </c>
      <c r="P66">
        <v>0.01</v>
      </c>
      <c r="Q66">
        <v>0.54</v>
      </c>
      <c r="R66">
        <v>0.17</v>
      </c>
      <c r="S66">
        <v>1.17</v>
      </c>
      <c r="T66">
        <v>7.87</v>
      </c>
      <c r="U66">
        <v>21.27</v>
      </c>
      <c r="V66">
        <v>0</v>
      </c>
      <c r="W66">
        <v>0</v>
      </c>
      <c r="X66">
        <v>8197.8097519999992</v>
      </c>
      <c r="Y66">
        <v>3792453.2041500001</v>
      </c>
    </row>
    <row r="67" spans="1:25" x14ac:dyDescent="0.55000000000000004">
      <c r="A67">
        <v>65</v>
      </c>
      <c r="B67" t="s">
        <v>20</v>
      </c>
      <c r="C67">
        <v>6</v>
      </c>
      <c r="D67">
        <v>6</v>
      </c>
      <c r="E67" t="s">
        <v>31</v>
      </c>
      <c r="F67" t="s">
        <v>32</v>
      </c>
      <c r="G67">
        <v>20</v>
      </c>
      <c r="H67">
        <v>2</v>
      </c>
      <c r="I67">
        <v>20060000</v>
      </c>
      <c r="J67">
        <v>719</v>
      </c>
      <c r="K67">
        <v>0</v>
      </c>
      <c r="L67">
        <v>13861</v>
      </c>
      <c r="M67">
        <v>13.446358</v>
      </c>
      <c r="N67">
        <v>101.10615</v>
      </c>
      <c r="O67">
        <v>2.2999999999999998</v>
      </c>
      <c r="P67">
        <v>43.209999000000003</v>
      </c>
      <c r="Q67">
        <v>21.57</v>
      </c>
      <c r="R67">
        <v>5.38</v>
      </c>
      <c r="S67">
        <v>0.03</v>
      </c>
      <c r="T67">
        <v>60.759998000000003</v>
      </c>
      <c r="U67">
        <v>1.86</v>
      </c>
      <c r="V67">
        <v>0</v>
      </c>
      <c r="W67">
        <v>0</v>
      </c>
      <c r="X67">
        <v>23181.672130999999</v>
      </c>
      <c r="Y67">
        <v>14770153.6732</v>
      </c>
    </row>
    <row r="68" spans="1:25" x14ac:dyDescent="0.55000000000000004">
      <c r="A68">
        <v>66</v>
      </c>
      <c r="B68" t="s">
        <v>20</v>
      </c>
      <c r="C68">
        <v>6</v>
      </c>
      <c r="D68">
        <v>6</v>
      </c>
      <c r="E68" t="s">
        <v>31</v>
      </c>
      <c r="F68" t="s">
        <v>32</v>
      </c>
      <c r="G68">
        <v>20</v>
      </c>
      <c r="H68">
        <v>2</v>
      </c>
      <c r="I68">
        <v>20060000</v>
      </c>
      <c r="J68">
        <v>720</v>
      </c>
      <c r="K68">
        <v>0</v>
      </c>
      <c r="L68">
        <v>13981</v>
      </c>
      <c r="M68">
        <v>13.527199</v>
      </c>
      <c r="N68">
        <v>101.10615</v>
      </c>
      <c r="O68">
        <v>3.51</v>
      </c>
      <c r="P68">
        <v>6.94</v>
      </c>
      <c r="Q68">
        <v>0.25</v>
      </c>
      <c r="R68">
        <v>0.08</v>
      </c>
      <c r="S68">
        <v>0.13</v>
      </c>
      <c r="T68">
        <v>54.290000999999997</v>
      </c>
      <c r="U68">
        <v>1.47</v>
      </c>
      <c r="V68">
        <v>0</v>
      </c>
      <c r="W68">
        <v>0</v>
      </c>
      <c r="X68">
        <v>27913.347116000001</v>
      </c>
      <c r="Y68">
        <v>30348406.121599998</v>
      </c>
    </row>
    <row r="69" spans="1:25" x14ac:dyDescent="0.55000000000000004">
      <c r="A69">
        <v>67</v>
      </c>
      <c r="B69" t="s">
        <v>20</v>
      </c>
      <c r="C69">
        <v>6</v>
      </c>
      <c r="D69">
        <v>6</v>
      </c>
      <c r="E69" t="s">
        <v>31</v>
      </c>
      <c r="F69" t="s">
        <v>32</v>
      </c>
      <c r="G69">
        <v>20</v>
      </c>
      <c r="H69">
        <v>2</v>
      </c>
      <c r="I69">
        <v>20060000</v>
      </c>
      <c r="J69">
        <v>721</v>
      </c>
      <c r="K69">
        <v>0</v>
      </c>
      <c r="L69">
        <v>13742</v>
      </c>
      <c r="M69">
        <v>13.365479000000001</v>
      </c>
      <c r="N69">
        <v>101.189285</v>
      </c>
      <c r="O69">
        <v>0.63</v>
      </c>
      <c r="P69">
        <v>0.32</v>
      </c>
      <c r="Q69">
        <v>0.33</v>
      </c>
      <c r="R69">
        <v>1.3</v>
      </c>
      <c r="S69">
        <v>0</v>
      </c>
      <c r="T69">
        <v>40.090000000000003</v>
      </c>
      <c r="U69">
        <v>2.78</v>
      </c>
      <c r="V69">
        <v>0</v>
      </c>
      <c r="W69">
        <v>0</v>
      </c>
      <c r="X69">
        <v>36434.956389999999</v>
      </c>
      <c r="Y69">
        <v>45288995.419500001</v>
      </c>
    </row>
    <row r="70" spans="1:25" x14ac:dyDescent="0.55000000000000004">
      <c r="A70">
        <v>68</v>
      </c>
      <c r="B70" t="s">
        <v>20</v>
      </c>
      <c r="C70">
        <v>6</v>
      </c>
      <c r="D70">
        <v>6</v>
      </c>
      <c r="E70" t="s">
        <v>31</v>
      </c>
      <c r="F70" t="s">
        <v>32</v>
      </c>
      <c r="G70">
        <v>20</v>
      </c>
      <c r="H70">
        <v>2</v>
      </c>
      <c r="I70">
        <v>20060000</v>
      </c>
      <c r="J70">
        <v>739</v>
      </c>
      <c r="K70">
        <v>0</v>
      </c>
      <c r="L70">
        <v>13862</v>
      </c>
      <c r="M70">
        <v>13.446358</v>
      </c>
      <c r="N70">
        <v>101.189285</v>
      </c>
      <c r="O70">
        <v>2.88</v>
      </c>
      <c r="P70">
        <v>10.92</v>
      </c>
      <c r="Q70">
        <v>6.32</v>
      </c>
      <c r="R70">
        <v>36.599997999999999</v>
      </c>
      <c r="S70">
        <v>0</v>
      </c>
      <c r="T70">
        <v>11.44</v>
      </c>
      <c r="U70">
        <v>2.64</v>
      </c>
      <c r="V70">
        <v>0</v>
      </c>
      <c r="W70">
        <v>0</v>
      </c>
      <c r="X70">
        <v>35907.359686999996</v>
      </c>
      <c r="Y70">
        <v>80582852.612800002</v>
      </c>
    </row>
    <row r="71" spans="1:25" x14ac:dyDescent="0.55000000000000004">
      <c r="A71">
        <v>69</v>
      </c>
      <c r="B71" t="s">
        <v>20</v>
      </c>
      <c r="C71">
        <v>6</v>
      </c>
      <c r="D71">
        <v>6</v>
      </c>
      <c r="E71" t="s">
        <v>31</v>
      </c>
      <c r="F71" t="s">
        <v>32</v>
      </c>
      <c r="G71">
        <v>20</v>
      </c>
      <c r="H71">
        <v>2</v>
      </c>
      <c r="I71">
        <v>20060000</v>
      </c>
      <c r="J71">
        <v>740</v>
      </c>
      <c r="K71">
        <v>0</v>
      </c>
      <c r="L71">
        <v>13623</v>
      </c>
      <c r="M71">
        <v>13.284592</v>
      </c>
      <c r="N71">
        <v>101.27242</v>
      </c>
      <c r="O71">
        <v>7.0000000000000007E-2</v>
      </c>
      <c r="P71">
        <v>4.38</v>
      </c>
      <c r="Q71">
        <v>0.7</v>
      </c>
      <c r="R71">
        <v>9.3699999999999992</v>
      </c>
      <c r="S71">
        <v>2.34</v>
      </c>
      <c r="T71">
        <v>47.98</v>
      </c>
      <c r="U71">
        <v>8.1300000000000008</v>
      </c>
      <c r="V71">
        <v>0.08</v>
      </c>
      <c r="W71">
        <v>0</v>
      </c>
      <c r="X71">
        <v>6022.4873610000004</v>
      </c>
      <c r="Y71">
        <v>1317673.8055700001</v>
      </c>
    </row>
    <row r="72" spans="1:25" x14ac:dyDescent="0.55000000000000004">
      <c r="A72">
        <v>70</v>
      </c>
      <c r="B72" t="s">
        <v>20</v>
      </c>
      <c r="C72">
        <v>6</v>
      </c>
      <c r="D72">
        <v>6</v>
      </c>
      <c r="E72" t="s">
        <v>31</v>
      </c>
      <c r="F72" t="s">
        <v>32</v>
      </c>
      <c r="G72">
        <v>20</v>
      </c>
      <c r="H72">
        <v>2</v>
      </c>
      <c r="I72">
        <v>20060000</v>
      </c>
      <c r="J72">
        <v>741</v>
      </c>
      <c r="K72">
        <v>0</v>
      </c>
      <c r="L72">
        <v>13743</v>
      </c>
      <c r="M72">
        <v>13.365479000000001</v>
      </c>
      <c r="N72">
        <v>101.27242</v>
      </c>
      <c r="O72">
        <v>0.32</v>
      </c>
      <c r="P72">
        <v>0.06</v>
      </c>
      <c r="Q72">
        <v>0.02</v>
      </c>
      <c r="R72">
        <v>2.44</v>
      </c>
      <c r="S72">
        <v>0.02</v>
      </c>
      <c r="T72">
        <v>11.6</v>
      </c>
      <c r="U72">
        <v>4.04</v>
      </c>
      <c r="V72">
        <v>0</v>
      </c>
      <c r="W72">
        <v>0</v>
      </c>
      <c r="X72">
        <v>27825.473846000001</v>
      </c>
      <c r="Y72">
        <v>37746984.726899996</v>
      </c>
    </row>
    <row r="73" spans="1:25" x14ac:dyDescent="0.55000000000000004">
      <c r="A73">
        <v>71</v>
      </c>
      <c r="B73" t="s">
        <v>20</v>
      </c>
      <c r="C73">
        <v>6</v>
      </c>
      <c r="D73">
        <v>6</v>
      </c>
      <c r="E73" t="s">
        <v>31</v>
      </c>
      <c r="F73" t="s">
        <v>32</v>
      </c>
      <c r="G73">
        <v>20</v>
      </c>
      <c r="H73">
        <v>2</v>
      </c>
      <c r="I73">
        <v>20060000</v>
      </c>
      <c r="J73">
        <v>742</v>
      </c>
      <c r="K73">
        <v>0</v>
      </c>
      <c r="L73">
        <v>13863</v>
      </c>
      <c r="M73">
        <v>13.446358</v>
      </c>
      <c r="N73">
        <v>101.27242</v>
      </c>
      <c r="O73">
        <v>8.0299999999999994</v>
      </c>
      <c r="P73">
        <v>0</v>
      </c>
      <c r="Q73">
        <v>0.08</v>
      </c>
      <c r="R73">
        <v>3.96</v>
      </c>
      <c r="S73">
        <v>0</v>
      </c>
      <c r="T73">
        <v>6.12</v>
      </c>
      <c r="U73">
        <v>2.2400000000000002</v>
      </c>
      <c r="V73">
        <v>0</v>
      </c>
      <c r="W73">
        <v>0</v>
      </c>
      <c r="X73">
        <v>35309.284378999997</v>
      </c>
      <c r="Y73">
        <v>67044912.5233</v>
      </c>
    </row>
    <row r="74" spans="1:25" x14ac:dyDescent="0.55000000000000004">
      <c r="A74">
        <v>72</v>
      </c>
      <c r="B74" t="s">
        <v>20</v>
      </c>
      <c r="C74">
        <v>6</v>
      </c>
      <c r="D74">
        <v>6</v>
      </c>
      <c r="E74" t="s">
        <v>31</v>
      </c>
      <c r="F74" t="s">
        <v>32</v>
      </c>
      <c r="G74">
        <v>20</v>
      </c>
      <c r="H74">
        <v>2</v>
      </c>
      <c r="I74">
        <v>20060000</v>
      </c>
      <c r="J74">
        <v>749</v>
      </c>
      <c r="K74">
        <v>0</v>
      </c>
      <c r="L74">
        <v>13864</v>
      </c>
      <c r="M74">
        <v>13.446358</v>
      </c>
      <c r="N74">
        <v>101.35556</v>
      </c>
      <c r="O74">
        <v>32.409999999999997</v>
      </c>
      <c r="P74">
        <v>0</v>
      </c>
      <c r="Q74">
        <v>0.01</v>
      </c>
      <c r="R74">
        <v>0.28999999999999998</v>
      </c>
      <c r="S74">
        <v>0</v>
      </c>
      <c r="T74">
        <v>8.4700000000000006</v>
      </c>
      <c r="U74">
        <v>5.85</v>
      </c>
      <c r="V74">
        <v>0</v>
      </c>
      <c r="W74">
        <v>0</v>
      </c>
      <c r="X74">
        <v>23573.780375999999</v>
      </c>
      <c r="Y74">
        <v>28936765.096099999</v>
      </c>
    </row>
    <row r="75" spans="1:25" x14ac:dyDescent="0.55000000000000004">
      <c r="A75">
        <v>73</v>
      </c>
      <c r="B75" t="s">
        <v>20</v>
      </c>
      <c r="C75">
        <v>6</v>
      </c>
      <c r="D75">
        <v>6</v>
      </c>
      <c r="E75" t="s">
        <v>31</v>
      </c>
      <c r="F75" t="s">
        <v>32</v>
      </c>
      <c r="G75">
        <v>20</v>
      </c>
      <c r="H75">
        <v>2</v>
      </c>
      <c r="I75">
        <v>20060000</v>
      </c>
      <c r="J75">
        <v>775</v>
      </c>
      <c r="K75">
        <v>0</v>
      </c>
      <c r="L75">
        <v>13983</v>
      </c>
      <c r="M75">
        <v>13.527199</v>
      </c>
      <c r="N75">
        <v>101.27242</v>
      </c>
      <c r="O75">
        <v>13.37</v>
      </c>
      <c r="P75">
        <v>0</v>
      </c>
      <c r="Q75">
        <v>7.0000000000000007E-2</v>
      </c>
      <c r="R75">
        <v>1.89</v>
      </c>
      <c r="S75">
        <v>3.09</v>
      </c>
      <c r="T75">
        <v>28.48</v>
      </c>
      <c r="U75">
        <v>7.43</v>
      </c>
      <c r="V75">
        <v>0</v>
      </c>
      <c r="W75">
        <v>0</v>
      </c>
      <c r="X75">
        <v>33723.175089999997</v>
      </c>
      <c r="Y75">
        <v>62965405.722499996</v>
      </c>
    </row>
    <row r="76" spans="1:25" x14ac:dyDescent="0.55000000000000004">
      <c r="A76">
        <v>74</v>
      </c>
      <c r="B76" t="s">
        <v>20</v>
      </c>
      <c r="C76">
        <v>6</v>
      </c>
      <c r="D76">
        <v>6</v>
      </c>
      <c r="E76" t="s">
        <v>31</v>
      </c>
      <c r="F76" t="s">
        <v>32</v>
      </c>
      <c r="G76">
        <v>20</v>
      </c>
      <c r="H76">
        <v>2</v>
      </c>
      <c r="I76">
        <v>20060000</v>
      </c>
      <c r="J76">
        <v>776</v>
      </c>
      <c r="K76">
        <v>0</v>
      </c>
      <c r="L76">
        <v>14102</v>
      </c>
      <c r="M76">
        <v>13.608017</v>
      </c>
      <c r="N76">
        <v>101.189285</v>
      </c>
      <c r="O76">
        <v>43.639999000000003</v>
      </c>
      <c r="P76">
        <v>0</v>
      </c>
      <c r="Q76">
        <v>0.56000000000000005</v>
      </c>
      <c r="R76">
        <v>0.14000000000000001</v>
      </c>
      <c r="S76">
        <v>1.47</v>
      </c>
      <c r="T76">
        <v>8.0399999999999991</v>
      </c>
      <c r="U76">
        <v>8.4600000000000009</v>
      </c>
      <c r="V76">
        <v>0.19</v>
      </c>
      <c r="W76">
        <v>0</v>
      </c>
      <c r="X76">
        <v>21428.752922</v>
      </c>
      <c r="Y76">
        <v>15742085.362600001</v>
      </c>
    </row>
    <row r="77" spans="1:25" x14ac:dyDescent="0.55000000000000004">
      <c r="A77">
        <v>75</v>
      </c>
      <c r="B77" t="s">
        <v>20</v>
      </c>
      <c r="C77">
        <v>6</v>
      </c>
      <c r="D77">
        <v>6</v>
      </c>
      <c r="E77" t="s">
        <v>31</v>
      </c>
      <c r="F77" t="s">
        <v>32</v>
      </c>
      <c r="G77">
        <v>20</v>
      </c>
      <c r="H77">
        <v>2</v>
      </c>
      <c r="I77">
        <v>20060000</v>
      </c>
      <c r="J77">
        <v>779</v>
      </c>
      <c r="K77">
        <v>0</v>
      </c>
      <c r="L77">
        <v>14103</v>
      </c>
      <c r="M77">
        <v>13.608017</v>
      </c>
      <c r="N77">
        <v>101.27242</v>
      </c>
      <c r="O77">
        <v>55.900002000000001</v>
      </c>
      <c r="P77">
        <v>11.87</v>
      </c>
      <c r="Q77">
        <v>0.64</v>
      </c>
      <c r="R77">
        <v>3.48</v>
      </c>
      <c r="S77">
        <v>3.59</v>
      </c>
      <c r="T77">
        <v>6.66</v>
      </c>
      <c r="U77">
        <v>20.74</v>
      </c>
      <c r="V77">
        <v>0.14000000000000001</v>
      </c>
      <c r="W77">
        <v>0.05</v>
      </c>
      <c r="X77">
        <v>6237.4494789999999</v>
      </c>
      <c r="Y77">
        <v>799759.50192800001</v>
      </c>
    </row>
    <row r="78" spans="1:25" x14ac:dyDescent="0.55000000000000004">
      <c r="A78">
        <v>76</v>
      </c>
      <c r="B78" t="s">
        <v>20</v>
      </c>
      <c r="C78">
        <v>6</v>
      </c>
      <c r="D78">
        <v>6</v>
      </c>
      <c r="E78" t="s">
        <v>31</v>
      </c>
      <c r="F78" t="s">
        <v>32</v>
      </c>
      <c r="G78">
        <v>20</v>
      </c>
      <c r="H78">
        <v>2</v>
      </c>
      <c r="I78">
        <v>20060000</v>
      </c>
      <c r="J78">
        <v>784</v>
      </c>
      <c r="K78">
        <v>0</v>
      </c>
      <c r="L78">
        <v>13984</v>
      </c>
      <c r="M78">
        <v>13.527199</v>
      </c>
      <c r="N78">
        <v>101.35556</v>
      </c>
      <c r="O78">
        <v>67.080001999999993</v>
      </c>
      <c r="P78">
        <v>0</v>
      </c>
      <c r="Q78">
        <v>0</v>
      </c>
      <c r="R78">
        <v>0.04</v>
      </c>
      <c r="S78">
        <v>0</v>
      </c>
      <c r="T78">
        <v>13.54</v>
      </c>
      <c r="U78">
        <v>5.29</v>
      </c>
      <c r="V78">
        <v>0</v>
      </c>
      <c r="W78">
        <v>0</v>
      </c>
      <c r="X78">
        <v>9036.3779059999997</v>
      </c>
      <c r="Y78">
        <v>3010630.1025899998</v>
      </c>
    </row>
    <row r="79" spans="1:25" x14ac:dyDescent="0.55000000000000004">
      <c r="A79">
        <v>77</v>
      </c>
      <c r="B79" t="s">
        <v>20</v>
      </c>
      <c r="C79">
        <v>6</v>
      </c>
      <c r="D79">
        <v>6</v>
      </c>
      <c r="E79" t="s">
        <v>31</v>
      </c>
      <c r="F79" t="s">
        <v>32</v>
      </c>
      <c r="G79">
        <v>20</v>
      </c>
      <c r="H79">
        <v>2</v>
      </c>
      <c r="I79">
        <v>20060000</v>
      </c>
      <c r="J79">
        <v>796</v>
      </c>
      <c r="K79">
        <v>0</v>
      </c>
      <c r="L79">
        <v>13982</v>
      </c>
      <c r="M79">
        <v>13.527199</v>
      </c>
      <c r="N79">
        <v>101.189285</v>
      </c>
      <c r="O79">
        <v>3.71</v>
      </c>
      <c r="P79">
        <v>0.42</v>
      </c>
      <c r="Q79">
        <v>1.0900000000000001</v>
      </c>
      <c r="R79">
        <v>9.9600000000000009</v>
      </c>
      <c r="S79">
        <v>0.8</v>
      </c>
      <c r="T79">
        <v>5.33</v>
      </c>
      <c r="U79">
        <v>1.69</v>
      </c>
      <c r="V79">
        <v>0</v>
      </c>
      <c r="W79">
        <v>0</v>
      </c>
      <c r="X79">
        <v>35894.651795999998</v>
      </c>
      <c r="Y79">
        <v>80525816.106800005</v>
      </c>
    </row>
    <row r="80" spans="1:25" x14ac:dyDescent="0.55000000000000004">
      <c r="A80">
        <v>78</v>
      </c>
      <c r="B80" t="s">
        <v>20</v>
      </c>
      <c r="C80">
        <v>7</v>
      </c>
      <c r="D80">
        <v>7</v>
      </c>
      <c r="E80" t="s">
        <v>33</v>
      </c>
      <c r="F80" t="s">
        <v>34</v>
      </c>
      <c r="G80">
        <v>20</v>
      </c>
      <c r="H80">
        <v>2</v>
      </c>
      <c r="I80">
        <v>20070000</v>
      </c>
      <c r="J80">
        <v>221</v>
      </c>
      <c r="K80">
        <v>0</v>
      </c>
      <c r="L80">
        <v>13259</v>
      </c>
      <c r="M80">
        <v>13.041733000000001</v>
      </c>
      <c r="N80">
        <v>100.93988</v>
      </c>
      <c r="O80">
        <v>0.84</v>
      </c>
      <c r="P80">
        <v>0.74</v>
      </c>
      <c r="Q80">
        <v>4.41</v>
      </c>
      <c r="R80">
        <v>1.42</v>
      </c>
      <c r="S80">
        <v>0.23</v>
      </c>
      <c r="T80">
        <v>25.049999</v>
      </c>
      <c r="U80">
        <v>7.62</v>
      </c>
      <c r="V80">
        <v>4.5</v>
      </c>
      <c r="W80">
        <v>0</v>
      </c>
      <c r="X80">
        <v>32984.615295000003</v>
      </c>
      <c r="Y80">
        <v>18526528.5374</v>
      </c>
    </row>
    <row r="81" spans="1:25" x14ac:dyDescent="0.55000000000000004">
      <c r="A81">
        <v>79</v>
      </c>
      <c r="B81" t="s">
        <v>20</v>
      </c>
      <c r="C81">
        <v>7</v>
      </c>
      <c r="D81">
        <v>7</v>
      </c>
      <c r="E81" t="s">
        <v>33</v>
      </c>
      <c r="F81" t="s">
        <v>34</v>
      </c>
      <c r="G81">
        <v>20</v>
      </c>
      <c r="H81">
        <v>2</v>
      </c>
      <c r="I81">
        <v>20070000</v>
      </c>
      <c r="J81">
        <v>222</v>
      </c>
      <c r="K81">
        <v>0</v>
      </c>
      <c r="L81">
        <v>13258</v>
      </c>
      <c r="M81">
        <v>13.041733000000001</v>
      </c>
      <c r="N81">
        <v>100.85674</v>
      </c>
      <c r="O81">
        <v>30.469999000000001</v>
      </c>
      <c r="P81">
        <v>0.1</v>
      </c>
      <c r="Q81">
        <v>2.58</v>
      </c>
      <c r="R81">
        <v>0</v>
      </c>
      <c r="S81">
        <v>0.64</v>
      </c>
      <c r="T81">
        <v>12.44</v>
      </c>
      <c r="U81">
        <v>4.3</v>
      </c>
      <c r="V81">
        <v>2.81</v>
      </c>
      <c r="W81">
        <v>0</v>
      </c>
      <c r="X81">
        <v>15523.110850999999</v>
      </c>
      <c r="Y81">
        <v>4254664.6488800002</v>
      </c>
    </row>
    <row r="82" spans="1:25" x14ac:dyDescent="0.55000000000000004">
      <c r="A82">
        <v>80</v>
      </c>
      <c r="B82" t="s">
        <v>20</v>
      </c>
      <c r="C82">
        <v>7</v>
      </c>
      <c r="D82">
        <v>7</v>
      </c>
      <c r="E82" t="s">
        <v>33</v>
      </c>
      <c r="F82" t="s">
        <v>34</v>
      </c>
      <c r="G82">
        <v>20</v>
      </c>
      <c r="H82">
        <v>2</v>
      </c>
      <c r="I82">
        <v>20070000</v>
      </c>
      <c r="J82">
        <v>227</v>
      </c>
      <c r="K82">
        <v>0</v>
      </c>
      <c r="L82">
        <v>13261</v>
      </c>
      <c r="M82">
        <v>13.041733000000001</v>
      </c>
      <c r="N82">
        <v>101.10615</v>
      </c>
      <c r="O82">
        <v>6.42</v>
      </c>
      <c r="P82">
        <v>0.24</v>
      </c>
      <c r="Q82">
        <v>0.51</v>
      </c>
      <c r="R82">
        <v>2.87</v>
      </c>
      <c r="S82">
        <v>2.2599999999999998</v>
      </c>
      <c r="T82">
        <v>45.639999000000003</v>
      </c>
      <c r="U82">
        <v>5.42</v>
      </c>
      <c r="V82">
        <v>25.700001</v>
      </c>
      <c r="W82">
        <v>0</v>
      </c>
      <c r="X82">
        <v>37563.754485999998</v>
      </c>
      <c r="Y82">
        <v>63725344.073700003</v>
      </c>
    </row>
    <row r="83" spans="1:25" x14ac:dyDescent="0.55000000000000004">
      <c r="A83">
        <v>81</v>
      </c>
      <c r="B83" t="s">
        <v>20</v>
      </c>
      <c r="C83">
        <v>7</v>
      </c>
      <c r="D83">
        <v>7</v>
      </c>
      <c r="E83" t="s">
        <v>33</v>
      </c>
      <c r="F83" t="s">
        <v>34</v>
      </c>
      <c r="G83">
        <v>20</v>
      </c>
      <c r="H83">
        <v>2</v>
      </c>
      <c r="I83">
        <v>20070000</v>
      </c>
      <c r="J83">
        <v>228</v>
      </c>
      <c r="K83">
        <v>0</v>
      </c>
      <c r="L83">
        <v>13260</v>
      </c>
      <c r="M83">
        <v>13.041733000000001</v>
      </c>
      <c r="N83">
        <v>101.02302</v>
      </c>
      <c r="O83">
        <v>0.05</v>
      </c>
      <c r="P83">
        <v>0.5</v>
      </c>
      <c r="Q83">
        <v>2.56</v>
      </c>
      <c r="R83">
        <v>0.33</v>
      </c>
      <c r="S83">
        <v>0</v>
      </c>
      <c r="T83">
        <v>33.659999999999997</v>
      </c>
      <c r="U83">
        <v>1.95</v>
      </c>
      <c r="V83">
        <v>9.98</v>
      </c>
      <c r="W83">
        <v>0</v>
      </c>
      <c r="X83">
        <v>33226.961788000001</v>
      </c>
      <c r="Y83">
        <v>52193976.501699999</v>
      </c>
    </row>
    <row r="84" spans="1:25" x14ac:dyDescent="0.55000000000000004">
      <c r="A84">
        <v>82</v>
      </c>
      <c r="B84" t="s">
        <v>20</v>
      </c>
      <c r="C84">
        <v>7</v>
      </c>
      <c r="D84">
        <v>7</v>
      </c>
      <c r="E84" t="s">
        <v>33</v>
      </c>
      <c r="F84" t="s">
        <v>34</v>
      </c>
      <c r="G84">
        <v>20</v>
      </c>
      <c r="H84">
        <v>2</v>
      </c>
      <c r="I84">
        <v>20070000</v>
      </c>
      <c r="J84">
        <v>278</v>
      </c>
      <c r="K84">
        <v>0</v>
      </c>
      <c r="L84">
        <v>13262</v>
      </c>
      <c r="M84">
        <v>13.041733000000001</v>
      </c>
      <c r="N84">
        <v>101.189285</v>
      </c>
      <c r="O84">
        <v>2.85</v>
      </c>
      <c r="P84">
        <v>0.01</v>
      </c>
      <c r="Q84">
        <v>0.88</v>
      </c>
      <c r="R84">
        <v>0.12</v>
      </c>
      <c r="S84">
        <v>2.9</v>
      </c>
      <c r="T84">
        <v>42.27</v>
      </c>
      <c r="U84">
        <v>4.16</v>
      </c>
      <c r="V84">
        <v>21.74</v>
      </c>
      <c r="W84">
        <v>0.01</v>
      </c>
      <c r="X84">
        <v>38917.937381999996</v>
      </c>
      <c r="Y84">
        <v>34215889.280400001</v>
      </c>
    </row>
    <row r="85" spans="1:25" x14ac:dyDescent="0.55000000000000004">
      <c r="A85">
        <v>83</v>
      </c>
      <c r="B85" t="s">
        <v>20</v>
      </c>
      <c r="C85">
        <v>7</v>
      </c>
      <c r="D85">
        <v>7</v>
      </c>
      <c r="E85" t="s">
        <v>33</v>
      </c>
      <c r="F85" t="s">
        <v>34</v>
      </c>
      <c r="G85">
        <v>20</v>
      </c>
      <c r="H85">
        <v>2</v>
      </c>
      <c r="I85">
        <v>20070000</v>
      </c>
      <c r="J85">
        <v>675</v>
      </c>
      <c r="K85">
        <v>0</v>
      </c>
      <c r="L85">
        <v>13378</v>
      </c>
      <c r="M85">
        <v>13.122719</v>
      </c>
      <c r="N85">
        <v>100.85674</v>
      </c>
      <c r="O85">
        <v>33.520000000000003</v>
      </c>
      <c r="P85">
        <v>0.42</v>
      </c>
      <c r="Q85">
        <v>2.38</v>
      </c>
      <c r="R85">
        <v>0</v>
      </c>
      <c r="S85">
        <v>0.36</v>
      </c>
      <c r="T85">
        <v>9.0399999999999991</v>
      </c>
      <c r="U85">
        <v>6.29</v>
      </c>
      <c r="V85">
        <v>1.1000000000000001</v>
      </c>
      <c r="W85">
        <v>0.01</v>
      </c>
      <c r="X85">
        <v>15818.695331000001</v>
      </c>
      <c r="Y85">
        <v>9216847.2230200004</v>
      </c>
    </row>
    <row r="86" spans="1:25" x14ac:dyDescent="0.55000000000000004">
      <c r="A86">
        <v>84</v>
      </c>
      <c r="B86" t="s">
        <v>20</v>
      </c>
      <c r="C86">
        <v>7</v>
      </c>
      <c r="D86">
        <v>7</v>
      </c>
      <c r="E86" t="s">
        <v>33</v>
      </c>
      <c r="F86" t="s">
        <v>34</v>
      </c>
      <c r="G86">
        <v>20</v>
      </c>
      <c r="H86">
        <v>2</v>
      </c>
      <c r="I86">
        <v>20070000</v>
      </c>
      <c r="J86">
        <v>676</v>
      </c>
      <c r="K86">
        <v>0</v>
      </c>
      <c r="L86">
        <v>13379</v>
      </c>
      <c r="M86">
        <v>13.122719</v>
      </c>
      <c r="N86">
        <v>100.93988</v>
      </c>
      <c r="O86">
        <v>1.1000000000000001</v>
      </c>
      <c r="P86">
        <v>0.18</v>
      </c>
      <c r="Q86">
        <v>33.950001</v>
      </c>
      <c r="R86">
        <v>1.19</v>
      </c>
      <c r="S86">
        <v>0.03</v>
      </c>
      <c r="T86">
        <v>22.01</v>
      </c>
      <c r="U86">
        <v>9.7100000000000009</v>
      </c>
      <c r="V86">
        <v>5.91</v>
      </c>
      <c r="W86">
        <v>0</v>
      </c>
      <c r="X86">
        <v>35380.753829000001</v>
      </c>
      <c r="Y86">
        <v>77955442.254700005</v>
      </c>
    </row>
    <row r="87" spans="1:25" x14ac:dyDescent="0.55000000000000004">
      <c r="A87">
        <v>85</v>
      </c>
      <c r="B87" t="s">
        <v>20</v>
      </c>
      <c r="C87">
        <v>7</v>
      </c>
      <c r="D87">
        <v>7</v>
      </c>
      <c r="E87" t="s">
        <v>33</v>
      </c>
      <c r="F87" t="s">
        <v>34</v>
      </c>
      <c r="G87">
        <v>20</v>
      </c>
      <c r="H87">
        <v>2</v>
      </c>
      <c r="I87">
        <v>20070000</v>
      </c>
      <c r="J87">
        <v>678</v>
      </c>
      <c r="K87">
        <v>0</v>
      </c>
      <c r="L87">
        <v>13619</v>
      </c>
      <c r="M87">
        <v>13.284592</v>
      </c>
      <c r="N87">
        <v>100.93988</v>
      </c>
      <c r="O87">
        <v>1.52</v>
      </c>
      <c r="P87">
        <v>1.01</v>
      </c>
      <c r="Q87">
        <v>0.55000000000000004</v>
      </c>
      <c r="R87">
        <v>0.2</v>
      </c>
      <c r="S87">
        <v>2.2999999999999998</v>
      </c>
      <c r="T87">
        <v>32.520000000000003</v>
      </c>
      <c r="U87">
        <v>4.99</v>
      </c>
      <c r="V87">
        <v>1.3</v>
      </c>
      <c r="W87">
        <v>0</v>
      </c>
      <c r="X87">
        <v>7149.148134</v>
      </c>
      <c r="Y87">
        <v>1771990.3545299999</v>
      </c>
    </row>
    <row r="88" spans="1:25" x14ac:dyDescent="0.55000000000000004">
      <c r="A88">
        <v>86</v>
      </c>
      <c r="B88" t="s">
        <v>20</v>
      </c>
      <c r="C88">
        <v>7</v>
      </c>
      <c r="D88">
        <v>7</v>
      </c>
      <c r="E88" t="s">
        <v>33</v>
      </c>
      <c r="F88" t="s">
        <v>34</v>
      </c>
      <c r="G88">
        <v>20</v>
      </c>
      <c r="H88">
        <v>2</v>
      </c>
      <c r="I88">
        <v>20070000</v>
      </c>
      <c r="J88">
        <v>680</v>
      </c>
      <c r="K88">
        <v>0</v>
      </c>
      <c r="L88">
        <v>13499</v>
      </c>
      <c r="M88">
        <v>13.203666999999999</v>
      </c>
      <c r="N88">
        <v>100.93988</v>
      </c>
      <c r="O88">
        <v>0.74</v>
      </c>
      <c r="P88">
        <v>0.36</v>
      </c>
      <c r="Q88">
        <v>5.45</v>
      </c>
      <c r="R88">
        <v>0.65</v>
      </c>
      <c r="S88">
        <v>0.21</v>
      </c>
      <c r="T88">
        <v>52.720001000000003</v>
      </c>
      <c r="U88">
        <v>6.51</v>
      </c>
      <c r="V88">
        <v>1.78</v>
      </c>
      <c r="W88">
        <v>2.4</v>
      </c>
      <c r="X88">
        <v>31318.035748999999</v>
      </c>
      <c r="Y88">
        <v>46932108.484300002</v>
      </c>
    </row>
    <row r="89" spans="1:25" x14ac:dyDescent="0.55000000000000004">
      <c r="A89">
        <v>87</v>
      </c>
      <c r="B89" t="s">
        <v>20</v>
      </c>
      <c r="C89">
        <v>7</v>
      </c>
      <c r="D89">
        <v>7</v>
      </c>
      <c r="E89" t="s">
        <v>33</v>
      </c>
      <c r="F89" t="s">
        <v>34</v>
      </c>
      <c r="G89">
        <v>20</v>
      </c>
      <c r="H89">
        <v>2</v>
      </c>
      <c r="I89">
        <v>20070000</v>
      </c>
      <c r="J89">
        <v>686</v>
      </c>
      <c r="K89">
        <v>0</v>
      </c>
      <c r="L89">
        <v>13380</v>
      </c>
      <c r="M89">
        <v>13.122719</v>
      </c>
      <c r="N89">
        <v>101.02302</v>
      </c>
      <c r="O89">
        <v>1.43</v>
      </c>
      <c r="P89">
        <v>10.02</v>
      </c>
      <c r="Q89">
        <v>12.52</v>
      </c>
      <c r="R89">
        <v>17.489999999999998</v>
      </c>
      <c r="S89">
        <v>0.03</v>
      </c>
      <c r="T89">
        <v>29.610001</v>
      </c>
      <c r="U89">
        <v>1.98</v>
      </c>
      <c r="V89">
        <v>0.6</v>
      </c>
      <c r="W89">
        <v>0</v>
      </c>
      <c r="X89">
        <v>35950.875745999998</v>
      </c>
      <c r="Y89">
        <v>80778280.230000004</v>
      </c>
    </row>
    <row r="90" spans="1:25" x14ac:dyDescent="0.55000000000000004">
      <c r="A90">
        <v>88</v>
      </c>
      <c r="B90" t="s">
        <v>20</v>
      </c>
      <c r="C90">
        <v>7</v>
      </c>
      <c r="D90">
        <v>7</v>
      </c>
      <c r="E90" t="s">
        <v>33</v>
      </c>
      <c r="F90" t="s">
        <v>34</v>
      </c>
      <c r="G90">
        <v>20</v>
      </c>
      <c r="H90">
        <v>2</v>
      </c>
      <c r="I90">
        <v>20070000</v>
      </c>
      <c r="J90">
        <v>687</v>
      </c>
      <c r="K90">
        <v>0</v>
      </c>
      <c r="L90">
        <v>13500</v>
      </c>
      <c r="M90">
        <v>13.203666999999999</v>
      </c>
      <c r="N90">
        <v>101.02302</v>
      </c>
      <c r="O90">
        <v>0.22</v>
      </c>
      <c r="P90">
        <v>1.97</v>
      </c>
      <c r="Q90">
        <v>2.52</v>
      </c>
      <c r="R90">
        <v>1.0900000000000001</v>
      </c>
      <c r="S90">
        <v>0</v>
      </c>
      <c r="T90">
        <v>33.169998</v>
      </c>
      <c r="U90">
        <v>1.42</v>
      </c>
      <c r="V90">
        <v>7.0000000000000007E-2</v>
      </c>
      <c r="W90">
        <v>0</v>
      </c>
      <c r="X90">
        <v>36110.948554000002</v>
      </c>
      <c r="Y90">
        <v>79859182.591999993</v>
      </c>
    </row>
    <row r="91" spans="1:25" x14ac:dyDescent="0.55000000000000004">
      <c r="A91">
        <v>89</v>
      </c>
      <c r="B91" t="s">
        <v>20</v>
      </c>
      <c r="C91">
        <v>7</v>
      </c>
      <c r="D91">
        <v>7</v>
      </c>
      <c r="E91" t="s">
        <v>33</v>
      </c>
      <c r="F91" t="s">
        <v>34</v>
      </c>
      <c r="G91">
        <v>20</v>
      </c>
      <c r="H91">
        <v>2</v>
      </c>
      <c r="I91">
        <v>20070000</v>
      </c>
      <c r="J91">
        <v>688</v>
      </c>
      <c r="K91">
        <v>0</v>
      </c>
      <c r="L91">
        <v>13381</v>
      </c>
      <c r="M91">
        <v>13.122719</v>
      </c>
      <c r="N91">
        <v>101.10615</v>
      </c>
      <c r="O91">
        <v>2.12</v>
      </c>
      <c r="P91">
        <v>0.11</v>
      </c>
      <c r="Q91">
        <v>8.19</v>
      </c>
      <c r="R91">
        <v>1.79</v>
      </c>
      <c r="S91">
        <v>0.17</v>
      </c>
      <c r="T91">
        <v>91.879997000000003</v>
      </c>
      <c r="U91">
        <v>2.96</v>
      </c>
      <c r="V91">
        <v>0.2</v>
      </c>
      <c r="W91">
        <v>0</v>
      </c>
      <c r="X91">
        <v>35553.542702999999</v>
      </c>
      <c r="Y91">
        <v>80002904.161400005</v>
      </c>
    </row>
    <row r="92" spans="1:25" x14ac:dyDescent="0.55000000000000004">
      <c r="A92">
        <v>90</v>
      </c>
      <c r="B92" t="s">
        <v>20</v>
      </c>
      <c r="C92">
        <v>7</v>
      </c>
      <c r="D92">
        <v>7</v>
      </c>
      <c r="E92" t="s">
        <v>33</v>
      </c>
      <c r="F92" t="s">
        <v>34</v>
      </c>
      <c r="G92">
        <v>20</v>
      </c>
      <c r="H92">
        <v>2</v>
      </c>
      <c r="I92">
        <v>20070000</v>
      </c>
      <c r="J92">
        <v>690</v>
      </c>
      <c r="K92">
        <v>0</v>
      </c>
      <c r="L92">
        <v>13501</v>
      </c>
      <c r="M92">
        <v>13.203666999999999</v>
      </c>
      <c r="N92">
        <v>101.10615</v>
      </c>
      <c r="O92">
        <v>2.27</v>
      </c>
      <c r="P92">
        <v>0</v>
      </c>
      <c r="Q92">
        <v>32.360000999999997</v>
      </c>
      <c r="R92">
        <v>7.44</v>
      </c>
      <c r="S92">
        <v>0</v>
      </c>
      <c r="T92">
        <v>71.300003000000004</v>
      </c>
      <c r="U92">
        <v>0.67</v>
      </c>
      <c r="V92">
        <v>0.01</v>
      </c>
      <c r="W92">
        <v>0</v>
      </c>
      <c r="X92">
        <v>28138.939166</v>
      </c>
      <c r="Y92">
        <v>21213545.462699998</v>
      </c>
    </row>
    <row r="93" spans="1:25" x14ac:dyDescent="0.55000000000000004">
      <c r="A93">
        <v>91</v>
      </c>
      <c r="B93" t="s">
        <v>20</v>
      </c>
      <c r="C93">
        <v>7</v>
      </c>
      <c r="D93">
        <v>7</v>
      </c>
      <c r="E93" t="s">
        <v>33</v>
      </c>
      <c r="F93" t="s">
        <v>34</v>
      </c>
      <c r="G93">
        <v>20</v>
      </c>
      <c r="H93">
        <v>2</v>
      </c>
      <c r="I93">
        <v>20070000</v>
      </c>
      <c r="J93">
        <v>691</v>
      </c>
      <c r="K93">
        <v>0</v>
      </c>
      <c r="L93">
        <v>13382</v>
      </c>
      <c r="M93">
        <v>13.122719</v>
      </c>
      <c r="N93">
        <v>101.189285</v>
      </c>
      <c r="O93">
        <v>3.57</v>
      </c>
      <c r="P93">
        <v>0</v>
      </c>
      <c r="Q93">
        <v>3.4</v>
      </c>
      <c r="R93">
        <v>1.1299999999999999</v>
      </c>
      <c r="S93">
        <v>0</v>
      </c>
      <c r="T93">
        <v>92.800003000000004</v>
      </c>
      <c r="U93">
        <v>2.93</v>
      </c>
      <c r="V93">
        <v>8.3699999999999992</v>
      </c>
      <c r="W93">
        <v>0</v>
      </c>
      <c r="X93">
        <v>27110.78744</v>
      </c>
      <c r="Y93">
        <v>27494741.431499999</v>
      </c>
    </row>
    <row r="94" spans="1:25" x14ac:dyDescent="0.55000000000000004">
      <c r="A94">
        <v>92</v>
      </c>
      <c r="B94" t="s">
        <v>20</v>
      </c>
      <c r="C94">
        <v>7</v>
      </c>
      <c r="D94">
        <v>7</v>
      </c>
      <c r="E94" t="s">
        <v>33</v>
      </c>
      <c r="F94" t="s">
        <v>34</v>
      </c>
      <c r="G94">
        <v>20</v>
      </c>
      <c r="H94">
        <v>2</v>
      </c>
      <c r="I94">
        <v>20070000</v>
      </c>
      <c r="J94">
        <v>695</v>
      </c>
      <c r="K94">
        <v>0</v>
      </c>
      <c r="L94">
        <v>13620</v>
      </c>
      <c r="M94">
        <v>13.284592</v>
      </c>
      <c r="N94">
        <v>101.02302</v>
      </c>
      <c r="O94">
        <v>2.91</v>
      </c>
      <c r="P94">
        <v>8.7100000000000009</v>
      </c>
      <c r="Q94">
        <v>1.0900000000000001</v>
      </c>
      <c r="R94">
        <v>0.09</v>
      </c>
      <c r="S94">
        <v>0.45</v>
      </c>
      <c r="T94">
        <v>35.630001</v>
      </c>
      <c r="U94">
        <v>1.78</v>
      </c>
      <c r="V94">
        <v>0.02</v>
      </c>
      <c r="W94">
        <v>0</v>
      </c>
      <c r="X94">
        <v>23903.918511</v>
      </c>
      <c r="Y94">
        <v>25573998.261500001</v>
      </c>
    </row>
    <row r="95" spans="1:25" x14ac:dyDescent="0.55000000000000004">
      <c r="A95">
        <v>93</v>
      </c>
      <c r="B95" t="s">
        <v>20</v>
      </c>
      <c r="C95">
        <v>8</v>
      </c>
      <c r="D95">
        <v>8</v>
      </c>
      <c r="E95" t="s">
        <v>35</v>
      </c>
      <c r="F95" t="s">
        <v>36</v>
      </c>
      <c r="G95">
        <v>20</v>
      </c>
      <c r="H95">
        <v>2</v>
      </c>
      <c r="I95">
        <v>20080000</v>
      </c>
      <c r="J95">
        <v>664</v>
      </c>
      <c r="K95">
        <v>0</v>
      </c>
      <c r="L95">
        <v>13497</v>
      </c>
      <c r="M95">
        <v>13.203666999999999</v>
      </c>
      <c r="N95">
        <v>100.773605</v>
      </c>
      <c r="O95">
        <v>0.17</v>
      </c>
      <c r="P95">
        <v>1.55</v>
      </c>
      <c r="Q95">
        <v>3.02</v>
      </c>
      <c r="R95">
        <v>0</v>
      </c>
      <c r="S95">
        <v>45.919998</v>
      </c>
      <c r="T95">
        <v>27.540001</v>
      </c>
      <c r="U95">
        <v>5.8</v>
      </c>
      <c r="V95">
        <v>0.44</v>
      </c>
      <c r="W95">
        <v>1.33</v>
      </c>
      <c r="X95">
        <v>6137.0889269999998</v>
      </c>
      <c r="Y95">
        <v>1548611.52015</v>
      </c>
    </row>
    <row r="96" spans="1:25" x14ac:dyDescent="0.55000000000000004">
      <c r="A96">
        <v>94</v>
      </c>
      <c r="B96" t="s">
        <v>20</v>
      </c>
      <c r="C96">
        <v>8</v>
      </c>
      <c r="D96">
        <v>8</v>
      </c>
      <c r="E96" t="s">
        <v>35</v>
      </c>
      <c r="F96" t="s">
        <v>36</v>
      </c>
      <c r="G96">
        <v>20</v>
      </c>
      <c r="H96">
        <v>2</v>
      </c>
      <c r="I96">
        <v>20080000</v>
      </c>
      <c r="J96">
        <v>665</v>
      </c>
      <c r="K96">
        <v>0</v>
      </c>
      <c r="L96">
        <v>13377</v>
      </c>
      <c r="M96">
        <v>13.122719</v>
      </c>
      <c r="N96">
        <v>100.773605</v>
      </c>
      <c r="O96">
        <v>12.61</v>
      </c>
      <c r="P96">
        <v>0.28000000000000003</v>
      </c>
      <c r="Q96">
        <v>0.15</v>
      </c>
      <c r="R96">
        <v>0</v>
      </c>
      <c r="S96">
        <v>5.45</v>
      </c>
      <c r="T96">
        <v>9.5399999999999991</v>
      </c>
      <c r="U96">
        <v>4.6900000000000004</v>
      </c>
      <c r="V96">
        <v>0.21</v>
      </c>
      <c r="W96">
        <v>1.1399999999999999</v>
      </c>
      <c r="X96">
        <v>12234.615957</v>
      </c>
      <c r="Y96">
        <v>4191951.00337</v>
      </c>
    </row>
    <row r="97" spans="1:25" x14ac:dyDescent="0.55000000000000004">
      <c r="A97">
        <v>95</v>
      </c>
      <c r="B97" t="s">
        <v>20</v>
      </c>
      <c r="C97">
        <v>8</v>
      </c>
      <c r="D97">
        <v>8</v>
      </c>
      <c r="E97" t="s">
        <v>35</v>
      </c>
      <c r="F97" t="s">
        <v>36</v>
      </c>
      <c r="G97">
        <v>20</v>
      </c>
      <c r="H97">
        <v>2</v>
      </c>
      <c r="I97">
        <v>20080000</v>
      </c>
      <c r="J97">
        <v>675</v>
      </c>
      <c r="K97">
        <v>0</v>
      </c>
      <c r="L97">
        <v>13378</v>
      </c>
      <c r="M97">
        <v>13.122719</v>
      </c>
      <c r="N97">
        <v>100.85674</v>
      </c>
      <c r="O97">
        <v>33.520000000000003</v>
      </c>
      <c r="P97">
        <v>0.42</v>
      </c>
      <c r="Q97">
        <v>2.38</v>
      </c>
      <c r="R97">
        <v>0</v>
      </c>
      <c r="S97">
        <v>0.36</v>
      </c>
      <c r="T97">
        <v>9.0399999999999991</v>
      </c>
      <c r="U97">
        <v>6.29</v>
      </c>
      <c r="V97">
        <v>1.1000000000000001</v>
      </c>
      <c r="W97">
        <v>0.01</v>
      </c>
      <c r="X97">
        <v>5669.9177950000003</v>
      </c>
      <c r="Y97">
        <v>712360.03363900003</v>
      </c>
    </row>
    <row r="98" spans="1:25" x14ac:dyDescent="0.55000000000000004">
      <c r="A98">
        <v>96</v>
      </c>
      <c r="B98" t="s">
        <v>20</v>
      </c>
      <c r="C98">
        <v>9</v>
      </c>
      <c r="D98">
        <v>9</v>
      </c>
      <c r="E98" t="s">
        <v>37</v>
      </c>
      <c r="F98" t="s">
        <v>38</v>
      </c>
      <c r="G98">
        <v>20</v>
      </c>
      <c r="H98">
        <v>2</v>
      </c>
      <c r="I98">
        <v>20090000</v>
      </c>
      <c r="J98">
        <v>168</v>
      </c>
      <c r="K98">
        <v>0</v>
      </c>
      <c r="L98">
        <v>12657</v>
      </c>
      <c r="M98">
        <v>12.636443999999999</v>
      </c>
      <c r="N98">
        <v>100.773605</v>
      </c>
      <c r="O98">
        <v>0.37</v>
      </c>
      <c r="P98">
        <v>0.1</v>
      </c>
      <c r="Q98">
        <v>0.09</v>
      </c>
      <c r="R98">
        <v>2.39</v>
      </c>
      <c r="S98">
        <v>18.68</v>
      </c>
      <c r="T98">
        <v>11.1</v>
      </c>
      <c r="U98">
        <v>5.54</v>
      </c>
      <c r="V98">
        <v>4.8099999999999996</v>
      </c>
      <c r="W98">
        <v>1.92</v>
      </c>
      <c r="X98">
        <v>3692.5625140000002</v>
      </c>
      <c r="Y98">
        <v>560954.469851</v>
      </c>
    </row>
    <row r="99" spans="1:25" x14ac:dyDescent="0.55000000000000004">
      <c r="A99">
        <v>97</v>
      </c>
      <c r="B99" t="s">
        <v>20</v>
      </c>
      <c r="C99">
        <v>9</v>
      </c>
      <c r="D99">
        <v>9</v>
      </c>
      <c r="E99" t="s">
        <v>37</v>
      </c>
      <c r="F99" t="s">
        <v>38</v>
      </c>
      <c r="G99">
        <v>20</v>
      </c>
      <c r="H99">
        <v>2</v>
      </c>
      <c r="I99">
        <v>20090000</v>
      </c>
      <c r="J99">
        <v>173</v>
      </c>
      <c r="K99">
        <v>0</v>
      </c>
      <c r="L99">
        <v>12419</v>
      </c>
      <c r="M99">
        <v>12.474159</v>
      </c>
      <c r="N99">
        <v>100.93988</v>
      </c>
      <c r="O99">
        <v>0</v>
      </c>
      <c r="P99">
        <v>0.35</v>
      </c>
      <c r="Q99">
        <v>0.27</v>
      </c>
      <c r="R99">
        <v>0</v>
      </c>
      <c r="S99">
        <v>0.22</v>
      </c>
      <c r="T99">
        <v>3.58</v>
      </c>
      <c r="U99">
        <v>6.1</v>
      </c>
      <c r="V99">
        <v>2.38</v>
      </c>
      <c r="W99">
        <v>5.84</v>
      </c>
      <c r="X99">
        <v>3420.6363070000002</v>
      </c>
      <c r="Y99">
        <v>283819.17847799999</v>
      </c>
    </row>
    <row r="100" spans="1:25" x14ac:dyDescent="0.55000000000000004">
      <c r="A100">
        <v>98</v>
      </c>
      <c r="B100" t="s">
        <v>20</v>
      </c>
      <c r="C100">
        <v>9</v>
      </c>
      <c r="D100">
        <v>9</v>
      </c>
      <c r="E100" t="s">
        <v>37</v>
      </c>
      <c r="F100" t="s">
        <v>38</v>
      </c>
      <c r="G100">
        <v>20</v>
      </c>
      <c r="H100">
        <v>2</v>
      </c>
      <c r="I100">
        <v>20090000</v>
      </c>
      <c r="J100">
        <v>176</v>
      </c>
      <c r="K100">
        <v>0</v>
      </c>
      <c r="L100">
        <v>12539</v>
      </c>
      <c r="M100">
        <v>12.555313</v>
      </c>
      <c r="N100">
        <v>100.93988</v>
      </c>
      <c r="O100">
        <v>0</v>
      </c>
      <c r="P100">
        <v>0.79</v>
      </c>
      <c r="Q100">
        <v>0.03</v>
      </c>
      <c r="R100">
        <v>0.13</v>
      </c>
      <c r="S100">
        <v>13.4</v>
      </c>
      <c r="T100">
        <v>3.36</v>
      </c>
      <c r="U100">
        <v>4.45</v>
      </c>
      <c r="V100">
        <v>4.88</v>
      </c>
      <c r="W100">
        <v>6.1</v>
      </c>
      <c r="X100">
        <v>26276.622144000001</v>
      </c>
      <c r="Y100">
        <v>6642748.0146899996</v>
      </c>
    </row>
    <row r="101" spans="1:25" x14ac:dyDescent="0.55000000000000004">
      <c r="A101">
        <v>99</v>
      </c>
      <c r="B101" t="s">
        <v>20</v>
      </c>
      <c r="C101">
        <v>9</v>
      </c>
      <c r="D101">
        <v>9</v>
      </c>
      <c r="E101" t="s">
        <v>37</v>
      </c>
      <c r="F101" t="s">
        <v>38</v>
      </c>
      <c r="G101">
        <v>20</v>
      </c>
      <c r="H101">
        <v>2</v>
      </c>
      <c r="I101">
        <v>20090000</v>
      </c>
      <c r="J101">
        <v>179</v>
      </c>
      <c r="K101">
        <v>0</v>
      </c>
      <c r="L101">
        <v>12659</v>
      </c>
      <c r="M101">
        <v>12.636443999999999</v>
      </c>
      <c r="N101">
        <v>100.93988</v>
      </c>
      <c r="O101">
        <v>0.02</v>
      </c>
      <c r="P101">
        <v>0.06</v>
      </c>
      <c r="Q101">
        <v>0.01</v>
      </c>
      <c r="R101">
        <v>0</v>
      </c>
      <c r="S101">
        <v>2.7</v>
      </c>
      <c r="T101">
        <v>9.3000000000000007</v>
      </c>
      <c r="U101">
        <v>10.15</v>
      </c>
      <c r="V101">
        <v>7.48</v>
      </c>
      <c r="W101">
        <v>3.53</v>
      </c>
      <c r="X101">
        <v>41508.853369999997</v>
      </c>
      <c r="Y101">
        <v>47912921.588200003</v>
      </c>
    </row>
    <row r="102" spans="1:25" x14ac:dyDescent="0.55000000000000004">
      <c r="A102">
        <v>100</v>
      </c>
      <c r="B102" t="s">
        <v>20</v>
      </c>
      <c r="C102">
        <v>9</v>
      </c>
      <c r="D102">
        <v>9</v>
      </c>
      <c r="E102" t="s">
        <v>37</v>
      </c>
      <c r="F102" t="s">
        <v>38</v>
      </c>
      <c r="G102">
        <v>20</v>
      </c>
      <c r="H102">
        <v>2</v>
      </c>
      <c r="I102">
        <v>20090000</v>
      </c>
      <c r="J102">
        <v>180</v>
      </c>
      <c r="K102">
        <v>0</v>
      </c>
      <c r="L102">
        <v>12658</v>
      </c>
      <c r="M102">
        <v>12.636443999999999</v>
      </c>
      <c r="N102">
        <v>100.85674</v>
      </c>
      <c r="O102">
        <v>0.01</v>
      </c>
      <c r="P102">
        <v>0.15</v>
      </c>
      <c r="Q102">
        <v>0.04</v>
      </c>
      <c r="R102">
        <v>0.05</v>
      </c>
      <c r="S102">
        <v>3.15</v>
      </c>
      <c r="T102">
        <v>9.2899999999999991</v>
      </c>
      <c r="U102">
        <v>8.16</v>
      </c>
      <c r="V102">
        <v>5.33</v>
      </c>
      <c r="W102">
        <v>1.68</v>
      </c>
      <c r="X102">
        <v>36519.375989</v>
      </c>
      <c r="Y102">
        <v>14327926.946900001</v>
      </c>
    </row>
    <row r="103" spans="1:25" x14ac:dyDescent="0.55000000000000004">
      <c r="A103">
        <v>101</v>
      </c>
      <c r="B103" t="s">
        <v>20</v>
      </c>
      <c r="C103">
        <v>9</v>
      </c>
      <c r="D103">
        <v>9</v>
      </c>
      <c r="E103" t="s">
        <v>37</v>
      </c>
      <c r="F103" t="s">
        <v>38</v>
      </c>
      <c r="G103">
        <v>20</v>
      </c>
      <c r="H103">
        <v>2</v>
      </c>
      <c r="I103">
        <v>20090000</v>
      </c>
      <c r="J103">
        <v>187</v>
      </c>
      <c r="K103">
        <v>0</v>
      </c>
      <c r="L103">
        <v>12660</v>
      </c>
      <c r="M103">
        <v>12.636443999999999</v>
      </c>
      <c r="N103">
        <v>101.02302</v>
      </c>
      <c r="O103">
        <v>7.0000000000000007E-2</v>
      </c>
      <c r="P103">
        <v>0.2</v>
      </c>
      <c r="Q103">
        <v>0.7</v>
      </c>
      <c r="R103">
        <v>0.01</v>
      </c>
      <c r="S103">
        <v>2.78</v>
      </c>
      <c r="T103">
        <v>22.83</v>
      </c>
      <c r="U103">
        <v>24.77</v>
      </c>
      <c r="V103">
        <v>8.5</v>
      </c>
      <c r="W103">
        <v>5.24</v>
      </c>
      <c r="X103">
        <v>7831.4474719999998</v>
      </c>
      <c r="Y103">
        <v>2856374.4136000001</v>
      </c>
    </row>
    <row r="104" spans="1:25" x14ac:dyDescent="0.55000000000000004">
      <c r="A104">
        <v>102</v>
      </c>
      <c r="B104" t="s">
        <v>20</v>
      </c>
      <c r="C104">
        <v>9</v>
      </c>
      <c r="D104">
        <v>9</v>
      </c>
      <c r="E104" t="s">
        <v>37</v>
      </c>
      <c r="F104" t="s">
        <v>38</v>
      </c>
      <c r="G104">
        <v>20</v>
      </c>
      <c r="H104">
        <v>2</v>
      </c>
      <c r="I104">
        <v>20090000</v>
      </c>
      <c r="J104">
        <v>199</v>
      </c>
      <c r="K104">
        <v>0</v>
      </c>
      <c r="L104">
        <v>12777</v>
      </c>
      <c r="M104">
        <v>12.717560000000001</v>
      </c>
      <c r="N104">
        <v>100.773605</v>
      </c>
      <c r="O104">
        <v>0.59</v>
      </c>
      <c r="P104">
        <v>0.03</v>
      </c>
      <c r="Q104">
        <v>0.13</v>
      </c>
      <c r="R104">
        <v>0.03</v>
      </c>
      <c r="S104">
        <v>4.07</v>
      </c>
      <c r="T104">
        <v>52.900002000000001</v>
      </c>
      <c r="U104">
        <v>10.29</v>
      </c>
      <c r="V104">
        <v>3.17</v>
      </c>
      <c r="W104">
        <v>0.38</v>
      </c>
      <c r="X104">
        <v>20055.306247</v>
      </c>
      <c r="Y104">
        <v>13326369.4615</v>
      </c>
    </row>
    <row r="105" spans="1:25" x14ac:dyDescent="0.55000000000000004">
      <c r="A105">
        <v>103</v>
      </c>
      <c r="B105" t="s">
        <v>20</v>
      </c>
      <c r="C105">
        <v>9</v>
      </c>
      <c r="D105">
        <v>9</v>
      </c>
      <c r="E105" t="s">
        <v>37</v>
      </c>
      <c r="F105" t="s">
        <v>38</v>
      </c>
      <c r="G105">
        <v>20</v>
      </c>
      <c r="H105">
        <v>2</v>
      </c>
      <c r="I105">
        <v>20090000</v>
      </c>
      <c r="J105">
        <v>201</v>
      </c>
      <c r="K105">
        <v>0</v>
      </c>
      <c r="L105">
        <v>12778</v>
      </c>
      <c r="M105">
        <v>12.717560000000001</v>
      </c>
      <c r="N105">
        <v>100.85674</v>
      </c>
      <c r="O105">
        <v>7.25</v>
      </c>
      <c r="P105">
        <v>0.09</v>
      </c>
      <c r="Q105">
        <v>0.11</v>
      </c>
      <c r="R105">
        <v>0</v>
      </c>
      <c r="S105">
        <v>0.91</v>
      </c>
      <c r="T105">
        <v>4.95</v>
      </c>
      <c r="U105">
        <v>15.76</v>
      </c>
      <c r="V105">
        <v>4.72</v>
      </c>
      <c r="W105">
        <v>11.36</v>
      </c>
      <c r="X105">
        <v>35936.185291000002</v>
      </c>
      <c r="Y105">
        <v>56075324.468699999</v>
      </c>
    </row>
    <row r="106" spans="1:25" x14ac:dyDescent="0.55000000000000004">
      <c r="A106">
        <v>104</v>
      </c>
      <c r="B106" t="s">
        <v>20</v>
      </c>
      <c r="C106">
        <v>9</v>
      </c>
      <c r="D106">
        <v>9</v>
      </c>
      <c r="E106" t="s">
        <v>37</v>
      </c>
      <c r="F106" t="s">
        <v>38</v>
      </c>
      <c r="G106">
        <v>20</v>
      </c>
      <c r="H106">
        <v>2</v>
      </c>
      <c r="I106">
        <v>20090000</v>
      </c>
      <c r="J106">
        <v>206</v>
      </c>
      <c r="K106">
        <v>0</v>
      </c>
      <c r="L106">
        <v>12898</v>
      </c>
      <c r="M106">
        <v>12.798636999999999</v>
      </c>
      <c r="N106">
        <v>100.85674</v>
      </c>
      <c r="O106">
        <v>0.12</v>
      </c>
      <c r="P106">
        <v>0.08</v>
      </c>
      <c r="Q106">
        <v>2.17</v>
      </c>
      <c r="R106">
        <v>0</v>
      </c>
      <c r="S106">
        <v>1.1100000000000001</v>
      </c>
      <c r="T106">
        <v>10.38</v>
      </c>
      <c r="U106">
        <v>11.23</v>
      </c>
      <c r="V106">
        <v>15.2</v>
      </c>
      <c r="W106">
        <v>5.66</v>
      </c>
      <c r="X106">
        <v>12497.541096000001</v>
      </c>
      <c r="Y106">
        <v>3778574.1552400002</v>
      </c>
    </row>
    <row r="107" spans="1:25" x14ac:dyDescent="0.55000000000000004">
      <c r="A107">
        <v>105</v>
      </c>
      <c r="B107" t="s">
        <v>20</v>
      </c>
      <c r="C107">
        <v>9</v>
      </c>
      <c r="D107">
        <v>9</v>
      </c>
      <c r="E107" t="s">
        <v>37</v>
      </c>
      <c r="F107" t="s">
        <v>38</v>
      </c>
      <c r="G107">
        <v>20</v>
      </c>
      <c r="H107">
        <v>2</v>
      </c>
      <c r="I107">
        <v>20090000</v>
      </c>
      <c r="J107">
        <v>209</v>
      </c>
      <c r="K107">
        <v>0</v>
      </c>
      <c r="L107">
        <v>12780</v>
      </c>
      <c r="M107">
        <v>12.717560000000001</v>
      </c>
      <c r="N107">
        <v>101.02302</v>
      </c>
      <c r="O107">
        <v>0.01</v>
      </c>
      <c r="P107">
        <v>4.8099999999999996</v>
      </c>
      <c r="Q107">
        <v>0.08</v>
      </c>
      <c r="R107">
        <v>1.99</v>
      </c>
      <c r="S107">
        <v>0.28000000000000003</v>
      </c>
      <c r="T107">
        <v>18.540001</v>
      </c>
      <c r="U107">
        <v>5.3</v>
      </c>
      <c r="V107">
        <v>12.78</v>
      </c>
      <c r="W107">
        <v>4.1500000000000004</v>
      </c>
      <c r="X107">
        <v>25481.258689999999</v>
      </c>
      <c r="Y107">
        <v>13812121.414799999</v>
      </c>
    </row>
    <row r="108" spans="1:25" x14ac:dyDescent="0.55000000000000004">
      <c r="A108">
        <v>106</v>
      </c>
      <c r="B108" t="s">
        <v>20</v>
      </c>
      <c r="C108">
        <v>9</v>
      </c>
      <c r="D108">
        <v>9</v>
      </c>
      <c r="E108" t="s">
        <v>37</v>
      </c>
      <c r="F108" t="s">
        <v>38</v>
      </c>
      <c r="G108">
        <v>20</v>
      </c>
      <c r="H108">
        <v>2</v>
      </c>
      <c r="I108">
        <v>20090000</v>
      </c>
      <c r="J108">
        <v>210</v>
      </c>
      <c r="K108">
        <v>0</v>
      </c>
      <c r="L108">
        <v>12779</v>
      </c>
      <c r="M108">
        <v>12.717560000000001</v>
      </c>
      <c r="N108">
        <v>100.93988</v>
      </c>
      <c r="O108">
        <v>0.78</v>
      </c>
      <c r="P108">
        <v>0.33</v>
      </c>
      <c r="Q108">
        <v>1.2</v>
      </c>
      <c r="R108">
        <v>3.21</v>
      </c>
      <c r="S108">
        <v>0.89</v>
      </c>
      <c r="T108">
        <v>49.540000999999997</v>
      </c>
      <c r="U108">
        <v>7.71</v>
      </c>
      <c r="V108">
        <v>6.72</v>
      </c>
      <c r="W108">
        <v>4.4000000000000004</v>
      </c>
      <c r="X108">
        <v>36007.493815000002</v>
      </c>
      <c r="Y108">
        <v>81032884.610499993</v>
      </c>
    </row>
    <row r="109" spans="1:25" x14ac:dyDescent="0.55000000000000004">
      <c r="A109">
        <v>107</v>
      </c>
      <c r="B109" t="s">
        <v>20</v>
      </c>
      <c r="C109">
        <v>9</v>
      </c>
      <c r="D109">
        <v>9</v>
      </c>
      <c r="E109" t="s">
        <v>37</v>
      </c>
      <c r="F109" t="s">
        <v>38</v>
      </c>
      <c r="G109">
        <v>20</v>
      </c>
      <c r="H109">
        <v>2</v>
      </c>
      <c r="I109">
        <v>20090000</v>
      </c>
      <c r="J109">
        <v>212</v>
      </c>
      <c r="K109">
        <v>0</v>
      </c>
      <c r="L109">
        <v>13018</v>
      </c>
      <c r="M109">
        <v>12.8797</v>
      </c>
      <c r="N109">
        <v>100.85674</v>
      </c>
      <c r="O109">
        <v>1.61</v>
      </c>
      <c r="P109">
        <v>0.4</v>
      </c>
      <c r="Q109">
        <v>1.37</v>
      </c>
      <c r="R109">
        <v>0.06</v>
      </c>
      <c r="S109">
        <v>0.5</v>
      </c>
      <c r="T109">
        <v>5.49</v>
      </c>
      <c r="U109">
        <v>6.44</v>
      </c>
      <c r="V109">
        <v>22.969999000000001</v>
      </c>
      <c r="W109">
        <v>0</v>
      </c>
      <c r="X109">
        <v>3126.5154160000002</v>
      </c>
      <c r="Y109">
        <v>377441.57442199998</v>
      </c>
    </row>
    <row r="110" spans="1:25" x14ac:dyDescent="0.55000000000000004">
      <c r="A110">
        <v>108</v>
      </c>
      <c r="B110" t="s">
        <v>20</v>
      </c>
      <c r="C110">
        <v>9</v>
      </c>
      <c r="D110">
        <v>9</v>
      </c>
      <c r="E110" t="s">
        <v>37</v>
      </c>
      <c r="F110" t="s">
        <v>38</v>
      </c>
      <c r="G110">
        <v>20</v>
      </c>
      <c r="H110">
        <v>2</v>
      </c>
      <c r="I110">
        <v>20090000</v>
      </c>
      <c r="J110">
        <v>213</v>
      </c>
      <c r="K110">
        <v>0</v>
      </c>
      <c r="L110">
        <v>12899</v>
      </c>
      <c r="M110">
        <v>12.798636999999999</v>
      </c>
      <c r="N110">
        <v>100.93988</v>
      </c>
      <c r="O110">
        <v>0.02</v>
      </c>
      <c r="P110">
        <v>8.75</v>
      </c>
      <c r="Q110">
        <v>1.63</v>
      </c>
      <c r="R110">
        <v>0</v>
      </c>
      <c r="S110">
        <v>0.08</v>
      </c>
      <c r="T110">
        <v>6.06</v>
      </c>
      <c r="U110">
        <v>16.32</v>
      </c>
      <c r="V110">
        <v>14.81</v>
      </c>
      <c r="W110">
        <v>13.74</v>
      </c>
      <c r="X110">
        <v>35949.265361999998</v>
      </c>
      <c r="Y110">
        <v>36954523.041100003</v>
      </c>
    </row>
    <row r="111" spans="1:25" x14ac:dyDescent="0.55000000000000004">
      <c r="A111">
        <v>109</v>
      </c>
      <c r="B111" t="s">
        <v>20</v>
      </c>
      <c r="C111">
        <v>9</v>
      </c>
      <c r="D111">
        <v>9</v>
      </c>
      <c r="E111" t="s">
        <v>37</v>
      </c>
      <c r="F111" t="s">
        <v>38</v>
      </c>
      <c r="G111">
        <v>20</v>
      </c>
      <c r="H111">
        <v>2</v>
      </c>
      <c r="I111">
        <v>20090000</v>
      </c>
      <c r="J111">
        <v>217</v>
      </c>
      <c r="K111">
        <v>0</v>
      </c>
      <c r="L111">
        <v>13019</v>
      </c>
      <c r="M111">
        <v>12.8797</v>
      </c>
      <c r="N111">
        <v>100.93988</v>
      </c>
      <c r="O111">
        <v>0.05</v>
      </c>
      <c r="P111">
        <v>3.2</v>
      </c>
      <c r="Q111">
        <v>1.32</v>
      </c>
      <c r="R111">
        <v>0.17</v>
      </c>
      <c r="S111">
        <v>4.05</v>
      </c>
      <c r="T111">
        <v>15.27</v>
      </c>
      <c r="U111">
        <v>5.31</v>
      </c>
      <c r="V111">
        <v>29.57</v>
      </c>
      <c r="W111">
        <v>2.63</v>
      </c>
      <c r="X111">
        <v>9190.8909939999994</v>
      </c>
      <c r="Y111">
        <v>5249473.65013</v>
      </c>
    </row>
    <row r="112" spans="1:25" x14ac:dyDescent="0.55000000000000004">
      <c r="A112">
        <v>110</v>
      </c>
      <c r="B112" t="s">
        <v>20</v>
      </c>
      <c r="C112">
        <v>9</v>
      </c>
      <c r="D112">
        <v>9</v>
      </c>
      <c r="E112" t="s">
        <v>37</v>
      </c>
      <c r="F112" t="s">
        <v>38</v>
      </c>
      <c r="G112">
        <v>20</v>
      </c>
      <c r="H112">
        <v>2</v>
      </c>
      <c r="I112">
        <v>20090000</v>
      </c>
      <c r="J112">
        <v>218</v>
      </c>
      <c r="K112">
        <v>0</v>
      </c>
      <c r="L112">
        <v>12900</v>
      </c>
      <c r="M112">
        <v>12.798636999999999</v>
      </c>
      <c r="N112">
        <v>101.02302</v>
      </c>
      <c r="O112">
        <v>0</v>
      </c>
      <c r="P112">
        <v>7.98</v>
      </c>
      <c r="Q112">
        <v>0.14000000000000001</v>
      </c>
      <c r="R112">
        <v>0.01</v>
      </c>
      <c r="S112">
        <v>1.87</v>
      </c>
      <c r="T112">
        <v>88.580001999999993</v>
      </c>
      <c r="U112">
        <v>14.2</v>
      </c>
      <c r="V112">
        <v>21.92</v>
      </c>
      <c r="W112">
        <v>7.95</v>
      </c>
      <c r="X112">
        <v>12287.689699</v>
      </c>
      <c r="Y112">
        <v>3931509.7597099999</v>
      </c>
    </row>
    <row r="113" spans="1:25" x14ac:dyDescent="0.55000000000000004">
      <c r="A113">
        <v>111</v>
      </c>
      <c r="B113" t="s">
        <v>20</v>
      </c>
      <c r="C113">
        <v>10</v>
      </c>
      <c r="D113">
        <v>10</v>
      </c>
      <c r="E113" t="s">
        <v>39</v>
      </c>
      <c r="F113" t="s">
        <v>40</v>
      </c>
      <c r="G113">
        <v>20</v>
      </c>
      <c r="H113">
        <v>2</v>
      </c>
      <c r="I113">
        <v>20100000</v>
      </c>
      <c r="J113">
        <v>303</v>
      </c>
      <c r="K113">
        <v>0</v>
      </c>
      <c r="L113">
        <v>13267</v>
      </c>
      <c r="M113">
        <v>13.041733000000001</v>
      </c>
      <c r="N113">
        <v>101.60496500000001</v>
      </c>
      <c r="O113">
        <v>6.03</v>
      </c>
      <c r="P113">
        <v>0.2</v>
      </c>
      <c r="Q113">
        <v>0.91</v>
      </c>
      <c r="R113">
        <v>0.01</v>
      </c>
      <c r="S113">
        <v>0.91</v>
      </c>
      <c r="T113">
        <v>4.74</v>
      </c>
      <c r="U113">
        <v>20.27</v>
      </c>
      <c r="V113">
        <v>1.1100000000000001</v>
      </c>
      <c r="W113">
        <v>0.05</v>
      </c>
      <c r="X113">
        <v>679.73764500000004</v>
      </c>
      <c r="Y113">
        <v>19986.550070000001</v>
      </c>
    </row>
    <row r="114" spans="1:25" x14ac:dyDescent="0.55000000000000004">
      <c r="A114">
        <v>112</v>
      </c>
      <c r="B114" t="s">
        <v>20</v>
      </c>
      <c r="C114">
        <v>10</v>
      </c>
      <c r="D114">
        <v>10</v>
      </c>
      <c r="E114" t="s">
        <v>39</v>
      </c>
      <c r="F114" t="s">
        <v>40</v>
      </c>
      <c r="G114">
        <v>20</v>
      </c>
      <c r="H114">
        <v>2</v>
      </c>
      <c r="I114">
        <v>20100000</v>
      </c>
      <c r="J114">
        <v>304</v>
      </c>
      <c r="K114">
        <v>0</v>
      </c>
      <c r="L114">
        <v>13266</v>
      </c>
      <c r="M114">
        <v>13.041733000000001</v>
      </c>
      <c r="N114">
        <v>101.52182999999999</v>
      </c>
      <c r="O114">
        <v>1.22</v>
      </c>
      <c r="P114">
        <v>0.01</v>
      </c>
      <c r="Q114">
        <v>6.37</v>
      </c>
      <c r="R114">
        <v>7.0000000000000007E-2</v>
      </c>
      <c r="S114">
        <v>11.69</v>
      </c>
      <c r="T114">
        <v>6.71</v>
      </c>
      <c r="U114">
        <v>8.59</v>
      </c>
      <c r="V114">
        <v>4.3</v>
      </c>
      <c r="W114">
        <v>0.2</v>
      </c>
      <c r="X114">
        <v>6749.0551699999996</v>
      </c>
      <c r="Y114">
        <v>1724790.78755</v>
      </c>
    </row>
    <row r="115" spans="1:25" x14ac:dyDescent="0.55000000000000004">
      <c r="A115">
        <v>113</v>
      </c>
      <c r="B115" t="s">
        <v>20</v>
      </c>
      <c r="C115">
        <v>10</v>
      </c>
      <c r="D115">
        <v>10</v>
      </c>
      <c r="E115" t="s">
        <v>39</v>
      </c>
      <c r="F115" t="s">
        <v>40</v>
      </c>
      <c r="G115">
        <v>20</v>
      </c>
      <c r="H115">
        <v>2</v>
      </c>
      <c r="I115">
        <v>20100000</v>
      </c>
      <c r="J115">
        <v>736</v>
      </c>
      <c r="K115">
        <v>0</v>
      </c>
      <c r="L115">
        <v>13624</v>
      </c>
      <c r="M115">
        <v>13.284592</v>
      </c>
      <c r="N115">
        <v>101.35556</v>
      </c>
      <c r="O115">
        <v>1.54</v>
      </c>
      <c r="P115">
        <v>0.14000000000000001</v>
      </c>
      <c r="Q115">
        <v>9.5299999999999994</v>
      </c>
      <c r="R115">
        <v>3.86</v>
      </c>
      <c r="S115">
        <v>0.2</v>
      </c>
      <c r="T115">
        <v>42.799999</v>
      </c>
      <c r="U115">
        <v>4.95</v>
      </c>
      <c r="V115">
        <v>3.98</v>
      </c>
      <c r="W115">
        <v>0</v>
      </c>
      <c r="X115">
        <v>33876.508675999998</v>
      </c>
      <c r="Y115">
        <v>68761346.312900007</v>
      </c>
    </row>
    <row r="116" spans="1:25" x14ac:dyDescent="0.55000000000000004">
      <c r="A116">
        <v>114</v>
      </c>
      <c r="B116" t="s">
        <v>20</v>
      </c>
      <c r="C116">
        <v>10</v>
      </c>
      <c r="D116">
        <v>10</v>
      </c>
      <c r="E116" t="s">
        <v>39</v>
      </c>
      <c r="F116" t="s">
        <v>40</v>
      </c>
      <c r="G116">
        <v>20</v>
      </c>
      <c r="H116">
        <v>2</v>
      </c>
      <c r="I116">
        <v>20100000</v>
      </c>
      <c r="J116">
        <v>738</v>
      </c>
      <c r="K116">
        <v>0</v>
      </c>
      <c r="L116">
        <v>13504</v>
      </c>
      <c r="M116">
        <v>13.203666999999999</v>
      </c>
      <c r="N116">
        <v>101.35556</v>
      </c>
      <c r="O116">
        <v>0.34</v>
      </c>
      <c r="P116">
        <v>0.34</v>
      </c>
      <c r="Q116">
        <v>1.1299999999999999</v>
      </c>
      <c r="R116">
        <v>2.7</v>
      </c>
      <c r="S116">
        <v>0.02</v>
      </c>
      <c r="T116">
        <v>43.509998000000003</v>
      </c>
      <c r="U116">
        <v>7.4</v>
      </c>
      <c r="V116">
        <v>12.8</v>
      </c>
      <c r="W116">
        <v>0</v>
      </c>
      <c r="X116">
        <v>16700.951363</v>
      </c>
      <c r="Y116">
        <v>11721209.273399999</v>
      </c>
    </row>
    <row r="117" spans="1:25" x14ac:dyDescent="0.55000000000000004">
      <c r="A117">
        <v>115</v>
      </c>
      <c r="B117" t="s">
        <v>20</v>
      </c>
      <c r="C117">
        <v>10</v>
      </c>
      <c r="D117">
        <v>10</v>
      </c>
      <c r="E117" t="s">
        <v>39</v>
      </c>
      <c r="F117" t="s">
        <v>40</v>
      </c>
      <c r="G117">
        <v>20</v>
      </c>
      <c r="H117">
        <v>2</v>
      </c>
      <c r="I117">
        <v>20100000</v>
      </c>
      <c r="J117">
        <v>740</v>
      </c>
      <c r="K117">
        <v>0</v>
      </c>
      <c r="L117">
        <v>13623</v>
      </c>
      <c r="M117">
        <v>13.284592</v>
      </c>
      <c r="N117">
        <v>101.27242</v>
      </c>
      <c r="O117">
        <v>7.0000000000000007E-2</v>
      </c>
      <c r="P117">
        <v>4.38</v>
      </c>
      <c r="Q117">
        <v>0.7</v>
      </c>
      <c r="R117">
        <v>9.3699999999999992</v>
      </c>
      <c r="S117">
        <v>2.34</v>
      </c>
      <c r="T117">
        <v>47.98</v>
      </c>
      <c r="U117">
        <v>8.1300000000000008</v>
      </c>
      <c r="V117">
        <v>0.08</v>
      </c>
      <c r="W117">
        <v>0</v>
      </c>
      <c r="X117">
        <v>17102.684932</v>
      </c>
      <c r="Y117">
        <v>12176582.278999999</v>
      </c>
    </row>
    <row r="118" spans="1:25" x14ac:dyDescent="0.55000000000000004">
      <c r="A118">
        <v>116</v>
      </c>
      <c r="B118" t="s">
        <v>20</v>
      </c>
      <c r="C118">
        <v>10</v>
      </c>
      <c r="D118">
        <v>10</v>
      </c>
      <c r="E118" t="s">
        <v>39</v>
      </c>
      <c r="F118" t="s">
        <v>40</v>
      </c>
      <c r="G118">
        <v>20</v>
      </c>
      <c r="H118">
        <v>2</v>
      </c>
      <c r="I118">
        <v>20100000</v>
      </c>
      <c r="J118">
        <v>741</v>
      </c>
      <c r="K118">
        <v>0</v>
      </c>
      <c r="L118">
        <v>13743</v>
      </c>
      <c r="M118">
        <v>13.365479000000001</v>
      </c>
      <c r="N118">
        <v>101.27242</v>
      </c>
      <c r="O118">
        <v>0.32</v>
      </c>
      <c r="P118">
        <v>0.06</v>
      </c>
      <c r="Q118">
        <v>0.02</v>
      </c>
      <c r="R118">
        <v>2.44</v>
      </c>
      <c r="S118">
        <v>0.02</v>
      </c>
      <c r="T118">
        <v>11.6</v>
      </c>
      <c r="U118">
        <v>4.04</v>
      </c>
      <c r="V118">
        <v>0</v>
      </c>
      <c r="W118">
        <v>0</v>
      </c>
      <c r="X118">
        <v>13975.605970000001</v>
      </c>
      <c r="Y118">
        <v>10948740.979900001</v>
      </c>
    </row>
    <row r="119" spans="1:25" x14ac:dyDescent="0.55000000000000004">
      <c r="A119">
        <v>117</v>
      </c>
      <c r="B119" t="s">
        <v>20</v>
      </c>
      <c r="C119">
        <v>10</v>
      </c>
      <c r="D119">
        <v>10</v>
      </c>
      <c r="E119" t="s">
        <v>39</v>
      </c>
      <c r="F119" t="s">
        <v>40</v>
      </c>
      <c r="G119">
        <v>20</v>
      </c>
      <c r="H119">
        <v>2</v>
      </c>
      <c r="I119">
        <v>20100000</v>
      </c>
      <c r="J119">
        <v>743</v>
      </c>
      <c r="K119">
        <v>0</v>
      </c>
      <c r="L119">
        <v>13744</v>
      </c>
      <c r="M119">
        <v>13.365479000000001</v>
      </c>
      <c r="N119">
        <v>101.35556</v>
      </c>
      <c r="O119">
        <v>4.72</v>
      </c>
      <c r="P119">
        <v>0</v>
      </c>
      <c r="Q119">
        <v>0.28999999999999998</v>
      </c>
      <c r="R119">
        <v>1.99</v>
      </c>
      <c r="S119">
        <v>0.03</v>
      </c>
      <c r="T119">
        <v>15.75</v>
      </c>
      <c r="U119">
        <v>11.08</v>
      </c>
      <c r="V119">
        <v>0.01</v>
      </c>
      <c r="W119">
        <v>0</v>
      </c>
      <c r="X119">
        <v>25985.889819</v>
      </c>
      <c r="Y119">
        <v>19156923.375300001</v>
      </c>
    </row>
    <row r="120" spans="1:25" x14ac:dyDescent="0.55000000000000004">
      <c r="A120">
        <v>118</v>
      </c>
      <c r="B120" t="s">
        <v>20</v>
      </c>
      <c r="C120">
        <v>10</v>
      </c>
      <c r="D120">
        <v>10</v>
      </c>
      <c r="E120" t="s">
        <v>39</v>
      </c>
      <c r="F120" t="s">
        <v>40</v>
      </c>
      <c r="G120">
        <v>20</v>
      </c>
      <c r="H120">
        <v>2</v>
      </c>
      <c r="I120">
        <v>20100000</v>
      </c>
      <c r="J120">
        <v>744</v>
      </c>
      <c r="K120">
        <v>0</v>
      </c>
      <c r="L120">
        <v>13385</v>
      </c>
      <c r="M120">
        <v>13.122719</v>
      </c>
      <c r="N120">
        <v>101.4387</v>
      </c>
      <c r="O120">
        <v>0.02</v>
      </c>
      <c r="P120">
        <v>8.1999999999999993</v>
      </c>
      <c r="Q120">
        <v>0.01</v>
      </c>
      <c r="R120">
        <v>0.35</v>
      </c>
      <c r="S120">
        <v>9.27</v>
      </c>
      <c r="T120">
        <v>8.6999999999999993</v>
      </c>
      <c r="U120">
        <v>6.24</v>
      </c>
      <c r="V120">
        <v>0.41</v>
      </c>
      <c r="W120">
        <v>0.02</v>
      </c>
      <c r="X120">
        <v>19443.363211</v>
      </c>
      <c r="Y120">
        <v>12298194.755799999</v>
      </c>
    </row>
    <row r="121" spans="1:25" x14ac:dyDescent="0.55000000000000004">
      <c r="A121">
        <v>119</v>
      </c>
      <c r="B121" t="s">
        <v>20</v>
      </c>
      <c r="C121">
        <v>10</v>
      </c>
      <c r="D121">
        <v>10</v>
      </c>
      <c r="E121" t="s">
        <v>39</v>
      </c>
      <c r="F121" t="s">
        <v>40</v>
      </c>
      <c r="G121">
        <v>20</v>
      </c>
      <c r="H121">
        <v>2</v>
      </c>
      <c r="I121">
        <v>20100000</v>
      </c>
      <c r="J121">
        <v>745</v>
      </c>
      <c r="K121">
        <v>0</v>
      </c>
      <c r="L121">
        <v>13386</v>
      </c>
      <c r="M121">
        <v>13.122719</v>
      </c>
      <c r="N121">
        <v>101.52182999999999</v>
      </c>
      <c r="O121">
        <v>0.87</v>
      </c>
      <c r="P121">
        <v>0.16</v>
      </c>
      <c r="Q121">
        <v>0.3</v>
      </c>
      <c r="R121">
        <v>0.68</v>
      </c>
      <c r="S121">
        <v>5.83</v>
      </c>
      <c r="T121">
        <v>4.1100000000000003</v>
      </c>
      <c r="U121">
        <v>9.27</v>
      </c>
      <c r="V121">
        <v>0.76</v>
      </c>
      <c r="W121">
        <v>0.14000000000000001</v>
      </c>
      <c r="X121">
        <v>35479.408029999999</v>
      </c>
      <c r="Y121">
        <v>44230695.658</v>
      </c>
    </row>
    <row r="122" spans="1:25" x14ac:dyDescent="0.55000000000000004">
      <c r="A122">
        <v>120</v>
      </c>
      <c r="B122" t="s">
        <v>20</v>
      </c>
      <c r="C122">
        <v>10</v>
      </c>
      <c r="D122">
        <v>10</v>
      </c>
      <c r="E122" t="s">
        <v>39</v>
      </c>
      <c r="F122" t="s">
        <v>40</v>
      </c>
      <c r="G122">
        <v>20</v>
      </c>
      <c r="H122">
        <v>2</v>
      </c>
      <c r="I122">
        <v>20100000</v>
      </c>
      <c r="J122">
        <v>746</v>
      </c>
      <c r="K122">
        <v>0</v>
      </c>
      <c r="L122">
        <v>13626</v>
      </c>
      <c r="M122">
        <v>13.284592</v>
      </c>
      <c r="N122">
        <v>101.52182999999999</v>
      </c>
      <c r="O122">
        <v>0.28000000000000003</v>
      </c>
      <c r="P122">
        <v>0.03</v>
      </c>
      <c r="Q122">
        <v>0.73</v>
      </c>
      <c r="R122">
        <v>0.7</v>
      </c>
      <c r="S122">
        <v>0.61</v>
      </c>
      <c r="T122">
        <v>24.77</v>
      </c>
      <c r="U122">
        <v>5.64</v>
      </c>
      <c r="V122">
        <v>0.02</v>
      </c>
      <c r="W122">
        <v>0</v>
      </c>
      <c r="X122">
        <v>35936.990746000003</v>
      </c>
      <c r="Y122">
        <v>80715882.189300001</v>
      </c>
    </row>
    <row r="123" spans="1:25" x14ac:dyDescent="0.55000000000000004">
      <c r="A123">
        <v>121</v>
      </c>
      <c r="B123" t="s">
        <v>20</v>
      </c>
      <c r="C123">
        <v>10</v>
      </c>
      <c r="D123">
        <v>10</v>
      </c>
      <c r="E123" t="s">
        <v>39</v>
      </c>
      <c r="F123" t="s">
        <v>40</v>
      </c>
      <c r="G123">
        <v>20</v>
      </c>
      <c r="H123">
        <v>2</v>
      </c>
      <c r="I123">
        <v>20100000</v>
      </c>
      <c r="J123">
        <v>747</v>
      </c>
      <c r="K123">
        <v>0</v>
      </c>
      <c r="L123">
        <v>13505</v>
      </c>
      <c r="M123">
        <v>13.203666999999999</v>
      </c>
      <c r="N123">
        <v>101.4387</v>
      </c>
      <c r="O123">
        <v>0.26</v>
      </c>
      <c r="P123">
        <v>0.2</v>
      </c>
      <c r="Q123">
        <v>0.82</v>
      </c>
      <c r="R123">
        <v>4.0999999999999996</v>
      </c>
      <c r="S123">
        <v>0.01</v>
      </c>
      <c r="T123">
        <v>31.610001</v>
      </c>
      <c r="U123">
        <v>12</v>
      </c>
      <c r="V123">
        <v>6.41</v>
      </c>
      <c r="W123">
        <v>0</v>
      </c>
      <c r="X123">
        <v>34679.034273999998</v>
      </c>
      <c r="Y123">
        <v>76319834.417199999</v>
      </c>
    </row>
    <row r="124" spans="1:25" x14ac:dyDescent="0.55000000000000004">
      <c r="A124">
        <v>122</v>
      </c>
      <c r="B124" t="s">
        <v>20</v>
      </c>
      <c r="C124">
        <v>10</v>
      </c>
      <c r="D124">
        <v>10</v>
      </c>
      <c r="E124" t="s">
        <v>39</v>
      </c>
      <c r="F124" t="s">
        <v>40</v>
      </c>
      <c r="G124">
        <v>20</v>
      </c>
      <c r="H124">
        <v>2</v>
      </c>
      <c r="I124">
        <v>20100000</v>
      </c>
      <c r="J124">
        <v>748</v>
      </c>
      <c r="K124">
        <v>0</v>
      </c>
      <c r="L124">
        <v>13506</v>
      </c>
      <c r="M124">
        <v>13.203666999999999</v>
      </c>
      <c r="N124">
        <v>101.52182999999999</v>
      </c>
      <c r="O124">
        <v>5.58</v>
      </c>
      <c r="P124">
        <v>0.06</v>
      </c>
      <c r="Q124">
        <v>0.17</v>
      </c>
      <c r="R124">
        <v>16.209999</v>
      </c>
      <c r="S124">
        <v>11.68</v>
      </c>
      <c r="T124">
        <v>8.2899999999999991</v>
      </c>
      <c r="U124">
        <v>22.75</v>
      </c>
      <c r="V124">
        <v>3.54</v>
      </c>
      <c r="W124">
        <v>0.02</v>
      </c>
      <c r="X124">
        <v>35949.606694000002</v>
      </c>
      <c r="Y124">
        <v>80772574.329099998</v>
      </c>
    </row>
    <row r="125" spans="1:25" x14ac:dyDescent="0.55000000000000004">
      <c r="A125">
        <v>123</v>
      </c>
      <c r="B125" t="s">
        <v>20</v>
      </c>
      <c r="C125">
        <v>10</v>
      </c>
      <c r="D125">
        <v>10</v>
      </c>
      <c r="E125" t="s">
        <v>39</v>
      </c>
      <c r="F125" t="s">
        <v>40</v>
      </c>
      <c r="G125">
        <v>20</v>
      </c>
      <c r="H125">
        <v>2</v>
      </c>
      <c r="I125">
        <v>20100000</v>
      </c>
      <c r="J125">
        <v>750</v>
      </c>
      <c r="K125">
        <v>0</v>
      </c>
      <c r="L125">
        <v>13625</v>
      </c>
      <c r="M125">
        <v>13.284592</v>
      </c>
      <c r="N125">
        <v>101.4387</v>
      </c>
      <c r="O125">
        <v>0.52</v>
      </c>
      <c r="P125">
        <v>0.02</v>
      </c>
      <c r="Q125">
        <v>3.15</v>
      </c>
      <c r="R125">
        <v>0.95</v>
      </c>
      <c r="S125">
        <v>7.0000000000000007E-2</v>
      </c>
      <c r="T125">
        <v>19.809999000000001</v>
      </c>
      <c r="U125">
        <v>4.3600000000000003</v>
      </c>
      <c r="V125">
        <v>5.85</v>
      </c>
      <c r="W125">
        <v>0</v>
      </c>
      <c r="X125">
        <v>35935.380038000003</v>
      </c>
      <c r="Y125">
        <v>80708639.160099998</v>
      </c>
    </row>
    <row r="126" spans="1:25" x14ac:dyDescent="0.55000000000000004">
      <c r="A126">
        <v>124</v>
      </c>
      <c r="B126" t="s">
        <v>20</v>
      </c>
      <c r="C126">
        <v>10</v>
      </c>
      <c r="D126">
        <v>10</v>
      </c>
      <c r="E126" t="s">
        <v>39</v>
      </c>
      <c r="F126" t="s">
        <v>40</v>
      </c>
      <c r="G126">
        <v>20</v>
      </c>
      <c r="H126">
        <v>2</v>
      </c>
      <c r="I126">
        <v>20100000</v>
      </c>
      <c r="J126">
        <v>751</v>
      </c>
      <c r="K126">
        <v>0</v>
      </c>
      <c r="L126">
        <v>13745</v>
      </c>
      <c r="M126">
        <v>13.365479000000001</v>
      </c>
      <c r="N126">
        <v>101.4387</v>
      </c>
      <c r="O126">
        <v>9.82</v>
      </c>
      <c r="P126">
        <v>0</v>
      </c>
      <c r="Q126">
        <v>0.92</v>
      </c>
      <c r="R126">
        <v>2.5299999999999998</v>
      </c>
      <c r="S126">
        <v>0.99</v>
      </c>
      <c r="T126">
        <v>8.8000000000000007</v>
      </c>
      <c r="U126">
        <v>10.49</v>
      </c>
      <c r="V126">
        <v>0.02</v>
      </c>
      <c r="W126">
        <v>0</v>
      </c>
      <c r="X126">
        <v>26840.157727000002</v>
      </c>
      <c r="Y126">
        <v>36280878.077100001</v>
      </c>
    </row>
    <row r="127" spans="1:25" x14ac:dyDescent="0.55000000000000004">
      <c r="A127">
        <v>125</v>
      </c>
      <c r="B127" t="s">
        <v>20</v>
      </c>
      <c r="C127">
        <v>10</v>
      </c>
      <c r="D127">
        <v>10</v>
      </c>
      <c r="E127" t="s">
        <v>39</v>
      </c>
      <c r="F127" t="s">
        <v>40</v>
      </c>
      <c r="G127">
        <v>20</v>
      </c>
      <c r="H127">
        <v>2</v>
      </c>
      <c r="I127">
        <v>20100000</v>
      </c>
      <c r="J127">
        <v>753</v>
      </c>
      <c r="K127">
        <v>0</v>
      </c>
      <c r="L127">
        <v>13746</v>
      </c>
      <c r="M127">
        <v>13.365479000000001</v>
      </c>
      <c r="N127">
        <v>101.52182999999999</v>
      </c>
      <c r="O127">
        <v>2.58</v>
      </c>
      <c r="P127">
        <v>0.37</v>
      </c>
      <c r="Q127">
        <v>5.22</v>
      </c>
      <c r="R127">
        <v>0.3</v>
      </c>
      <c r="S127">
        <v>2.71</v>
      </c>
      <c r="T127">
        <v>19.52</v>
      </c>
      <c r="U127">
        <v>9.2100000000000009</v>
      </c>
      <c r="V127">
        <v>0</v>
      </c>
      <c r="W127">
        <v>0</v>
      </c>
      <c r="X127">
        <v>30084.719453000002</v>
      </c>
      <c r="Y127">
        <v>45335046.218900003</v>
      </c>
    </row>
    <row r="128" spans="1:25" x14ac:dyDescent="0.55000000000000004">
      <c r="A128">
        <v>126</v>
      </c>
      <c r="B128" t="s">
        <v>20</v>
      </c>
      <c r="C128">
        <v>10</v>
      </c>
      <c r="D128">
        <v>10</v>
      </c>
      <c r="E128" t="s">
        <v>39</v>
      </c>
      <c r="F128" t="s">
        <v>40</v>
      </c>
      <c r="G128">
        <v>20</v>
      </c>
      <c r="H128">
        <v>2</v>
      </c>
      <c r="I128">
        <v>20100000</v>
      </c>
      <c r="J128">
        <v>754</v>
      </c>
      <c r="K128">
        <v>0</v>
      </c>
      <c r="L128">
        <v>13387</v>
      </c>
      <c r="M128">
        <v>13.122719</v>
      </c>
      <c r="N128">
        <v>101.60496500000001</v>
      </c>
      <c r="O128">
        <v>4.76</v>
      </c>
      <c r="P128">
        <v>0</v>
      </c>
      <c r="Q128">
        <v>0.18</v>
      </c>
      <c r="R128">
        <v>0.41</v>
      </c>
      <c r="S128">
        <v>17.709999</v>
      </c>
      <c r="T128">
        <v>5.65</v>
      </c>
      <c r="U128">
        <v>7.1</v>
      </c>
      <c r="V128">
        <v>2.09</v>
      </c>
      <c r="W128">
        <v>1.71</v>
      </c>
      <c r="X128">
        <v>33591.145987999997</v>
      </c>
      <c r="Y128">
        <v>31544107.741099998</v>
      </c>
    </row>
    <row r="129" spans="1:25" x14ac:dyDescent="0.55000000000000004">
      <c r="A129">
        <v>127</v>
      </c>
      <c r="B129" t="s">
        <v>20</v>
      </c>
      <c r="C129">
        <v>10</v>
      </c>
      <c r="D129">
        <v>10</v>
      </c>
      <c r="E129" t="s">
        <v>39</v>
      </c>
      <c r="F129" t="s">
        <v>40</v>
      </c>
      <c r="G129">
        <v>20</v>
      </c>
      <c r="H129">
        <v>2</v>
      </c>
      <c r="I129">
        <v>20100000</v>
      </c>
      <c r="J129">
        <v>755</v>
      </c>
      <c r="K129">
        <v>0</v>
      </c>
      <c r="L129">
        <v>13388</v>
      </c>
      <c r="M129">
        <v>13.122719</v>
      </c>
      <c r="N129">
        <v>101.68810000000001</v>
      </c>
      <c r="O129">
        <v>11.11</v>
      </c>
      <c r="P129">
        <v>0.39</v>
      </c>
      <c r="Q129">
        <v>0.03</v>
      </c>
      <c r="R129">
        <v>0.1</v>
      </c>
      <c r="S129">
        <v>15.51</v>
      </c>
      <c r="T129">
        <v>19.079999999999998</v>
      </c>
      <c r="U129">
        <v>8.93</v>
      </c>
      <c r="V129">
        <v>0.32</v>
      </c>
      <c r="W129">
        <v>0.18</v>
      </c>
      <c r="X129">
        <v>17043.709103000001</v>
      </c>
      <c r="Y129">
        <v>6571257.2045200001</v>
      </c>
    </row>
    <row r="130" spans="1:25" x14ac:dyDescent="0.55000000000000004">
      <c r="A130">
        <v>128</v>
      </c>
      <c r="B130" t="s">
        <v>20</v>
      </c>
      <c r="C130">
        <v>10</v>
      </c>
      <c r="D130">
        <v>10</v>
      </c>
      <c r="E130" t="s">
        <v>39</v>
      </c>
      <c r="F130" t="s">
        <v>40</v>
      </c>
      <c r="G130">
        <v>20</v>
      </c>
      <c r="H130">
        <v>2</v>
      </c>
      <c r="I130">
        <v>20100000</v>
      </c>
      <c r="J130">
        <v>756</v>
      </c>
      <c r="K130">
        <v>0</v>
      </c>
      <c r="L130">
        <v>13628</v>
      </c>
      <c r="M130">
        <v>13.284592</v>
      </c>
      <c r="N130">
        <v>101.68810000000001</v>
      </c>
      <c r="O130">
        <v>0.83</v>
      </c>
      <c r="P130">
        <v>0.08</v>
      </c>
      <c r="Q130">
        <v>0.53</v>
      </c>
      <c r="R130">
        <v>0.23</v>
      </c>
      <c r="S130">
        <v>19.620000999999998</v>
      </c>
      <c r="T130">
        <v>10.66</v>
      </c>
      <c r="U130">
        <v>29.82</v>
      </c>
      <c r="V130">
        <v>0.01</v>
      </c>
      <c r="W130">
        <v>0.01</v>
      </c>
      <c r="X130">
        <v>15757.882425</v>
      </c>
      <c r="Y130">
        <v>11300139.304300001</v>
      </c>
    </row>
    <row r="131" spans="1:25" x14ac:dyDescent="0.55000000000000004">
      <c r="A131">
        <v>129</v>
      </c>
      <c r="B131" t="s">
        <v>20</v>
      </c>
      <c r="C131">
        <v>10</v>
      </c>
      <c r="D131">
        <v>10</v>
      </c>
      <c r="E131" t="s">
        <v>39</v>
      </c>
      <c r="F131" t="s">
        <v>40</v>
      </c>
      <c r="G131">
        <v>20</v>
      </c>
      <c r="H131">
        <v>2</v>
      </c>
      <c r="I131">
        <v>20100000</v>
      </c>
      <c r="J131">
        <v>757</v>
      </c>
      <c r="K131">
        <v>0</v>
      </c>
      <c r="L131">
        <v>13507</v>
      </c>
      <c r="M131">
        <v>13.203666999999999</v>
      </c>
      <c r="N131">
        <v>101.60496500000001</v>
      </c>
      <c r="O131">
        <v>1.23</v>
      </c>
      <c r="P131">
        <v>0.01</v>
      </c>
      <c r="Q131">
        <v>0.04</v>
      </c>
      <c r="R131">
        <v>3.6</v>
      </c>
      <c r="S131">
        <v>3.45</v>
      </c>
      <c r="T131">
        <v>15.52</v>
      </c>
      <c r="U131">
        <v>6.4</v>
      </c>
      <c r="V131">
        <v>14.17</v>
      </c>
      <c r="W131">
        <v>0</v>
      </c>
      <c r="X131">
        <v>35952.376394999999</v>
      </c>
      <c r="Y131">
        <v>80785013.162</v>
      </c>
    </row>
    <row r="132" spans="1:25" x14ac:dyDescent="0.55000000000000004">
      <c r="A132">
        <v>130</v>
      </c>
      <c r="B132" t="s">
        <v>20</v>
      </c>
      <c r="C132">
        <v>10</v>
      </c>
      <c r="D132">
        <v>10</v>
      </c>
      <c r="E132" t="s">
        <v>39</v>
      </c>
      <c r="F132" t="s">
        <v>40</v>
      </c>
      <c r="G132">
        <v>20</v>
      </c>
      <c r="H132">
        <v>2</v>
      </c>
      <c r="I132">
        <v>20100000</v>
      </c>
      <c r="J132">
        <v>758</v>
      </c>
      <c r="K132">
        <v>0</v>
      </c>
      <c r="L132">
        <v>13508</v>
      </c>
      <c r="M132">
        <v>13.203666999999999</v>
      </c>
      <c r="N132">
        <v>101.68810000000001</v>
      </c>
      <c r="O132">
        <v>7.24</v>
      </c>
      <c r="P132">
        <v>0.11</v>
      </c>
      <c r="Q132">
        <v>0.27</v>
      </c>
      <c r="R132">
        <v>0.15</v>
      </c>
      <c r="S132">
        <v>34.200001</v>
      </c>
      <c r="T132">
        <v>43.549999</v>
      </c>
      <c r="U132">
        <v>12.57</v>
      </c>
      <c r="V132">
        <v>6.21</v>
      </c>
      <c r="W132">
        <v>0.05</v>
      </c>
      <c r="X132">
        <v>31236.980565000002</v>
      </c>
      <c r="Y132">
        <v>56740261.780199997</v>
      </c>
    </row>
    <row r="133" spans="1:25" x14ac:dyDescent="0.55000000000000004">
      <c r="A133">
        <v>131</v>
      </c>
      <c r="B133" t="s">
        <v>20</v>
      </c>
      <c r="C133">
        <v>10</v>
      </c>
      <c r="D133">
        <v>10</v>
      </c>
      <c r="E133" t="s">
        <v>39</v>
      </c>
      <c r="F133" t="s">
        <v>40</v>
      </c>
      <c r="G133">
        <v>20</v>
      </c>
      <c r="H133">
        <v>2</v>
      </c>
      <c r="I133">
        <v>20100000</v>
      </c>
      <c r="J133">
        <v>760</v>
      </c>
      <c r="K133">
        <v>0</v>
      </c>
      <c r="L133">
        <v>13627</v>
      </c>
      <c r="M133">
        <v>13.284592</v>
      </c>
      <c r="N133">
        <v>101.60496500000001</v>
      </c>
      <c r="O133">
        <v>0.1</v>
      </c>
      <c r="P133">
        <v>0.17</v>
      </c>
      <c r="Q133">
        <v>0.02</v>
      </c>
      <c r="R133">
        <v>0.34</v>
      </c>
      <c r="S133">
        <v>2.35</v>
      </c>
      <c r="T133">
        <v>23.09</v>
      </c>
      <c r="U133">
        <v>24.9</v>
      </c>
      <c r="V133">
        <v>0.13</v>
      </c>
      <c r="W133">
        <v>0</v>
      </c>
      <c r="X133">
        <v>34757.908232000002</v>
      </c>
      <c r="Y133">
        <v>62836409.1039</v>
      </c>
    </row>
    <row r="134" spans="1:25" x14ac:dyDescent="0.55000000000000004">
      <c r="A134">
        <v>132</v>
      </c>
      <c r="B134" t="s">
        <v>20</v>
      </c>
      <c r="C134">
        <v>10</v>
      </c>
      <c r="D134">
        <v>10</v>
      </c>
      <c r="E134" t="s">
        <v>39</v>
      </c>
      <c r="F134" t="s">
        <v>40</v>
      </c>
      <c r="G134">
        <v>20</v>
      </c>
      <c r="H134">
        <v>2</v>
      </c>
      <c r="I134">
        <v>20100000</v>
      </c>
      <c r="J134">
        <v>761</v>
      </c>
      <c r="K134">
        <v>0</v>
      </c>
      <c r="L134">
        <v>13747</v>
      </c>
      <c r="M134">
        <v>13.365479000000001</v>
      </c>
      <c r="N134">
        <v>101.60496500000001</v>
      </c>
      <c r="O134">
        <v>5.31</v>
      </c>
      <c r="P134">
        <v>8.61</v>
      </c>
      <c r="Q134">
        <v>0.78</v>
      </c>
      <c r="R134">
        <v>0</v>
      </c>
      <c r="S134">
        <v>1.48</v>
      </c>
      <c r="T134">
        <v>7.16</v>
      </c>
      <c r="U134">
        <v>15.18</v>
      </c>
      <c r="V134">
        <v>0</v>
      </c>
      <c r="W134">
        <v>0</v>
      </c>
      <c r="X134">
        <v>7885.1171770000001</v>
      </c>
      <c r="Y134">
        <v>1620090.19395</v>
      </c>
    </row>
    <row r="135" spans="1:25" x14ac:dyDescent="0.55000000000000004">
      <c r="A135">
        <v>133</v>
      </c>
      <c r="B135" t="s">
        <v>20</v>
      </c>
      <c r="C135">
        <v>11</v>
      </c>
      <c r="D135">
        <v>11</v>
      </c>
      <c r="E135" t="s">
        <v>41</v>
      </c>
      <c r="F135" t="s">
        <v>42</v>
      </c>
      <c r="G135">
        <v>20</v>
      </c>
      <c r="H135">
        <v>2</v>
      </c>
      <c r="I135">
        <v>20110000</v>
      </c>
      <c r="J135">
        <v>741</v>
      </c>
      <c r="K135">
        <v>0</v>
      </c>
      <c r="L135">
        <v>13743</v>
      </c>
      <c r="M135">
        <v>13.365479000000001</v>
      </c>
      <c r="N135">
        <v>101.27242</v>
      </c>
      <c r="O135">
        <v>0.32</v>
      </c>
      <c r="P135">
        <v>0.06</v>
      </c>
      <c r="Q135">
        <v>0.02</v>
      </c>
      <c r="R135">
        <v>2.44</v>
      </c>
      <c r="S135">
        <v>0.02</v>
      </c>
      <c r="T135">
        <v>11.6</v>
      </c>
      <c r="U135">
        <v>4.04</v>
      </c>
      <c r="V135">
        <v>0</v>
      </c>
      <c r="W135">
        <v>0</v>
      </c>
      <c r="X135">
        <v>23065.784765</v>
      </c>
      <c r="Y135">
        <v>30958359.2557</v>
      </c>
    </row>
    <row r="136" spans="1:25" x14ac:dyDescent="0.55000000000000004">
      <c r="A136">
        <v>134</v>
      </c>
      <c r="B136" t="s">
        <v>20</v>
      </c>
      <c r="C136">
        <v>11</v>
      </c>
      <c r="D136">
        <v>11</v>
      </c>
      <c r="E136" t="s">
        <v>41</v>
      </c>
      <c r="F136" t="s">
        <v>42</v>
      </c>
      <c r="G136">
        <v>20</v>
      </c>
      <c r="H136">
        <v>2</v>
      </c>
      <c r="I136">
        <v>20110000</v>
      </c>
      <c r="J136">
        <v>742</v>
      </c>
      <c r="K136">
        <v>0</v>
      </c>
      <c r="L136">
        <v>13863</v>
      </c>
      <c r="M136">
        <v>13.446358</v>
      </c>
      <c r="N136">
        <v>101.27242</v>
      </c>
      <c r="O136">
        <v>8.0299999999999994</v>
      </c>
      <c r="P136">
        <v>0</v>
      </c>
      <c r="Q136">
        <v>0.08</v>
      </c>
      <c r="R136">
        <v>3.96</v>
      </c>
      <c r="S136">
        <v>0</v>
      </c>
      <c r="T136">
        <v>6.12</v>
      </c>
      <c r="U136">
        <v>2.2400000000000002</v>
      </c>
      <c r="V136">
        <v>0</v>
      </c>
      <c r="W136">
        <v>0</v>
      </c>
      <c r="X136">
        <v>15519.235801000001</v>
      </c>
      <c r="Y136">
        <v>13549035.5584</v>
      </c>
    </row>
    <row r="137" spans="1:25" x14ac:dyDescent="0.55000000000000004">
      <c r="A137">
        <v>135</v>
      </c>
      <c r="B137" t="s">
        <v>20</v>
      </c>
      <c r="C137">
        <v>11</v>
      </c>
      <c r="D137">
        <v>11</v>
      </c>
      <c r="E137" t="s">
        <v>41</v>
      </c>
      <c r="F137" t="s">
        <v>42</v>
      </c>
      <c r="G137">
        <v>20</v>
      </c>
      <c r="H137">
        <v>2</v>
      </c>
      <c r="I137">
        <v>20110000</v>
      </c>
      <c r="J137">
        <v>743</v>
      </c>
      <c r="K137">
        <v>0</v>
      </c>
      <c r="L137">
        <v>13744</v>
      </c>
      <c r="M137">
        <v>13.365479000000001</v>
      </c>
      <c r="N137">
        <v>101.35556</v>
      </c>
      <c r="O137">
        <v>4.72</v>
      </c>
      <c r="P137">
        <v>0</v>
      </c>
      <c r="Q137">
        <v>0.28999999999999998</v>
      </c>
      <c r="R137">
        <v>1.99</v>
      </c>
      <c r="S137">
        <v>0.03</v>
      </c>
      <c r="T137">
        <v>15.75</v>
      </c>
      <c r="U137">
        <v>11.08</v>
      </c>
      <c r="V137">
        <v>0.01</v>
      </c>
      <c r="W137">
        <v>0</v>
      </c>
      <c r="X137">
        <v>32328.039144999999</v>
      </c>
      <c r="Y137">
        <v>61497902.368500002</v>
      </c>
    </row>
    <row r="138" spans="1:25" x14ac:dyDescent="0.55000000000000004">
      <c r="A138">
        <v>136</v>
      </c>
      <c r="B138" t="s">
        <v>20</v>
      </c>
      <c r="C138">
        <v>11</v>
      </c>
      <c r="D138">
        <v>11</v>
      </c>
      <c r="E138" t="s">
        <v>41</v>
      </c>
      <c r="F138" t="s">
        <v>42</v>
      </c>
      <c r="G138">
        <v>20</v>
      </c>
      <c r="H138">
        <v>2</v>
      </c>
      <c r="I138">
        <v>20110000</v>
      </c>
      <c r="J138">
        <v>749</v>
      </c>
      <c r="K138">
        <v>0</v>
      </c>
      <c r="L138">
        <v>13864</v>
      </c>
      <c r="M138">
        <v>13.446358</v>
      </c>
      <c r="N138">
        <v>101.35556</v>
      </c>
      <c r="O138">
        <v>32.409999999999997</v>
      </c>
      <c r="P138">
        <v>0</v>
      </c>
      <c r="Q138">
        <v>0.01</v>
      </c>
      <c r="R138">
        <v>0.28999999999999998</v>
      </c>
      <c r="S138">
        <v>0</v>
      </c>
      <c r="T138">
        <v>8.4700000000000006</v>
      </c>
      <c r="U138">
        <v>5.85</v>
      </c>
      <c r="V138">
        <v>0</v>
      </c>
      <c r="W138">
        <v>0</v>
      </c>
      <c r="X138">
        <v>33907.980648999997</v>
      </c>
      <c r="Y138">
        <v>41836427.870899998</v>
      </c>
    </row>
    <row r="139" spans="1:25" x14ac:dyDescent="0.55000000000000004">
      <c r="A139">
        <v>137</v>
      </c>
      <c r="B139" t="s">
        <v>20</v>
      </c>
      <c r="C139">
        <v>11</v>
      </c>
      <c r="D139">
        <v>11</v>
      </c>
      <c r="E139" t="s">
        <v>41</v>
      </c>
      <c r="F139" t="s">
        <v>42</v>
      </c>
      <c r="G139">
        <v>20</v>
      </c>
      <c r="H139">
        <v>2</v>
      </c>
      <c r="I139">
        <v>20110000</v>
      </c>
      <c r="J139">
        <v>751</v>
      </c>
      <c r="K139">
        <v>0</v>
      </c>
      <c r="L139">
        <v>13745</v>
      </c>
      <c r="M139">
        <v>13.365479000000001</v>
      </c>
      <c r="N139">
        <v>101.4387</v>
      </c>
      <c r="O139">
        <v>9.82</v>
      </c>
      <c r="P139">
        <v>0</v>
      </c>
      <c r="Q139">
        <v>0.92</v>
      </c>
      <c r="R139">
        <v>2.5299999999999998</v>
      </c>
      <c r="S139">
        <v>0.99</v>
      </c>
      <c r="T139">
        <v>8.8000000000000007</v>
      </c>
      <c r="U139">
        <v>10.49</v>
      </c>
      <c r="V139">
        <v>0.02</v>
      </c>
      <c r="W139">
        <v>0</v>
      </c>
      <c r="X139">
        <v>31527.239683</v>
      </c>
      <c r="Y139">
        <v>44378430.3235</v>
      </c>
    </row>
    <row r="140" spans="1:25" x14ac:dyDescent="0.55000000000000004">
      <c r="A140">
        <v>138</v>
      </c>
      <c r="B140" t="s">
        <v>20</v>
      </c>
      <c r="C140">
        <v>11</v>
      </c>
      <c r="D140">
        <v>11</v>
      </c>
      <c r="E140" t="s">
        <v>41</v>
      </c>
      <c r="F140" t="s">
        <v>42</v>
      </c>
      <c r="G140">
        <v>20</v>
      </c>
      <c r="H140">
        <v>2</v>
      </c>
      <c r="I140">
        <v>20110000</v>
      </c>
      <c r="J140">
        <v>752</v>
      </c>
      <c r="K140">
        <v>0</v>
      </c>
      <c r="L140">
        <v>13865</v>
      </c>
      <c r="M140">
        <v>13.446358</v>
      </c>
      <c r="N140">
        <v>101.4387</v>
      </c>
      <c r="O140">
        <v>24.1</v>
      </c>
      <c r="P140">
        <v>0</v>
      </c>
      <c r="Q140">
        <v>0.03</v>
      </c>
      <c r="R140">
        <v>0.35</v>
      </c>
      <c r="S140">
        <v>0.6</v>
      </c>
      <c r="T140">
        <v>6.82</v>
      </c>
      <c r="U140">
        <v>10.59</v>
      </c>
      <c r="V140">
        <v>0</v>
      </c>
      <c r="W140">
        <v>0</v>
      </c>
      <c r="X140">
        <v>35304.077505000001</v>
      </c>
      <c r="Y140">
        <v>38515499.891599998</v>
      </c>
    </row>
    <row r="141" spans="1:25" x14ac:dyDescent="0.55000000000000004">
      <c r="A141">
        <v>139</v>
      </c>
      <c r="B141" t="s">
        <v>20</v>
      </c>
      <c r="C141">
        <v>11</v>
      </c>
      <c r="D141">
        <v>11</v>
      </c>
      <c r="E141" t="s">
        <v>41</v>
      </c>
      <c r="F141" t="s">
        <v>42</v>
      </c>
      <c r="G141">
        <v>20</v>
      </c>
      <c r="H141">
        <v>2</v>
      </c>
      <c r="I141">
        <v>20110000</v>
      </c>
      <c r="J141">
        <v>753</v>
      </c>
      <c r="K141">
        <v>0</v>
      </c>
      <c r="L141">
        <v>13746</v>
      </c>
      <c r="M141">
        <v>13.365479000000001</v>
      </c>
      <c r="N141">
        <v>101.52182999999999</v>
      </c>
      <c r="O141">
        <v>2.58</v>
      </c>
      <c r="P141">
        <v>0.37</v>
      </c>
      <c r="Q141">
        <v>5.22</v>
      </c>
      <c r="R141">
        <v>0.3</v>
      </c>
      <c r="S141">
        <v>2.71</v>
      </c>
      <c r="T141">
        <v>19.52</v>
      </c>
      <c r="U141">
        <v>9.2100000000000009</v>
      </c>
      <c r="V141">
        <v>0</v>
      </c>
      <c r="W141">
        <v>0</v>
      </c>
      <c r="X141">
        <v>24219.837916</v>
      </c>
      <c r="Y141">
        <v>26275063.485800002</v>
      </c>
    </row>
    <row r="142" spans="1:25" x14ac:dyDescent="0.55000000000000004">
      <c r="A142">
        <v>140</v>
      </c>
      <c r="B142" t="s">
        <v>20</v>
      </c>
      <c r="C142">
        <v>11</v>
      </c>
      <c r="D142">
        <v>11</v>
      </c>
      <c r="E142" t="s">
        <v>41</v>
      </c>
      <c r="F142" t="s">
        <v>42</v>
      </c>
      <c r="G142">
        <v>20</v>
      </c>
      <c r="H142">
        <v>2</v>
      </c>
      <c r="I142">
        <v>20110000</v>
      </c>
      <c r="J142">
        <v>759</v>
      </c>
      <c r="K142">
        <v>0</v>
      </c>
      <c r="L142">
        <v>13866</v>
      </c>
      <c r="M142">
        <v>13.446358</v>
      </c>
      <c r="N142">
        <v>101.52182999999999</v>
      </c>
      <c r="O142">
        <v>24.77</v>
      </c>
      <c r="P142">
        <v>0.04</v>
      </c>
      <c r="Q142">
        <v>7.0000000000000007E-2</v>
      </c>
      <c r="R142">
        <v>0.24</v>
      </c>
      <c r="S142">
        <v>3.86</v>
      </c>
      <c r="T142">
        <v>17.459999</v>
      </c>
      <c r="U142">
        <v>8.1199999999999992</v>
      </c>
      <c r="V142">
        <v>0</v>
      </c>
      <c r="W142">
        <v>0</v>
      </c>
      <c r="X142">
        <v>23301.059209999999</v>
      </c>
      <c r="Y142">
        <v>12195791.433599999</v>
      </c>
    </row>
    <row r="143" spans="1:25" x14ac:dyDescent="0.55000000000000004">
      <c r="A143">
        <v>141</v>
      </c>
      <c r="B143" t="s">
        <v>20</v>
      </c>
      <c r="C143">
        <v>12</v>
      </c>
      <c r="D143">
        <v>12</v>
      </c>
      <c r="E143" t="s">
        <v>27</v>
      </c>
      <c r="F143" t="s">
        <v>28</v>
      </c>
      <c r="G143">
        <v>20</v>
      </c>
      <c r="H143">
        <v>2</v>
      </c>
      <c r="I143">
        <v>20120000</v>
      </c>
      <c r="J143">
        <v>203</v>
      </c>
      <c r="K143">
        <v>0</v>
      </c>
      <c r="L143">
        <v>13137</v>
      </c>
      <c r="M143">
        <v>12.960724000000001</v>
      </c>
      <c r="N143">
        <v>100.773605</v>
      </c>
      <c r="O143">
        <v>3.36</v>
      </c>
      <c r="P143">
        <v>0</v>
      </c>
      <c r="Q143">
        <v>1</v>
      </c>
      <c r="R143">
        <v>0</v>
      </c>
      <c r="S143">
        <v>0.55000000000000004</v>
      </c>
      <c r="T143">
        <v>71.279999000000004</v>
      </c>
      <c r="U143">
        <v>7.41</v>
      </c>
      <c r="V143">
        <v>9.17</v>
      </c>
      <c r="W143">
        <v>1.68</v>
      </c>
      <c r="X143">
        <v>10876.380464</v>
      </c>
      <c r="Y143">
        <v>2014828.02455</v>
      </c>
    </row>
    <row r="144" spans="1:25" x14ac:dyDescent="0.55000000000000004">
      <c r="A144">
        <v>142</v>
      </c>
      <c r="B144" t="s">
        <v>20</v>
      </c>
      <c r="C144">
        <v>12</v>
      </c>
      <c r="D144">
        <v>12</v>
      </c>
      <c r="E144" t="s">
        <v>27</v>
      </c>
      <c r="F144" t="s">
        <v>28</v>
      </c>
      <c r="G144">
        <v>20</v>
      </c>
      <c r="H144">
        <v>2</v>
      </c>
      <c r="I144">
        <v>20120000</v>
      </c>
      <c r="J144">
        <v>205</v>
      </c>
      <c r="K144">
        <v>0</v>
      </c>
      <c r="L144">
        <v>13017</v>
      </c>
      <c r="M144">
        <v>12.8797</v>
      </c>
      <c r="N144">
        <v>100.773605</v>
      </c>
      <c r="O144">
        <v>0.12</v>
      </c>
      <c r="P144">
        <v>0</v>
      </c>
      <c r="Q144">
        <v>0.33</v>
      </c>
      <c r="R144">
        <v>0</v>
      </c>
      <c r="S144">
        <v>0.39</v>
      </c>
      <c r="T144">
        <v>13.32</v>
      </c>
      <c r="U144">
        <v>6.94</v>
      </c>
      <c r="V144">
        <v>29.57</v>
      </c>
      <c r="W144">
        <v>1.45</v>
      </c>
      <c r="X144">
        <v>8283.7965399999994</v>
      </c>
      <c r="Y144">
        <v>3193234.15925</v>
      </c>
    </row>
    <row r="145" spans="1:25" x14ac:dyDescent="0.55000000000000004">
      <c r="A145">
        <v>143</v>
      </c>
      <c r="B145" t="s">
        <v>20</v>
      </c>
      <c r="C145">
        <v>12</v>
      </c>
      <c r="D145">
        <v>12</v>
      </c>
      <c r="E145" t="s">
        <v>27</v>
      </c>
      <c r="F145" t="s">
        <v>28</v>
      </c>
      <c r="G145">
        <v>20</v>
      </c>
      <c r="H145">
        <v>2</v>
      </c>
      <c r="I145">
        <v>20120000</v>
      </c>
      <c r="J145">
        <v>206</v>
      </c>
      <c r="K145">
        <v>0</v>
      </c>
      <c r="L145">
        <v>12898</v>
      </c>
      <c r="M145">
        <v>12.798636999999999</v>
      </c>
      <c r="N145">
        <v>100.85674</v>
      </c>
      <c r="O145">
        <v>0.12</v>
      </c>
      <c r="P145">
        <v>0.08</v>
      </c>
      <c r="Q145">
        <v>2.17</v>
      </c>
      <c r="R145">
        <v>0</v>
      </c>
      <c r="S145">
        <v>1.1100000000000001</v>
      </c>
      <c r="T145">
        <v>10.38</v>
      </c>
      <c r="U145">
        <v>11.23</v>
      </c>
      <c r="V145">
        <v>15.2</v>
      </c>
      <c r="W145">
        <v>5.66</v>
      </c>
      <c r="X145">
        <v>2805.2715910000002</v>
      </c>
      <c r="Y145">
        <v>260640.73831300001</v>
      </c>
    </row>
    <row r="146" spans="1:25" x14ac:dyDescent="0.55000000000000004">
      <c r="A146">
        <v>144</v>
      </c>
      <c r="B146" t="s">
        <v>20</v>
      </c>
      <c r="C146">
        <v>12</v>
      </c>
      <c r="D146">
        <v>12</v>
      </c>
      <c r="E146" t="s">
        <v>27</v>
      </c>
      <c r="F146" t="s">
        <v>28</v>
      </c>
      <c r="G146">
        <v>20</v>
      </c>
      <c r="H146">
        <v>2</v>
      </c>
      <c r="I146">
        <v>20120000</v>
      </c>
      <c r="J146">
        <v>212</v>
      </c>
      <c r="K146">
        <v>0</v>
      </c>
      <c r="L146">
        <v>13018</v>
      </c>
      <c r="M146">
        <v>12.8797</v>
      </c>
      <c r="N146">
        <v>100.85674</v>
      </c>
      <c r="O146">
        <v>1.61</v>
      </c>
      <c r="P146">
        <v>0.4</v>
      </c>
      <c r="Q146">
        <v>1.37</v>
      </c>
      <c r="R146">
        <v>0.06</v>
      </c>
      <c r="S146">
        <v>0.5</v>
      </c>
      <c r="T146">
        <v>5.49</v>
      </c>
      <c r="U146">
        <v>6.44</v>
      </c>
      <c r="V146">
        <v>22.969999000000001</v>
      </c>
      <c r="W146">
        <v>0</v>
      </c>
      <c r="X146">
        <v>18705.966761</v>
      </c>
      <c r="Y146">
        <v>17335354.0099</v>
      </c>
    </row>
    <row r="147" spans="1:25" x14ac:dyDescent="0.55000000000000004">
      <c r="A147">
        <v>145</v>
      </c>
      <c r="B147" t="s">
        <v>20</v>
      </c>
      <c r="C147">
        <v>12</v>
      </c>
      <c r="D147">
        <v>12</v>
      </c>
      <c r="E147" t="s">
        <v>27</v>
      </c>
      <c r="F147" t="s">
        <v>28</v>
      </c>
      <c r="G147">
        <v>20</v>
      </c>
      <c r="H147">
        <v>2</v>
      </c>
      <c r="I147">
        <v>20120000</v>
      </c>
      <c r="J147">
        <v>217</v>
      </c>
      <c r="K147">
        <v>0</v>
      </c>
      <c r="L147">
        <v>13019</v>
      </c>
      <c r="M147">
        <v>12.8797</v>
      </c>
      <c r="N147">
        <v>100.93988</v>
      </c>
      <c r="O147">
        <v>0.05</v>
      </c>
      <c r="P147">
        <v>3.2</v>
      </c>
      <c r="Q147">
        <v>1.32</v>
      </c>
      <c r="R147">
        <v>0.17</v>
      </c>
      <c r="S147">
        <v>4.05</v>
      </c>
      <c r="T147">
        <v>15.27</v>
      </c>
      <c r="U147">
        <v>5.31</v>
      </c>
      <c r="V147">
        <v>29.57</v>
      </c>
      <c r="W147">
        <v>2.63</v>
      </c>
      <c r="X147">
        <v>14553.258511</v>
      </c>
      <c r="Y147">
        <v>4825170.7319499999</v>
      </c>
    </row>
    <row r="148" spans="1:25" x14ac:dyDescent="0.55000000000000004">
      <c r="A148">
        <v>146</v>
      </c>
      <c r="B148" t="s">
        <v>20</v>
      </c>
      <c r="C148">
        <v>12</v>
      </c>
      <c r="D148">
        <v>12</v>
      </c>
      <c r="E148" t="s">
        <v>27</v>
      </c>
      <c r="F148" t="s">
        <v>28</v>
      </c>
      <c r="G148">
        <v>20</v>
      </c>
      <c r="H148">
        <v>2</v>
      </c>
      <c r="I148">
        <v>20120000</v>
      </c>
      <c r="J148">
        <v>219</v>
      </c>
      <c r="K148">
        <v>0</v>
      </c>
      <c r="L148">
        <v>13139</v>
      </c>
      <c r="M148">
        <v>12.960724000000001</v>
      </c>
      <c r="N148">
        <v>100.93988</v>
      </c>
      <c r="O148">
        <v>2.61</v>
      </c>
      <c r="P148">
        <v>6.89</v>
      </c>
      <c r="Q148">
        <v>5.4</v>
      </c>
      <c r="R148">
        <v>0.12</v>
      </c>
      <c r="S148">
        <v>13.99</v>
      </c>
      <c r="T148">
        <v>18.899999999999999</v>
      </c>
      <c r="U148">
        <v>6.12</v>
      </c>
      <c r="V148">
        <v>33.659999999999997</v>
      </c>
      <c r="W148">
        <v>0</v>
      </c>
      <c r="X148">
        <v>7828.5057699999998</v>
      </c>
      <c r="Y148">
        <v>1638918.17417</v>
      </c>
    </row>
    <row r="149" spans="1:25" x14ac:dyDescent="0.55000000000000004">
      <c r="A149">
        <v>147</v>
      </c>
      <c r="B149" t="s">
        <v>20</v>
      </c>
      <c r="C149">
        <v>12</v>
      </c>
      <c r="D149">
        <v>12</v>
      </c>
      <c r="E149" t="s">
        <v>27</v>
      </c>
      <c r="F149" t="s">
        <v>28</v>
      </c>
      <c r="G149">
        <v>20</v>
      </c>
      <c r="H149">
        <v>2</v>
      </c>
      <c r="I149">
        <v>20120000</v>
      </c>
      <c r="J149">
        <v>220</v>
      </c>
      <c r="K149">
        <v>0</v>
      </c>
      <c r="L149">
        <v>13138</v>
      </c>
      <c r="M149">
        <v>12.960724000000001</v>
      </c>
      <c r="N149">
        <v>100.85674</v>
      </c>
      <c r="O149">
        <v>9.16</v>
      </c>
      <c r="P149">
        <v>0.34</v>
      </c>
      <c r="Q149">
        <v>1.53</v>
      </c>
      <c r="R149">
        <v>0.56000000000000005</v>
      </c>
      <c r="S149">
        <v>8.58</v>
      </c>
      <c r="T149">
        <v>13.63</v>
      </c>
      <c r="U149">
        <v>4.38</v>
      </c>
      <c r="V149">
        <v>9.85</v>
      </c>
      <c r="W149">
        <v>0</v>
      </c>
      <c r="X149">
        <v>15431.379617000001</v>
      </c>
      <c r="Y149">
        <v>7579271.0850299997</v>
      </c>
    </row>
    <row r="150" spans="1:25" x14ac:dyDescent="0.55000000000000004">
      <c r="A150">
        <v>148</v>
      </c>
      <c r="B150" t="s">
        <v>20</v>
      </c>
      <c r="C150">
        <v>13</v>
      </c>
      <c r="D150">
        <v>1</v>
      </c>
      <c r="E150" t="s">
        <v>43</v>
      </c>
      <c r="F150" t="s">
        <v>44</v>
      </c>
      <c r="G150">
        <v>21</v>
      </c>
      <c r="H150">
        <v>2</v>
      </c>
      <c r="I150">
        <v>21010000</v>
      </c>
      <c r="J150">
        <v>211</v>
      </c>
      <c r="K150">
        <v>0</v>
      </c>
      <c r="L150">
        <v>12901</v>
      </c>
      <c r="M150">
        <v>12.798636999999999</v>
      </c>
      <c r="N150">
        <v>101.10615</v>
      </c>
      <c r="O150">
        <v>0.01</v>
      </c>
      <c r="P150">
        <v>0.1</v>
      </c>
      <c r="Q150">
        <v>0</v>
      </c>
      <c r="R150">
        <v>0.05</v>
      </c>
      <c r="S150">
        <v>5.25</v>
      </c>
      <c r="T150">
        <v>13.88</v>
      </c>
      <c r="U150">
        <v>7.12</v>
      </c>
      <c r="V150">
        <v>22.43</v>
      </c>
      <c r="W150">
        <v>0.99</v>
      </c>
      <c r="X150">
        <v>25376.131280000001</v>
      </c>
      <c r="Y150">
        <v>31874070.265799999</v>
      </c>
    </row>
    <row r="151" spans="1:25" x14ac:dyDescent="0.55000000000000004">
      <c r="A151">
        <v>149</v>
      </c>
      <c r="B151" t="s">
        <v>20</v>
      </c>
      <c r="C151">
        <v>13</v>
      </c>
      <c r="D151">
        <v>1</v>
      </c>
      <c r="E151" t="s">
        <v>43</v>
      </c>
      <c r="F151" t="s">
        <v>44</v>
      </c>
      <c r="G151">
        <v>21</v>
      </c>
      <c r="H151">
        <v>2</v>
      </c>
      <c r="I151">
        <v>21010000</v>
      </c>
      <c r="J151">
        <v>214</v>
      </c>
      <c r="K151">
        <v>0</v>
      </c>
      <c r="L151">
        <v>12661</v>
      </c>
      <c r="M151">
        <v>12.636443999999999</v>
      </c>
      <c r="N151">
        <v>101.10615</v>
      </c>
      <c r="O151">
        <v>0</v>
      </c>
      <c r="P151">
        <v>0.79</v>
      </c>
      <c r="Q151">
        <v>0.94</v>
      </c>
      <c r="R151">
        <v>0.01</v>
      </c>
      <c r="S151">
        <v>0.52</v>
      </c>
      <c r="T151">
        <v>13.99</v>
      </c>
      <c r="U151">
        <v>10.51</v>
      </c>
      <c r="V151">
        <v>11.41</v>
      </c>
      <c r="W151">
        <v>0.81</v>
      </c>
      <c r="X151">
        <v>4576.7399459999997</v>
      </c>
      <c r="Y151">
        <v>329426.86579700001</v>
      </c>
    </row>
    <row r="152" spans="1:25" x14ac:dyDescent="0.55000000000000004">
      <c r="A152">
        <v>150</v>
      </c>
      <c r="B152" t="s">
        <v>20</v>
      </c>
      <c r="C152">
        <v>13</v>
      </c>
      <c r="D152">
        <v>1</v>
      </c>
      <c r="E152" t="s">
        <v>43</v>
      </c>
      <c r="F152" t="s">
        <v>44</v>
      </c>
      <c r="G152">
        <v>21</v>
      </c>
      <c r="H152">
        <v>2</v>
      </c>
      <c r="I152">
        <v>21010000</v>
      </c>
      <c r="J152">
        <v>215</v>
      </c>
      <c r="K152">
        <v>0</v>
      </c>
      <c r="L152">
        <v>12781</v>
      </c>
      <c r="M152">
        <v>12.717560000000001</v>
      </c>
      <c r="N152">
        <v>101.10615</v>
      </c>
      <c r="O152">
        <v>0.77</v>
      </c>
      <c r="P152">
        <v>0.48</v>
      </c>
      <c r="Q152">
        <v>0.02</v>
      </c>
      <c r="R152">
        <v>2.78</v>
      </c>
      <c r="S152">
        <v>27.65</v>
      </c>
      <c r="T152">
        <v>12.42</v>
      </c>
      <c r="U152">
        <v>8.75</v>
      </c>
      <c r="V152">
        <v>24.299999</v>
      </c>
      <c r="W152">
        <v>6.02</v>
      </c>
      <c r="X152">
        <v>30475.331741999998</v>
      </c>
      <c r="Y152">
        <v>46088940.859899998</v>
      </c>
    </row>
    <row r="153" spans="1:25" x14ac:dyDescent="0.55000000000000004">
      <c r="A153">
        <v>151</v>
      </c>
      <c r="B153" t="s">
        <v>20</v>
      </c>
      <c r="C153">
        <v>13</v>
      </c>
      <c r="D153">
        <v>1</v>
      </c>
      <c r="E153" t="s">
        <v>43</v>
      </c>
      <c r="F153" t="s">
        <v>44</v>
      </c>
      <c r="G153">
        <v>21</v>
      </c>
      <c r="H153">
        <v>2</v>
      </c>
      <c r="I153">
        <v>21010000</v>
      </c>
      <c r="J153">
        <v>238</v>
      </c>
      <c r="K153">
        <v>0</v>
      </c>
      <c r="L153">
        <v>12662</v>
      </c>
      <c r="M153">
        <v>12.636443999999999</v>
      </c>
      <c r="N153">
        <v>101.189285</v>
      </c>
      <c r="O153">
        <v>0</v>
      </c>
      <c r="P153">
        <v>1.43</v>
      </c>
      <c r="Q153">
        <v>0.21</v>
      </c>
      <c r="R153">
        <v>0.01</v>
      </c>
      <c r="S153">
        <v>1.58</v>
      </c>
      <c r="T153">
        <v>80.150002000000001</v>
      </c>
      <c r="U153">
        <v>3.07</v>
      </c>
      <c r="V153">
        <v>19.18</v>
      </c>
      <c r="W153">
        <v>4.88</v>
      </c>
      <c r="X153">
        <v>21363.327988000001</v>
      </c>
      <c r="Y153">
        <v>7829115.5012299996</v>
      </c>
    </row>
    <row r="154" spans="1:25" x14ac:dyDescent="0.55000000000000004">
      <c r="A154">
        <v>152</v>
      </c>
      <c r="B154" t="s">
        <v>20</v>
      </c>
      <c r="C154">
        <v>13</v>
      </c>
      <c r="D154">
        <v>1</v>
      </c>
      <c r="E154" t="s">
        <v>43</v>
      </c>
      <c r="F154" t="s">
        <v>44</v>
      </c>
      <c r="G154">
        <v>21</v>
      </c>
      <c r="H154">
        <v>2</v>
      </c>
      <c r="I154">
        <v>21010000</v>
      </c>
      <c r="J154">
        <v>241</v>
      </c>
      <c r="K154">
        <v>0</v>
      </c>
      <c r="L154">
        <v>12663</v>
      </c>
      <c r="M154">
        <v>12.636443999999999</v>
      </c>
      <c r="N154">
        <v>101.27242</v>
      </c>
      <c r="O154">
        <v>0.16</v>
      </c>
      <c r="P154">
        <v>0.34</v>
      </c>
      <c r="Q154">
        <v>0.04</v>
      </c>
      <c r="R154">
        <v>1.88</v>
      </c>
      <c r="S154">
        <v>4.99</v>
      </c>
      <c r="T154">
        <v>61.709999000000003</v>
      </c>
      <c r="U154">
        <v>14.23</v>
      </c>
      <c r="V154">
        <v>35.419998</v>
      </c>
      <c r="W154">
        <v>16.809999000000001</v>
      </c>
      <c r="X154">
        <v>23388.433957000001</v>
      </c>
      <c r="Y154">
        <v>21002844.107900001</v>
      </c>
    </row>
    <row r="155" spans="1:25" x14ac:dyDescent="0.55000000000000004">
      <c r="A155">
        <v>153</v>
      </c>
      <c r="B155" t="s">
        <v>20</v>
      </c>
      <c r="C155">
        <v>13</v>
      </c>
      <c r="D155">
        <v>1</v>
      </c>
      <c r="E155" t="s">
        <v>43</v>
      </c>
      <c r="F155" t="s">
        <v>44</v>
      </c>
      <c r="G155">
        <v>21</v>
      </c>
      <c r="H155">
        <v>2</v>
      </c>
      <c r="I155">
        <v>21010000</v>
      </c>
      <c r="J155">
        <v>244</v>
      </c>
      <c r="K155">
        <v>0</v>
      </c>
      <c r="L155">
        <v>12545</v>
      </c>
      <c r="M155">
        <v>12.555313</v>
      </c>
      <c r="N155">
        <v>101.4387</v>
      </c>
      <c r="O155">
        <v>0</v>
      </c>
      <c r="P155">
        <v>0</v>
      </c>
      <c r="Q155">
        <v>0.04</v>
      </c>
      <c r="R155">
        <v>2.97</v>
      </c>
      <c r="S155">
        <v>3.09</v>
      </c>
      <c r="T155">
        <v>4.82</v>
      </c>
      <c r="U155">
        <v>5.82</v>
      </c>
      <c r="V155">
        <v>8.7799999999999994</v>
      </c>
      <c r="W155">
        <v>24.629999000000002</v>
      </c>
      <c r="X155">
        <v>24741.437199</v>
      </c>
      <c r="Y155">
        <v>6803667.3824500004</v>
      </c>
    </row>
    <row r="156" spans="1:25" x14ac:dyDescent="0.55000000000000004">
      <c r="A156">
        <v>154</v>
      </c>
      <c r="B156" t="s">
        <v>20</v>
      </c>
      <c r="C156">
        <v>13</v>
      </c>
      <c r="D156">
        <v>1</v>
      </c>
      <c r="E156" t="s">
        <v>43</v>
      </c>
      <c r="F156" t="s">
        <v>44</v>
      </c>
      <c r="G156">
        <v>21</v>
      </c>
      <c r="H156">
        <v>2</v>
      </c>
      <c r="I156">
        <v>21010000</v>
      </c>
      <c r="J156">
        <v>246</v>
      </c>
      <c r="K156">
        <v>0</v>
      </c>
      <c r="L156">
        <v>12665</v>
      </c>
      <c r="M156">
        <v>12.636443999999999</v>
      </c>
      <c r="N156">
        <v>101.4387</v>
      </c>
      <c r="O156">
        <v>0.01</v>
      </c>
      <c r="P156">
        <v>0.14000000000000001</v>
      </c>
      <c r="Q156">
        <v>0.06</v>
      </c>
      <c r="R156">
        <v>0.01</v>
      </c>
      <c r="S156">
        <v>25.02</v>
      </c>
      <c r="T156">
        <v>8.5299999999999994</v>
      </c>
      <c r="U156">
        <v>49.169998</v>
      </c>
      <c r="V156">
        <v>34.270000000000003</v>
      </c>
      <c r="W156">
        <v>13.55</v>
      </c>
      <c r="X156">
        <v>34295.082148000001</v>
      </c>
      <c r="Y156">
        <v>58431763.349299997</v>
      </c>
    </row>
    <row r="157" spans="1:25" x14ac:dyDescent="0.55000000000000004">
      <c r="A157">
        <v>155</v>
      </c>
      <c r="B157" t="s">
        <v>20</v>
      </c>
      <c r="C157">
        <v>13</v>
      </c>
      <c r="D157">
        <v>1</v>
      </c>
      <c r="E157" t="s">
        <v>43</v>
      </c>
      <c r="F157" t="s">
        <v>44</v>
      </c>
      <c r="G157">
        <v>21</v>
      </c>
      <c r="H157">
        <v>2</v>
      </c>
      <c r="I157">
        <v>21010000</v>
      </c>
      <c r="J157">
        <v>247</v>
      </c>
      <c r="K157">
        <v>0</v>
      </c>
      <c r="L157">
        <v>12664</v>
      </c>
      <c r="M157">
        <v>12.636443999999999</v>
      </c>
      <c r="N157">
        <v>101.35556</v>
      </c>
      <c r="O157">
        <v>0</v>
      </c>
      <c r="P157">
        <v>0.04</v>
      </c>
      <c r="Q157">
        <v>0.26</v>
      </c>
      <c r="R157">
        <v>1.39</v>
      </c>
      <c r="S157">
        <v>24.26</v>
      </c>
      <c r="T157">
        <v>5.16</v>
      </c>
      <c r="U157">
        <v>10.9</v>
      </c>
      <c r="V157">
        <v>22.85</v>
      </c>
      <c r="W157">
        <v>53.509998000000003</v>
      </c>
      <c r="X157">
        <v>30866.520372999999</v>
      </c>
      <c r="Y157">
        <v>52111121.7086</v>
      </c>
    </row>
    <row r="158" spans="1:25" x14ac:dyDescent="0.55000000000000004">
      <c r="A158">
        <v>156</v>
      </c>
      <c r="B158" t="s">
        <v>20</v>
      </c>
      <c r="C158">
        <v>13</v>
      </c>
      <c r="D158">
        <v>1</v>
      </c>
      <c r="E158" t="s">
        <v>43</v>
      </c>
      <c r="F158" t="s">
        <v>44</v>
      </c>
      <c r="G158">
        <v>21</v>
      </c>
      <c r="H158">
        <v>2</v>
      </c>
      <c r="I158">
        <v>21010000</v>
      </c>
      <c r="J158">
        <v>261</v>
      </c>
      <c r="K158">
        <v>0</v>
      </c>
      <c r="L158">
        <v>12666</v>
      </c>
      <c r="M158">
        <v>12.636443999999999</v>
      </c>
      <c r="N158">
        <v>101.52182999999999</v>
      </c>
      <c r="O158">
        <v>0.01</v>
      </c>
      <c r="P158">
        <v>1.7</v>
      </c>
      <c r="Q158">
        <v>0.43</v>
      </c>
      <c r="R158">
        <v>1.97</v>
      </c>
      <c r="S158">
        <v>4.09</v>
      </c>
      <c r="T158">
        <v>49.369999</v>
      </c>
      <c r="U158">
        <v>8.17</v>
      </c>
      <c r="V158">
        <v>23.860001</v>
      </c>
      <c r="W158">
        <v>13.09</v>
      </c>
      <c r="X158">
        <v>18019.818350000001</v>
      </c>
      <c r="Y158">
        <v>19408198.949099999</v>
      </c>
    </row>
    <row r="159" spans="1:25" x14ac:dyDescent="0.55000000000000004">
      <c r="A159">
        <v>157</v>
      </c>
      <c r="B159" t="s">
        <v>20</v>
      </c>
      <c r="C159">
        <v>13</v>
      </c>
      <c r="D159">
        <v>1</v>
      </c>
      <c r="E159" t="s">
        <v>43</v>
      </c>
      <c r="F159" t="s">
        <v>44</v>
      </c>
      <c r="G159">
        <v>21</v>
      </c>
      <c r="H159">
        <v>2</v>
      </c>
      <c r="I159">
        <v>21010000</v>
      </c>
      <c r="J159">
        <v>270</v>
      </c>
      <c r="K159">
        <v>0</v>
      </c>
      <c r="L159">
        <v>12783</v>
      </c>
      <c r="M159">
        <v>12.717560000000001</v>
      </c>
      <c r="N159">
        <v>101.27242</v>
      </c>
      <c r="O159">
        <v>0.2</v>
      </c>
      <c r="P159">
        <v>5.66</v>
      </c>
      <c r="Q159">
        <v>0.28000000000000003</v>
      </c>
      <c r="R159">
        <v>20.530000999999999</v>
      </c>
      <c r="S159">
        <v>21.32</v>
      </c>
      <c r="T159">
        <v>7.22</v>
      </c>
      <c r="U159">
        <v>5.61</v>
      </c>
      <c r="V159">
        <v>56.59</v>
      </c>
      <c r="W159">
        <v>11.67</v>
      </c>
      <c r="X159">
        <v>33612.303241000001</v>
      </c>
      <c r="Y159">
        <v>47586540.411399998</v>
      </c>
    </row>
    <row r="160" spans="1:25" x14ac:dyDescent="0.55000000000000004">
      <c r="A160">
        <v>158</v>
      </c>
      <c r="B160" t="s">
        <v>20</v>
      </c>
      <c r="C160">
        <v>13</v>
      </c>
      <c r="D160">
        <v>1</v>
      </c>
      <c r="E160" t="s">
        <v>43</v>
      </c>
      <c r="F160" t="s">
        <v>44</v>
      </c>
      <c r="G160">
        <v>21</v>
      </c>
      <c r="H160">
        <v>2</v>
      </c>
      <c r="I160">
        <v>21010000</v>
      </c>
      <c r="J160">
        <v>271</v>
      </c>
      <c r="K160">
        <v>0</v>
      </c>
      <c r="L160">
        <v>12902</v>
      </c>
      <c r="M160">
        <v>12.798636999999999</v>
      </c>
      <c r="N160">
        <v>101.189285</v>
      </c>
      <c r="O160">
        <v>0.01</v>
      </c>
      <c r="P160">
        <v>0.13</v>
      </c>
      <c r="Q160">
        <v>0.27</v>
      </c>
      <c r="R160">
        <v>0.36</v>
      </c>
      <c r="S160">
        <v>38.709999000000003</v>
      </c>
      <c r="T160">
        <v>7.87</v>
      </c>
      <c r="U160">
        <v>6.24</v>
      </c>
      <c r="V160">
        <v>26.75</v>
      </c>
      <c r="W160">
        <v>0.01</v>
      </c>
      <c r="X160">
        <v>12088.520526</v>
      </c>
      <c r="Y160">
        <v>3515089.2889200002</v>
      </c>
    </row>
    <row r="161" spans="1:25" x14ac:dyDescent="0.55000000000000004">
      <c r="A161">
        <v>159</v>
      </c>
      <c r="B161" t="s">
        <v>20</v>
      </c>
      <c r="C161">
        <v>13</v>
      </c>
      <c r="D161">
        <v>1</v>
      </c>
      <c r="E161" t="s">
        <v>43</v>
      </c>
      <c r="F161" t="s">
        <v>44</v>
      </c>
      <c r="G161">
        <v>21</v>
      </c>
      <c r="H161">
        <v>2</v>
      </c>
      <c r="I161">
        <v>21010000</v>
      </c>
      <c r="J161">
        <v>279</v>
      </c>
      <c r="K161">
        <v>0</v>
      </c>
      <c r="L161">
        <v>12784</v>
      </c>
      <c r="M161">
        <v>12.717560000000001</v>
      </c>
      <c r="N161">
        <v>101.35556</v>
      </c>
      <c r="O161">
        <v>0</v>
      </c>
      <c r="P161">
        <v>1.04</v>
      </c>
      <c r="Q161">
        <v>0.28000000000000003</v>
      </c>
      <c r="R161">
        <v>1.1100000000000001</v>
      </c>
      <c r="S161">
        <v>15.67</v>
      </c>
      <c r="T161">
        <v>4.26</v>
      </c>
      <c r="U161">
        <v>9.6</v>
      </c>
      <c r="V161">
        <v>39.400002000000001</v>
      </c>
      <c r="W161">
        <v>15.55</v>
      </c>
      <c r="X161">
        <v>33318.372045999997</v>
      </c>
      <c r="Y161">
        <v>66619159.590000004</v>
      </c>
    </row>
    <row r="162" spans="1:25" x14ac:dyDescent="0.55000000000000004">
      <c r="A162">
        <v>160</v>
      </c>
      <c r="B162" t="s">
        <v>20</v>
      </c>
      <c r="C162">
        <v>13</v>
      </c>
      <c r="D162">
        <v>1</v>
      </c>
      <c r="E162" t="s">
        <v>43</v>
      </c>
      <c r="F162" t="s">
        <v>44</v>
      </c>
      <c r="G162">
        <v>21</v>
      </c>
      <c r="H162">
        <v>2</v>
      </c>
      <c r="I162">
        <v>21010000</v>
      </c>
      <c r="J162">
        <v>280</v>
      </c>
      <c r="K162">
        <v>0</v>
      </c>
      <c r="L162">
        <v>12904</v>
      </c>
      <c r="M162">
        <v>12.798636999999999</v>
      </c>
      <c r="N162">
        <v>101.35556</v>
      </c>
      <c r="O162">
        <v>0.01</v>
      </c>
      <c r="P162">
        <v>11.46</v>
      </c>
      <c r="Q162">
        <v>0.54</v>
      </c>
      <c r="R162">
        <v>1.1200000000000001</v>
      </c>
      <c r="S162">
        <v>2.78</v>
      </c>
      <c r="T162">
        <v>5.71</v>
      </c>
      <c r="U162">
        <v>3.87</v>
      </c>
      <c r="V162">
        <v>39.5</v>
      </c>
      <c r="W162">
        <v>1.83</v>
      </c>
      <c r="X162">
        <v>9450.6654359999993</v>
      </c>
      <c r="Y162">
        <v>3161722.0562</v>
      </c>
    </row>
    <row r="163" spans="1:25" x14ac:dyDescent="0.55000000000000004">
      <c r="A163">
        <v>161</v>
      </c>
      <c r="B163" t="s">
        <v>20</v>
      </c>
      <c r="C163">
        <v>13</v>
      </c>
      <c r="D163">
        <v>1</v>
      </c>
      <c r="E163" t="s">
        <v>43</v>
      </c>
      <c r="F163" t="s">
        <v>44</v>
      </c>
      <c r="G163">
        <v>21</v>
      </c>
      <c r="H163">
        <v>2</v>
      </c>
      <c r="I163">
        <v>21010000</v>
      </c>
      <c r="J163">
        <v>281</v>
      </c>
      <c r="K163">
        <v>0</v>
      </c>
      <c r="L163">
        <v>12785</v>
      </c>
      <c r="M163">
        <v>12.717560000000001</v>
      </c>
      <c r="N163">
        <v>101.4387</v>
      </c>
      <c r="O163">
        <v>0</v>
      </c>
      <c r="P163">
        <v>0.42</v>
      </c>
      <c r="Q163">
        <v>0.1</v>
      </c>
      <c r="R163">
        <v>0.8</v>
      </c>
      <c r="S163">
        <v>29.99</v>
      </c>
      <c r="T163">
        <v>2.93</v>
      </c>
      <c r="U163">
        <v>4.93</v>
      </c>
      <c r="V163">
        <v>49.18</v>
      </c>
      <c r="W163">
        <v>19.760000000000002</v>
      </c>
      <c r="X163">
        <v>36017.884797999999</v>
      </c>
      <c r="Y163">
        <v>81079675.644700006</v>
      </c>
    </row>
    <row r="164" spans="1:25" x14ac:dyDescent="0.55000000000000004">
      <c r="A164">
        <v>162</v>
      </c>
      <c r="B164" t="s">
        <v>20</v>
      </c>
      <c r="C164">
        <v>13</v>
      </c>
      <c r="D164">
        <v>1</v>
      </c>
      <c r="E164" t="s">
        <v>43</v>
      </c>
      <c r="F164" t="s">
        <v>44</v>
      </c>
      <c r="G164">
        <v>21</v>
      </c>
      <c r="H164">
        <v>2</v>
      </c>
      <c r="I164">
        <v>21010000</v>
      </c>
      <c r="J164">
        <v>282</v>
      </c>
      <c r="K164">
        <v>0</v>
      </c>
      <c r="L164">
        <v>12905</v>
      </c>
      <c r="M164">
        <v>12.798636999999999</v>
      </c>
      <c r="N164">
        <v>101.4387</v>
      </c>
      <c r="O164">
        <v>0</v>
      </c>
      <c r="P164">
        <v>1.05</v>
      </c>
      <c r="Q164">
        <v>0.24</v>
      </c>
      <c r="R164">
        <v>1.73</v>
      </c>
      <c r="S164">
        <v>1.04</v>
      </c>
      <c r="T164">
        <v>16.700001</v>
      </c>
      <c r="U164">
        <v>7.95</v>
      </c>
      <c r="V164">
        <v>48.18</v>
      </c>
      <c r="W164">
        <v>10.89</v>
      </c>
      <c r="X164">
        <v>36951.767197000001</v>
      </c>
      <c r="Y164">
        <v>62694781.598200001</v>
      </c>
    </row>
    <row r="165" spans="1:25" x14ac:dyDescent="0.55000000000000004">
      <c r="A165">
        <v>163</v>
      </c>
      <c r="B165" t="s">
        <v>20</v>
      </c>
      <c r="C165">
        <v>13</v>
      </c>
      <c r="D165">
        <v>1</v>
      </c>
      <c r="E165" t="s">
        <v>43</v>
      </c>
      <c r="F165" t="s">
        <v>44</v>
      </c>
      <c r="G165">
        <v>21</v>
      </c>
      <c r="H165">
        <v>2</v>
      </c>
      <c r="I165">
        <v>21010000</v>
      </c>
      <c r="J165">
        <v>283</v>
      </c>
      <c r="K165">
        <v>0</v>
      </c>
      <c r="L165">
        <v>12786</v>
      </c>
      <c r="M165">
        <v>12.717560000000001</v>
      </c>
      <c r="N165">
        <v>101.52182999999999</v>
      </c>
      <c r="O165">
        <v>0</v>
      </c>
      <c r="P165">
        <v>0.43</v>
      </c>
      <c r="Q165">
        <v>0.08</v>
      </c>
      <c r="R165">
        <v>2.19</v>
      </c>
      <c r="S165">
        <v>4.05</v>
      </c>
      <c r="T165">
        <v>6.8</v>
      </c>
      <c r="U165">
        <v>16.370000999999998</v>
      </c>
      <c r="V165">
        <v>33.830002</v>
      </c>
      <c r="W165">
        <v>9.2799999999999994</v>
      </c>
      <c r="X165">
        <v>27816.579801</v>
      </c>
      <c r="Y165">
        <v>39315405.8957</v>
      </c>
    </row>
    <row r="166" spans="1:25" x14ac:dyDescent="0.55000000000000004">
      <c r="A166">
        <v>164</v>
      </c>
      <c r="B166" t="s">
        <v>20</v>
      </c>
      <c r="C166">
        <v>13</v>
      </c>
      <c r="D166">
        <v>1</v>
      </c>
      <c r="E166" t="s">
        <v>43</v>
      </c>
      <c r="F166" t="s">
        <v>44</v>
      </c>
      <c r="G166">
        <v>21</v>
      </c>
      <c r="H166">
        <v>2</v>
      </c>
      <c r="I166">
        <v>21010000</v>
      </c>
      <c r="J166">
        <v>287</v>
      </c>
      <c r="K166">
        <v>0</v>
      </c>
      <c r="L166">
        <v>13025</v>
      </c>
      <c r="M166">
        <v>12.8797</v>
      </c>
      <c r="N166">
        <v>101.4387</v>
      </c>
      <c r="O166">
        <v>7.54</v>
      </c>
      <c r="P166">
        <v>3.89</v>
      </c>
      <c r="Q166">
        <v>0.72</v>
      </c>
      <c r="R166">
        <v>1.35</v>
      </c>
      <c r="S166">
        <v>4.58</v>
      </c>
      <c r="T166">
        <v>11.99</v>
      </c>
      <c r="U166">
        <v>33.840000000000003</v>
      </c>
      <c r="V166">
        <v>4.0599999999999996</v>
      </c>
      <c r="W166">
        <v>4.41</v>
      </c>
      <c r="X166">
        <v>17576.105083999999</v>
      </c>
      <c r="Y166">
        <v>11813095.0866</v>
      </c>
    </row>
    <row r="167" spans="1:25" x14ac:dyDescent="0.55000000000000004">
      <c r="A167">
        <v>165</v>
      </c>
      <c r="B167" t="s">
        <v>20</v>
      </c>
      <c r="C167">
        <v>13</v>
      </c>
      <c r="D167">
        <v>1</v>
      </c>
      <c r="E167" t="s">
        <v>43</v>
      </c>
      <c r="F167" t="s">
        <v>44</v>
      </c>
      <c r="G167">
        <v>21</v>
      </c>
      <c r="H167">
        <v>2</v>
      </c>
      <c r="I167">
        <v>21010000</v>
      </c>
      <c r="J167">
        <v>288</v>
      </c>
      <c r="K167">
        <v>0</v>
      </c>
      <c r="L167">
        <v>12906</v>
      </c>
      <c r="M167">
        <v>12.798636999999999</v>
      </c>
      <c r="N167">
        <v>101.52182999999999</v>
      </c>
      <c r="O167">
        <v>1.53</v>
      </c>
      <c r="P167">
        <v>0.23</v>
      </c>
      <c r="Q167">
        <v>0.14000000000000001</v>
      </c>
      <c r="R167">
        <v>24.02</v>
      </c>
      <c r="S167">
        <v>3.04</v>
      </c>
      <c r="T167">
        <v>12.02</v>
      </c>
      <c r="U167">
        <v>9.9700000000000006</v>
      </c>
      <c r="V167">
        <v>10.58</v>
      </c>
      <c r="W167">
        <v>7.01</v>
      </c>
      <c r="X167">
        <v>26752.748662000002</v>
      </c>
      <c r="Y167">
        <v>31412334.606600001</v>
      </c>
    </row>
    <row r="168" spans="1:25" x14ac:dyDescent="0.55000000000000004">
      <c r="A168">
        <v>166</v>
      </c>
      <c r="B168" t="s">
        <v>20</v>
      </c>
      <c r="C168">
        <v>13</v>
      </c>
      <c r="D168">
        <v>1</v>
      </c>
      <c r="E168" t="s">
        <v>43</v>
      </c>
      <c r="F168" t="s">
        <v>44</v>
      </c>
      <c r="G168">
        <v>21</v>
      </c>
      <c r="H168">
        <v>2</v>
      </c>
      <c r="I168">
        <v>21010000</v>
      </c>
      <c r="J168">
        <v>291</v>
      </c>
      <c r="K168">
        <v>0</v>
      </c>
      <c r="L168">
        <v>12782</v>
      </c>
      <c r="M168">
        <v>12.717560000000001</v>
      </c>
      <c r="N168">
        <v>101.189285</v>
      </c>
      <c r="O168">
        <v>0.15</v>
      </c>
      <c r="P168">
        <v>3.69</v>
      </c>
      <c r="Q168">
        <v>2.58</v>
      </c>
      <c r="R168">
        <v>7.7</v>
      </c>
      <c r="S168">
        <v>74.230002999999996</v>
      </c>
      <c r="T168">
        <v>26.700001</v>
      </c>
      <c r="U168">
        <v>16.18</v>
      </c>
      <c r="V168">
        <v>39.130001</v>
      </c>
      <c r="W168">
        <v>4.7</v>
      </c>
      <c r="X168">
        <v>36085.629402999999</v>
      </c>
      <c r="Y168">
        <v>74666021.819999993</v>
      </c>
    </row>
    <row r="169" spans="1:25" x14ac:dyDescent="0.55000000000000004">
      <c r="A169">
        <v>167</v>
      </c>
      <c r="B169" t="s">
        <v>20</v>
      </c>
      <c r="C169">
        <v>13</v>
      </c>
      <c r="D169">
        <v>1</v>
      </c>
      <c r="E169" t="s">
        <v>43</v>
      </c>
      <c r="F169" t="s">
        <v>44</v>
      </c>
      <c r="G169">
        <v>21</v>
      </c>
      <c r="H169">
        <v>2</v>
      </c>
      <c r="I169">
        <v>21010000</v>
      </c>
      <c r="J169">
        <v>295</v>
      </c>
      <c r="K169">
        <v>0</v>
      </c>
      <c r="L169">
        <v>13026</v>
      </c>
      <c r="M169">
        <v>12.8797</v>
      </c>
      <c r="N169">
        <v>101.52182999999999</v>
      </c>
      <c r="O169">
        <v>9.2899999999999991</v>
      </c>
      <c r="P169">
        <v>7.0000000000000007E-2</v>
      </c>
      <c r="Q169">
        <v>0.38</v>
      </c>
      <c r="R169">
        <v>9.0500000000000007</v>
      </c>
      <c r="S169">
        <v>4.29</v>
      </c>
      <c r="T169">
        <v>11.61</v>
      </c>
      <c r="U169">
        <v>26.799999</v>
      </c>
      <c r="V169">
        <v>6.42</v>
      </c>
      <c r="W169">
        <v>0.57999999999999996</v>
      </c>
      <c r="X169">
        <v>12128.370476</v>
      </c>
      <c r="Y169">
        <v>8286214.0802199999</v>
      </c>
    </row>
    <row r="170" spans="1:25" x14ac:dyDescent="0.55000000000000004">
      <c r="A170">
        <v>168</v>
      </c>
      <c r="B170" t="s">
        <v>20</v>
      </c>
      <c r="C170">
        <v>14</v>
      </c>
      <c r="D170">
        <v>2</v>
      </c>
      <c r="E170" t="s">
        <v>45</v>
      </c>
      <c r="F170" t="s">
        <v>46</v>
      </c>
      <c r="G170">
        <v>21</v>
      </c>
      <c r="H170">
        <v>2</v>
      </c>
      <c r="I170">
        <v>21020000</v>
      </c>
      <c r="J170">
        <v>187</v>
      </c>
      <c r="K170">
        <v>0</v>
      </c>
      <c r="L170">
        <v>12660</v>
      </c>
      <c r="M170">
        <v>12.636443999999999</v>
      </c>
      <c r="N170">
        <v>101.02302</v>
      </c>
      <c r="O170">
        <v>7.0000000000000007E-2</v>
      </c>
      <c r="P170">
        <v>0.2</v>
      </c>
      <c r="Q170">
        <v>0.7</v>
      </c>
      <c r="R170">
        <v>0.01</v>
      </c>
      <c r="S170">
        <v>2.78</v>
      </c>
      <c r="T170">
        <v>22.83</v>
      </c>
      <c r="U170">
        <v>24.77</v>
      </c>
      <c r="V170">
        <v>8.5</v>
      </c>
      <c r="W170">
        <v>5.24</v>
      </c>
      <c r="X170">
        <v>19097.801855999998</v>
      </c>
      <c r="Y170">
        <v>11584432.7731</v>
      </c>
    </row>
    <row r="171" spans="1:25" x14ac:dyDescent="0.55000000000000004">
      <c r="A171">
        <v>169</v>
      </c>
      <c r="B171" t="s">
        <v>20</v>
      </c>
      <c r="C171">
        <v>14</v>
      </c>
      <c r="D171">
        <v>2</v>
      </c>
      <c r="E171" t="s">
        <v>45</v>
      </c>
      <c r="F171" t="s">
        <v>46</v>
      </c>
      <c r="G171">
        <v>21</v>
      </c>
      <c r="H171">
        <v>2</v>
      </c>
      <c r="I171">
        <v>21020000</v>
      </c>
      <c r="J171">
        <v>209</v>
      </c>
      <c r="K171">
        <v>0</v>
      </c>
      <c r="L171">
        <v>12780</v>
      </c>
      <c r="M171">
        <v>12.717560000000001</v>
      </c>
      <c r="N171">
        <v>101.02302</v>
      </c>
      <c r="O171">
        <v>0.01</v>
      </c>
      <c r="P171">
        <v>4.8099999999999996</v>
      </c>
      <c r="Q171">
        <v>0.08</v>
      </c>
      <c r="R171">
        <v>1.99</v>
      </c>
      <c r="S171">
        <v>0.28000000000000003</v>
      </c>
      <c r="T171">
        <v>18.540001</v>
      </c>
      <c r="U171">
        <v>5.3</v>
      </c>
      <c r="V171">
        <v>12.78</v>
      </c>
      <c r="W171">
        <v>4.1500000000000004</v>
      </c>
      <c r="X171">
        <v>34149.722865999996</v>
      </c>
      <c r="Y171">
        <v>67223680.545000002</v>
      </c>
    </row>
    <row r="172" spans="1:25" x14ac:dyDescent="0.55000000000000004">
      <c r="A172">
        <v>170</v>
      </c>
      <c r="B172" t="s">
        <v>20</v>
      </c>
      <c r="C172">
        <v>14</v>
      </c>
      <c r="D172">
        <v>2</v>
      </c>
      <c r="E172" t="s">
        <v>45</v>
      </c>
      <c r="F172" t="s">
        <v>46</v>
      </c>
      <c r="G172">
        <v>21</v>
      </c>
      <c r="H172">
        <v>2</v>
      </c>
      <c r="I172">
        <v>21020000</v>
      </c>
      <c r="J172">
        <v>211</v>
      </c>
      <c r="K172">
        <v>0</v>
      </c>
      <c r="L172">
        <v>12901</v>
      </c>
      <c r="M172">
        <v>12.798636999999999</v>
      </c>
      <c r="N172">
        <v>101.10615</v>
      </c>
      <c r="O172">
        <v>0.01</v>
      </c>
      <c r="P172">
        <v>0.1</v>
      </c>
      <c r="Q172">
        <v>0</v>
      </c>
      <c r="R172">
        <v>0.05</v>
      </c>
      <c r="S172">
        <v>5.25</v>
      </c>
      <c r="T172">
        <v>13.88</v>
      </c>
      <c r="U172">
        <v>7.12</v>
      </c>
      <c r="V172">
        <v>22.43</v>
      </c>
      <c r="W172">
        <v>0.99</v>
      </c>
      <c r="X172">
        <v>20696.971968999998</v>
      </c>
      <c r="Y172">
        <v>18166314.572000001</v>
      </c>
    </row>
    <row r="173" spans="1:25" x14ac:dyDescent="0.55000000000000004">
      <c r="A173">
        <v>171</v>
      </c>
      <c r="B173" t="s">
        <v>20</v>
      </c>
      <c r="C173">
        <v>14</v>
      </c>
      <c r="D173">
        <v>2</v>
      </c>
      <c r="E173" t="s">
        <v>45</v>
      </c>
      <c r="F173" t="s">
        <v>46</v>
      </c>
      <c r="G173">
        <v>21</v>
      </c>
      <c r="H173">
        <v>2</v>
      </c>
      <c r="I173">
        <v>21020000</v>
      </c>
      <c r="J173">
        <v>214</v>
      </c>
      <c r="K173">
        <v>0</v>
      </c>
      <c r="L173">
        <v>12661</v>
      </c>
      <c r="M173">
        <v>12.636443999999999</v>
      </c>
      <c r="N173">
        <v>101.10615</v>
      </c>
      <c r="O173">
        <v>0</v>
      </c>
      <c r="P173">
        <v>0.79</v>
      </c>
      <c r="Q173">
        <v>0.94</v>
      </c>
      <c r="R173">
        <v>0.01</v>
      </c>
      <c r="S173">
        <v>0.52</v>
      </c>
      <c r="T173">
        <v>13.99</v>
      </c>
      <c r="U173">
        <v>10.51</v>
      </c>
      <c r="V173">
        <v>11.41</v>
      </c>
      <c r="W173">
        <v>0.81</v>
      </c>
      <c r="X173">
        <v>7119.1432500000001</v>
      </c>
      <c r="Y173">
        <v>596677.52986500005</v>
      </c>
    </row>
    <row r="174" spans="1:25" x14ac:dyDescent="0.55000000000000004">
      <c r="A174">
        <v>172</v>
      </c>
      <c r="B174" t="s">
        <v>20</v>
      </c>
      <c r="C174">
        <v>14</v>
      </c>
      <c r="D174">
        <v>2</v>
      </c>
      <c r="E174" t="s">
        <v>45</v>
      </c>
      <c r="F174" t="s">
        <v>46</v>
      </c>
      <c r="G174">
        <v>21</v>
      </c>
      <c r="H174">
        <v>2</v>
      </c>
      <c r="I174">
        <v>21020000</v>
      </c>
      <c r="J174">
        <v>215</v>
      </c>
      <c r="K174">
        <v>0</v>
      </c>
      <c r="L174">
        <v>12781</v>
      </c>
      <c r="M174">
        <v>12.717560000000001</v>
      </c>
      <c r="N174">
        <v>101.10615</v>
      </c>
      <c r="O174">
        <v>0.77</v>
      </c>
      <c r="P174">
        <v>0.48</v>
      </c>
      <c r="Q174">
        <v>0.02</v>
      </c>
      <c r="R174">
        <v>2.78</v>
      </c>
      <c r="S174">
        <v>27.65</v>
      </c>
      <c r="T174">
        <v>12.42</v>
      </c>
      <c r="U174">
        <v>8.75</v>
      </c>
      <c r="V174">
        <v>24.299999</v>
      </c>
      <c r="W174">
        <v>6.02</v>
      </c>
      <c r="X174">
        <v>25595.609454000001</v>
      </c>
      <c r="Y174">
        <v>34494509.802000001</v>
      </c>
    </row>
    <row r="175" spans="1:25" x14ac:dyDescent="0.55000000000000004">
      <c r="A175">
        <v>173</v>
      </c>
      <c r="B175" t="s">
        <v>20</v>
      </c>
      <c r="C175">
        <v>14</v>
      </c>
      <c r="D175">
        <v>2</v>
      </c>
      <c r="E175" t="s">
        <v>45</v>
      </c>
      <c r="F175" t="s">
        <v>46</v>
      </c>
      <c r="G175">
        <v>21</v>
      </c>
      <c r="H175">
        <v>2</v>
      </c>
      <c r="I175">
        <v>21020000</v>
      </c>
      <c r="J175">
        <v>218</v>
      </c>
      <c r="K175">
        <v>0</v>
      </c>
      <c r="L175">
        <v>12900</v>
      </c>
      <c r="M175">
        <v>12.798636999999999</v>
      </c>
      <c r="N175">
        <v>101.02302</v>
      </c>
      <c r="O175">
        <v>0</v>
      </c>
      <c r="P175">
        <v>7.98</v>
      </c>
      <c r="Q175">
        <v>0.14000000000000001</v>
      </c>
      <c r="R175">
        <v>0.01</v>
      </c>
      <c r="S175">
        <v>1.87</v>
      </c>
      <c r="T175">
        <v>88.580001999999993</v>
      </c>
      <c r="U175">
        <v>14.2</v>
      </c>
      <c r="V175">
        <v>21.92</v>
      </c>
      <c r="W175">
        <v>7.95</v>
      </c>
      <c r="X175">
        <v>23602.770562999998</v>
      </c>
      <c r="Y175">
        <v>31186814.270799998</v>
      </c>
    </row>
    <row r="176" spans="1:25" x14ac:dyDescent="0.55000000000000004">
      <c r="A176">
        <v>174</v>
      </c>
      <c r="B176" t="s">
        <v>20</v>
      </c>
      <c r="C176">
        <v>15</v>
      </c>
      <c r="D176">
        <v>3</v>
      </c>
      <c r="E176" t="s">
        <v>47</v>
      </c>
      <c r="F176" t="s">
        <v>48</v>
      </c>
      <c r="G176">
        <v>21</v>
      </c>
      <c r="H176">
        <v>2</v>
      </c>
      <c r="I176">
        <v>21030000</v>
      </c>
      <c r="J176">
        <v>259</v>
      </c>
      <c r="K176">
        <v>0</v>
      </c>
      <c r="L176">
        <v>12546</v>
      </c>
      <c r="M176">
        <v>12.555313</v>
      </c>
      <c r="N176">
        <v>101.52182999999999</v>
      </c>
      <c r="O176">
        <v>0.09</v>
      </c>
      <c r="P176">
        <v>0.04</v>
      </c>
      <c r="Q176">
        <v>4.55</v>
      </c>
      <c r="R176">
        <v>5.49</v>
      </c>
      <c r="S176">
        <v>2.5499999999999998</v>
      </c>
      <c r="T176">
        <v>6.85</v>
      </c>
      <c r="U176">
        <v>3.06</v>
      </c>
      <c r="V176">
        <v>4.1900000000000004</v>
      </c>
      <c r="W176">
        <v>9.56</v>
      </c>
      <c r="X176">
        <v>1157.1197529999999</v>
      </c>
      <c r="Y176">
        <v>70890.164772000004</v>
      </c>
    </row>
    <row r="177" spans="1:25" x14ac:dyDescent="0.55000000000000004">
      <c r="A177">
        <v>175</v>
      </c>
      <c r="B177" t="s">
        <v>20</v>
      </c>
      <c r="C177">
        <v>15</v>
      </c>
      <c r="D177">
        <v>3</v>
      </c>
      <c r="E177" t="s">
        <v>47</v>
      </c>
      <c r="F177" t="s">
        <v>48</v>
      </c>
      <c r="G177">
        <v>21</v>
      </c>
      <c r="H177">
        <v>2</v>
      </c>
      <c r="I177">
        <v>21030000</v>
      </c>
      <c r="J177">
        <v>260</v>
      </c>
      <c r="K177">
        <v>0</v>
      </c>
      <c r="L177">
        <v>12667</v>
      </c>
      <c r="M177">
        <v>12.636443999999999</v>
      </c>
      <c r="N177">
        <v>101.60496500000001</v>
      </c>
      <c r="O177">
        <v>0.98</v>
      </c>
      <c r="P177">
        <v>0.03</v>
      </c>
      <c r="Q177">
        <v>0.68</v>
      </c>
      <c r="R177">
        <v>2.84</v>
      </c>
      <c r="S177">
        <v>0.96</v>
      </c>
      <c r="T177">
        <v>63.93</v>
      </c>
      <c r="U177">
        <v>2.09</v>
      </c>
      <c r="V177">
        <v>3.2</v>
      </c>
      <c r="W177">
        <v>2.5499999999999998</v>
      </c>
      <c r="X177">
        <v>29588.097530999999</v>
      </c>
      <c r="Y177">
        <v>28000835.735199999</v>
      </c>
    </row>
    <row r="178" spans="1:25" x14ac:dyDescent="0.55000000000000004">
      <c r="A178">
        <v>176</v>
      </c>
      <c r="B178" t="s">
        <v>20</v>
      </c>
      <c r="C178">
        <v>15</v>
      </c>
      <c r="D178">
        <v>3</v>
      </c>
      <c r="E178" t="s">
        <v>47</v>
      </c>
      <c r="F178" t="s">
        <v>48</v>
      </c>
      <c r="G178">
        <v>21</v>
      </c>
      <c r="H178">
        <v>2</v>
      </c>
      <c r="I178">
        <v>21030000</v>
      </c>
      <c r="J178">
        <v>261</v>
      </c>
      <c r="K178">
        <v>0</v>
      </c>
      <c r="L178">
        <v>12666</v>
      </c>
      <c r="M178">
        <v>12.636443999999999</v>
      </c>
      <c r="N178">
        <v>101.52182999999999</v>
      </c>
      <c r="O178">
        <v>0.01</v>
      </c>
      <c r="P178">
        <v>1.7</v>
      </c>
      <c r="Q178">
        <v>0.43</v>
      </c>
      <c r="R178">
        <v>1.97</v>
      </c>
      <c r="S178">
        <v>4.09</v>
      </c>
      <c r="T178">
        <v>49.369999</v>
      </c>
      <c r="U178">
        <v>8.17</v>
      </c>
      <c r="V178">
        <v>23.860001</v>
      </c>
      <c r="W178">
        <v>13.09</v>
      </c>
      <c r="X178">
        <v>22316.220713999999</v>
      </c>
      <c r="Y178">
        <v>26956171.109499998</v>
      </c>
    </row>
    <row r="179" spans="1:25" x14ac:dyDescent="0.55000000000000004">
      <c r="A179">
        <v>177</v>
      </c>
      <c r="B179" t="s">
        <v>20</v>
      </c>
      <c r="C179">
        <v>15</v>
      </c>
      <c r="D179">
        <v>3</v>
      </c>
      <c r="E179" t="s">
        <v>47</v>
      </c>
      <c r="F179" t="s">
        <v>48</v>
      </c>
      <c r="G179">
        <v>21</v>
      </c>
      <c r="H179">
        <v>2</v>
      </c>
      <c r="I179">
        <v>21030000</v>
      </c>
      <c r="J179">
        <v>262</v>
      </c>
      <c r="K179">
        <v>0</v>
      </c>
      <c r="L179">
        <v>12547</v>
      </c>
      <c r="M179">
        <v>12.555313</v>
      </c>
      <c r="N179">
        <v>101.60496500000001</v>
      </c>
      <c r="O179">
        <v>0.72</v>
      </c>
      <c r="P179">
        <v>0.23</v>
      </c>
      <c r="Q179">
        <v>0.61</v>
      </c>
      <c r="R179">
        <v>6.72</v>
      </c>
      <c r="S179">
        <v>1.63</v>
      </c>
      <c r="T179">
        <v>107.360001</v>
      </c>
      <c r="U179">
        <v>6.35</v>
      </c>
      <c r="V179">
        <v>4.03</v>
      </c>
      <c r="W179">
        <v>4.82</v>
      </c>
      <c r="X179">
        <v>1275.009949</v>
      </c>
      <c r="Y179">
        <v>96311.524814999997</v>
      </c>
    </row>
    <row r="180" spans="1:25" x14ac:dyDescent="0.55000000000000004">
      <c r="A180">
        <v>178</v>
      </c>
      <c r="B180" t="s">
        <v>20</v>
      </c>
      <c r="C180">
        <v>15</v>
      </c>
      <c r="D180">
        <v>3</v>
      </c>
      <c r="E180" t="s">
        <v>47</v>
      </c>
      <c r="F180" t="s">
        <v>48</v>
      </c>
      <c r="G180">
        <v>21</v>
      </c>
      <c r="H180">
        <v>2</v>
      </c>
      <c r="I180">
        <v>21030000</v>
      </c>
      <c r="J180">
        <v>267</v>
      </c>
      <c r="K180">
        <v>0</v>
      </c>
      <c r="L180">
        <v>12548</v>
      </c>
      <c r="M180">
        <v>12.555313</v>
      </c>
      <c r="N180">
        <v>101.68810000000001</v>
      </c>
      <c r="O180">
        <v>0.17</v>
      </c>
      <c r="P180">
        <v>0</v>
      </c>
      <c r="Q180">
        <v>0.03</v>
      </c>
      <c r="R180">
        <v>13.31</v>
      </c>
      <c r="S180">
        <v>0.69</v>
      </c>
      <c r="T180">
        <v>2.65</v>
      </c>
      <c r="U180">
        <v>4.04</v>
      </c>
      <c r="V180">
        <v>2.35</v>
      </c>
      <c r="W180">
        <v>2.37</v>
      </c>
      <c r="X180">
        <v>1877.1625650000001</v>
      </c>
      <c r="Y180">
        <v>181739.042762</v>
      </c>
    </row>
    <row r="181" spans="1:25" x14ac:dyDescent="0.55000000000000004">
      <c r="A181">
        <v>179</v>
      </c>
      <c r="B181" t="s">
        <v>20</v>
      </c>
      <c r="C181">
        <v>15</v>
      </c>
      <c r="D181">
        <v>3</v>
      </c>
      <c r="E181" t="s">
        <v>47</v>
      </c>
      <c r="F181" t="s">
        <v>48</v>
      </c>
      <c r="G181">
        <v>21</v>
      </c>
      <c r="H181">
        <v>2</v>
      </c>
      <c r="I181">
        <v>21030000</v>
      </c>
      <c r="J181">
        <v>268</v>
      </c>
      <c r="K181">
        <v>0</v>
      </c>
      <c r="L181">
        <v>12668</v>
      </c>
      <c r="M181">
        <v>12.636443999999999</v>
      </c>
      <c r="N181">
        <v>101.68810000000001</v>
      </c>
      <c r="O181">
        <v>0.02</v>
      </c>
      <c r="P181">
        <v>0</v>
      </c>
      <c r="Q181">
        <v>0.69</v>
      </c>
      <c r="R181">
        <v>26.389999</v>
      </c>
      <c r="S181">
        <v>1.83</v>
      </c>
      <c r="T181">
        <v>38.270000000000003</v>
      </c>
      <c r="U181">
        <v>1.53</v>
      </c>
      <c r="V181">
        <v>3.69</v>
      </c>
      <c r="W181">
        <v>3.09</v>
      </c>
      <c r="X181">
        <v>16422.237892000001</v>
      </c>
      <c r="Y181">
        <v>4254767.02618</v>
      </c>
    </row>
    <row r="182" spans="1:25" x14ac:dyDescent="0.55000000000000004">
      <c r="A182">
        <v>180</v>
      </c>
      <c r="B182" t="s">
        <v>20</v>
      </c>
      <c r="C182">
        <v>15</v>
      </c>
      <c r="D182">
        <v>3</v>
      </c>
      <c r="E182" t="s">
        <v>47</v>
      </c>
      <c r="F182" t="s">
        <v>48</v>
      </c>
      <c r="G182">
        <v>21</v>
      </c>
      <c r="H182">
        <v>2</v>
      </c>
      <c r="I182">
        <v>21030000</v>
      </c>
      <c r="J182">
        <v>283</v>
      </c>
      <c r="K182">
        <v>0</v>
      </c>
      <c r="L182">
        <v>12786</v>
      </c>
      <c r="M182">
        <v>12.717560000000001</v>
      </c>
      <c r="N182">
        <v>101.52182999999999</v>
      </c>
      <c r="O182">
        <v>0</v>
      </c>
      <c r="P182">
        <v>0.43</v>
      </c>
      <c r="Q182">
        <v>0.08</v>
      </c>
      <c r="R182">
        <v>2.19</v>
      </c>
      <c r="S182">
        <v>4.05</v>
      </c>
      <c r="T182">
        <v>6.8</v>
      </c>
      <c r="U182">
        <v>16.370000999999998</v>
      </c>
      <c r="V182">
        <v>33.830002</v>
      </c>
      <c r="W182">
        <v>9.2799999999999994</v>
      </c>
      <c r="X182">
        <v>29759.16203</v>
      </c>
      <c r="Y182">
        <v>41771590.942100003</v>
      </c>
    </row>
    <row r="183" spans="1:25" x14ac:dyDescent="0.55000000000000004">
      <c r="A183">
        <v>181</v>
      </c>
      <c r="B183" t="s">
        <v>20</v>
      </c>
      <c r="C183">
        <v>15</v>
      </c>
      <c r="D183">
        <v>3</v>
      </c>
      <c r="E183" t="s">
        <v>47</v>
      </c>
      <c r="F183" t="s">
        <v>48</v>
      </c>
      <c r="G183">
        <v>21</v>
      </c>
      <c r="H183">
        <v>2</v>
      </c>
      <c r="I183">
        <v>21030000</v>
      </c>
      <c r="J183">
        <v>288</v>
      </c>
      <c r="K183">
        <v>0</v>
      </c>
      <c r="L183">
        <v>12906</v>
      </c>
      <c r="M183">
        <v>12.798636999999999</v>
      </c>
      <c r="N183">
        <v>101.52182999999999</v>
      </c>
      <c r="O183">
        <v>1.53</v>
      </c>
      <c r="P183">
        <v>0.23</v>
      </c>
      <c r="Q183">
        <v>0.14000000000000001</v>
      </c>
      <c r="R183">
        <v>24.02</v>
      </c>
      <c r="S183">
        <v>3.04</v>
      </c>
      <c r="T183">
        <v>12.02</v>
      </c>
      <c r="U183">
        <v>9.9700000000000006</v>
      </c>
      <c r="V183">
        <v>10.58</v>
      </c>
      <c r="W183">
        <v>7.01</v>
      </c>
      <c r="X183">
        <v>31702.083161999999</v>
      </c>
      <c r="Y183">
        <v>48182930.134900004</v>
      </c>
    </row>
    <row r="184" spans="1:25" x14ac:dyDescent="0.55000000000000004">
      <c r="A184">
        <v>182</v>
      </c>
      <c r="B184" t="s">
        <v>20</v>
      </c>
      <c r="C184">
        <v>15</v>
      </c>
      <c r="D184">
        <v>3</v>
      </c>
      <c r="E184" t="s">
        <v>47</v>
      </c>
      <c r="F184" t="s">
        <v>48</v>
      </c>
      <c r="G184">
        <v>21</v>
      </c>
      <c r="H184">
        <v>2</v>
      </c>
      <c r="I184">
        <v>21030000</v>
      </c>
      <c r="J184">
        <v>292</v>
      </c>
      <c r="K184">
        <v>0</v>
      </c>
      <c r="L184">
        <v>12788</v>
      </c>
      <c r="M184">
        <v>12.717560000000001</v>
      </c>
      <c r="N184">
        <v>101.68810000000001</v>
      </c>
      <c r="O184">
        <v>4.99</v>
      </c>
      <c r="P184">
        <v>0</v>
      </c>
      <c r="Q184">
        <v>2.06</v>
      </c>
      <c r="R184">
        <v>2.4700000000000002</v>
      </c>
      <c r="S184">
        <v>1.17</v>
      </c>
      <c r="T184">
        <v>3.99</v>
      </c>
      <c r="U184">
        <v>4.47</v>
      </c>
      <c r="V184">
        <v>21.27</v>
      </c>
      <c r="W184">
        <v>5.1100000000000003</v>
      </c>
      <c r="X184">
        <v>34000.940555000001</v>
      </c>
      <c r="Y184">
        <v>67306010.512899995</v>
      </c>
    </row>
    <row r="185" spans="1:25" x14ac:dyDescent="0.55000000000000004">
      <c r="A185">
        <v>183</v>
      </c>
      <c r="B185" t="s">
        <v>20</v>
      </c>
      <c r="C185">
        <v>15</v>
      </c>
      <c r="D185">
        <v>3</v>
      </c>
      <c r="E185" t="s">
        <v>47</v>
      </c>
      <c r="F185" t="s">
        <v>48</v>
      </c>
      <c r="G185">
        <v>21</v>
      </c>
      <c r="H185">
        <v>2</v>
      </c>
      <c r="I185">
        <v>21030000</v>
      </c>
      <c r="J185">
        <v>293</v>
      </c>
      <c r="K185">
        <v>0</v>
      </c>
      <c r="L185">
        <v>12787</v>
      </c>
      <c r="M185">
        <v>12.717560000000001</v>
      </c>
      <c r="N185">
        <v>101.60496500000001</v>
      </c>
      <c r="O185">
        <v>0.14000000000000001</v>
      </c>
      <c r="P185">
        <v>0</v>
      </c>
      <c r="Q185">
        <v>0.6</v>
      </c>
      <c r="R185">
        <v>0.86</v>
      </c>
      <c r="S185">
        <v>0.23</v>
      </c>
      <c r="T185">
        <v>4.9400000000000004</v>
      </c>
      <c r="U185">
        <v>6.64</v>
      </c>
      <c r="V185">
        <v>41.790000999999997</v>
      </c>
      <c r="W185">
        <v>10</v>
      </c>
      <c r="X185">
        <v>36022.293072</v>
      </c>
      <c r="Y185">
        <v>81099523.741300002</v>
      </c>
    </row>
    <row r="186" spans="1:25" x14ac:dyDescent="0.55000000000000004">
      <c r="A186">
        <v>184</v>
      </c>
      <c r="B186" t="s">
        <v>20</v>
      </c>
      <c r="C186">
        <v>15</v>
      </c>
      <c r="D186">
        <v>3</v>
      </c>
      <c r="E186" t="s">
        <v>47</v>
      </c>
      <c r="F186" t="s">
        <v>48</v>
      </c>
      <c r="G186">
        <v>21</v>
      </c>
      <c r="H186">
        <v>2</v>
      </c>
      <c r="I186">
        <v>21030000</v>
      </c>
      <c r="J186">
        <v>294</v>
      </c>
      <c r="K186">
        <v>0</v>
      </c>
      <c r="L186">
        <v>12909</v>
      </c>
      <c r="M186">
        <v>12.798636999999999</v>
      </c>
      <c r="N186">
        <v>101.77124000000001</v>
      </c>
      <c r="O186">
        <v>0.06</v>
      </c>
      <c r="P186">
        <v>0</v>
      </c>
      <c r="Q186">
        <v>6.43</v>
      </c>
      <c r="R186">
        <v>8.75</v>
      </c>
      <c r="S186">
        <v>3.02</v>
      </c>
      <c r="T186">
        <v>4.2</v>
      </c>
      <c r="U186">
        <v>7.26</v>
      </c>
      <c r="V186">
        <v>20.82</v>
      </c>
      <c r="W186">
        <v>0.22</v>
      </c>
      <c r="X186">
        <v>37997.935068999999</v>
      </c>
      <c r="Y186">
        <v>80561045.073500007</v>
      </c>
    </row>
    <row r="187" spans="1:25" x14ac:dyDescent="0.55000000000000004">
      <c r="A187">
        <v>185</v>
      </c>
      <c r="B187" t="s">
        <v>20</v>
      </c>
      <c r="C187">
        <v>15</v>
      </c>
      <c r="D187">
        <v>3</v>
      </c>
      <c r="E187" t="s">
        <v>47</v>
      </c>
      <c r="F187" t="s">
        <v>48</v>
      </c>
      <c r="G187">
        <v>21</v>
      </c>
      <c r="H187">
        <v>2</v>
      </c>
      <c r="I187">
        <v>21030000</v>
      </c>
      <c r="J187">
        <v>295</v>
      </c>
      <c r="K187">
        <v>0</v>
      </c>
      <c r="L187">
        <v>13026</v>
      </c>
      <c r="M187">
        <v>12.8797</v>
      </c>
      <c r="N187">
        <v>101.52182999999999</v>
      </c>
      <c r="O187">
        <v>9.2899999999999991</v>
      </c>
      <c r="P187">
        <v>7.0000000000000007E-2</v>
      </c>
      <c r="Q187">
        <v>0.38</v>
      </c>
      <c r="R187">
        <v>9.0500000000000007</v>
      </c>
      <c r="S187">
        <v>4.29</v>
      </c>
      <c r="T187">
        <v>11.61</v>
      </c>
      <c r="U187">
        <v>26.799999</v>
      </c>
      <c r="V187">
        <v>6.42</v>
      </c>
      <c r="W187">
        <v>0.57999999999999996</v>
      </c>
      <c r="X187">
        <v>8724.9145690000005</v>
      </c>
      <c r="Y187">
        <v>1781954.3211699999</v>
      </c>
    </row>
    <row r="188" spans="1:25" x14ac:dyDescent="0.55000000000000004">
      <c r="A188">
        <v>186</v>
      </c>
      <c r="B188" t="s">
        <v>20</v>
      </c>
      <c r="C188">
        <v>15</v>
      </c>
      <c r="D188">
        <v>3</v>
      </c>
      <c r="E188" t="s">
        <v>47</v>
      </c>
      <c r="F188" t="s">
        <v>48</v>
      </c>
      <c r="G188">
        <v>21</v>
      </c>
      <c r="H188">
        <v>2</v>
      </c>
      <c r="I188">
        <v>21030000</v>
      </c>
      <c r="J188">
        <v>296</v>
      </c>
      <c r="K188">
        <v>0</v>
      </c>
      <c r="L188">
        <v>12907</v>
      </c>
      <c r="M188">
        <v>12.798636999999999</v>
      </c>
      <c r="N188">
        <v>101.60496500000001</v>
      </c>
      <c r="O188">
        <v>0.05</v>
      </c>
      <c r="P188">
        <v>0</v>
      </c>
      <c r="Q188">
        <v>2.96</v>
      </c>
      <c r="R188">
        <v>28.34</v>
      </c>
      <c r="S188">
        <v>0.27</v>
      </c>
      <c r="T188">
        <v>5.71</v>
      </c>
      <c r="U188">
        <v>12.57</v>
      </c>
      <c r="V188">
        <v>19.299999</v>
      </c>
      <c r="W188">
        <v>9.25</v>
      </c>
      <c r="X188">
        <v>36474.821539999997</v>
      </c>
      <c r="Y188">
        <v>80733932.115099996</v>
      </c>
    </row>
    <row r="189" spans="1:25" x14ac:dyDescent="0.55000000000000004">
      <c r="A189">
        <v>187</v>
      </c>
      <c r="B189" t="s">
        <v>20</v>
      </c>
      <c r="C189">
        <v>15</v>
      </c>
      <c r="D189">
        <v>3</v>
      </c>
      <c r="E189" t="s">
        <v>47</v>
      </c>
      <c r="F189" t="s">
        <v>48</v>
      </c>
      <c r="G189">
        <v>21</v>
      </c>
      <c r="H189">
        <v>2</v>
      </c>
      <c r="I189">
        <v>21030000</v>
      </c>
      <c r="J189">
        <v>298</v>
      </c>
      <c r="K189">
        <v>0</v>
      </c>
      <c r="L189">
        <v>12789</v>
      </c>
      <c r="M189">
        <v>12.717560000000001</v>
      </c>
      <c r="N189">
        <v>101.77124000000001</v>
      </c>
      <c r="O189">
        <v>0.03</v>
      </c>
      <c r="P189">
        <v>0.11</v>
      </c>
      <c r="Q189">
        <v>3.72</v>
      </c>
      <c r="R189">
        <v>23.68</v>
      </c>
      <c r="S189">
        <v>1.04</v>
      </c>
      <c r="T189">
        <v>6.28</v>
      </c>
      <c r="U189">
        <v>16.579999999999998</v>
      </c>
      <c r="V189">
        <v>0.37</v>
      </c>
      <c r="W189">
        <v>9.36</v>
      </c>
      <c r="X189">
        <v>33030.767524000003</v>
      </c>
      <c r="Y189">
        <v>45116019.752099998</v>
      </c>
    </row>
    <row r="190" spans="1:25" x14ac:dyDescent="0.55000000000000004">
      <c r="A190">
        <v>188</v>
      </c>
      <c r="B190" t="s">
        <v>20</v>
      </c>
      <c r="C190">
        <v>15</v>
      </c>
      <c r="D190">
        <v>3</v>
      </c>
      <c r="E190" t="s">
        <v>47</v>
      </c>
      <c r="F190" t="s">
        <v>48</v>
      </c>
      <c r="G190">
        <v>21</v>
      </c>
      <c r="H190">
        <v>2</v>
      </c>
      <c r="I190">
        <v>21030000</v>
      </c>
      <c r="J190">
        <v>299</v>
      </c>
      <c r="K190">
        <v>0</v>
      </c>
      <c r="L190">
        <v>13027</v>
      </c>
      <c r="M190">
        <v>12.8797</v>
      </c>
      <c r="N190">
        <v>101.60496500000001</v>
      </c>
      <c r="O190">
        <v>7.9</v>
      </c>
      <c r="P190">
        <v>0.01</v>
      </c>
      <c r="Q190">
        <v>0.3</v>
      </c>
      <c r="R190">
        <v>20.350000000000001</v>
      </c>
      <c r="S190">
        <v>0.67</v>
      </c>
      <c r="T190">
        <v>2.0099999999999998</v>
      </c>
      <c r="U190">
        <v>17.829999999999998</v>
      </c>
      <c r="V190">
        <v>18.5</v>
      </c>
      <c r="W190">
        <v>0.77</v>
      </c>
      <c r="X190">
        <v>40112.098946999999</v>
      </c>
      <c r="Y190">
        <v>41345661.439999998</v>
      </c>
    </row>
    <row r="191" spans="1:25" x14ac:dyDescent="0.55000000000000004">
      <c r="A191">
        <v>189</v>
      </c>
      <c r="B191" t="s">
        <v>20</v>
      </c>
      <c r="C191">
        <v>15</v>
      </c>
      <c r="D191">
        <v>3</v>
      </c>
      <c r="E191" t="s">
        <v>47</v>
      </c>
      <c r="F191" t="s">
        <v>48</v>
      </c>
      <c r="G191">
        <v>21</v>
      </c>
      <c r="H191">
        <v>2</v>
      </c>
      <c r="I191">
        <v>21030000</v>
      </c>
      <c r="J191">
        <v>300</v>
      </c>
      <c r="K191">
        <v>0</v>
      </c>
      <c r="L191">
        <v>12908</v>
      </c>
      <c r="M191">
        <v>12.798636999999999</v>
      </c>
      <c r="N191">
        <v>101.68810000000001</v>
      </c>
      <c r="O191">
        <v>0.03</v>
      </c>
      <c r="P191">
        <v>0</v>
      </c>
      <c r="Q191">
        <v>0.64</v>
      </c>
      <c r="R191">
        <v>4.8499999999999996</v>
      </c>
      <c r="S191">
        <v>0.48</v>
      </c>
      <c r="T191">
        <v>5.6</v>
      </c>
      <c r="U191">
        <v>4.21</v>
      </c>
      <c r="V191">
        <v>17.459999</v>
      </c>
      <c r="W191">
        <v>4.72</v>
      </c>
      <c r="X191">
        <v>36396.316307000001</v>
      </c>
      <c r="Y191">
        <v>80935547.812000006</v>
      </c>
    </row>
    <row r="192" spans="1:25" x14ac:dyDescent="0.55000000000000004">
      <c r="A192">
        <v>190</v>
      </c>
      <c r="B192" t="s">
        <v>20</v>
      </c>
      <c r="C192">
        <v>15</v>
      </c>
      <c r="D192">
        <v>3</v>
      </c>
      <c r="E192" t="s">
        <v>47</v>
      </c>
      <c r="F192" t="s">
        <v>48</v>
      </c>
      <c r="G192">
        <v>21</v>
      </c>
      <c r="H192">
        <v>2</v>
      </c>
      <c r="I192">
        <v>21030000</v>
      </c>
      <c r="J192">
        <v>301</v>
      </c>
      <c r="K192">
        <v>0</v>
      </c>
      <c r="L192">
        <v>13147</v>
      </c>
      <c r="M192">
        <v>12.960724000000001</v>
      </c>
      <c r="N192">
        <v>101.60496500000001</v>
      </c>
      <c r="O192">
        <v>5.55</v>
      </c>
      <c r="P192">
        <v>0.01</v>
      </c>
      <c r="Q192">
        <v>0.44</v>
      </c>
      <c r="R192">
        <v>0.42</v>
      </c>
      <c r="S192">
        <v>0.87</v>
      </c>
      <c r="T192">
        <v>3.94</v>
      </c>
      <c r="U192">
        <v>20.58</v>
      </c>
      <c r="V192">
        <v>0.19</v>
      </c>
      <c r="W192">
        <v>0</v>
      </c>
      <c r="X192">
        <v>26785.187416000001</v>
      </c>
      <c r="Y192">
        <v>26660821.859200001</v>
      </c>
    </row>
    <row r="193" spans="1:25" x14ac:dyDescent="0.55000000000000004">
      <c r="A193">
        <v>191</v>
      </c>
      <c r="B193" t="s">
        <v>20</v>
      </c>
      <c r="C193">
        <v>15</v>
      </c>
      <c r="D193">
        <v>3</v>
      </c>
      <c r="E193" t="s">
        <v>47</v>
      </c>
      <c r="F193" t="s">
        <v>48</v>
      </c>
      <c r="G193">
        <v>21</v>
      </c>
      <c r="H193">
        <v>2</v>
      </c>
      <c r="I193">
        <v>21030000</v>
      </c>
      <c r="J193">
        <v>305</v>
      </c>
      <c r="K193">
        <v>0</v>
      </c>
      <c r="L193">
        <v>13028</v>
      </c>
      <c r="M193">
        <v>12.8797</v>
      </c>
      <c r="N193">
        <v>101.68810000000001</v>
      </c>
      <c r="O193">
        <v>0.43</v>
      </c>
      <c r="P193">
        <v>0</v>
      </c>
      <c r="Q193">
        <v>0.06</v>
      </c>
      <c r="R193">
        <v>23.01</v>
      </c>
      <c r="S193">
        <v>1.66</v>
      </c>
      <c r="T193">
        <v>9.74</v>
      </c>
      <c r="U193">
        <v>11.37</v>
      </c>
      <c r="V193">
        <v>7.01</v>
      </c>
      <c r="W193">
        <v>0.01</v>
      </c>
      <c r="X193">
        <v>29447.919010000001</v>
      </c>
      <c r="Y193">
        <v>37267848.320699997</v>
      </c>
    </row>
    <row r="194" spans="1:25" x14ac:dyDescent="0.55000000000000004">
      <c r="A194">
        <v>192</v>
      </c>
      <c r="B194" t="s">
        <v>20</v>
      </c>
      <c r="C194">
        <v>15</v>
      </c>
      <c r="D194">
        <v>3</v>
      </c>
      <c r="E194" t="s">
        <v>47</v>
      </c>
      <c r="F194" t="s">
        <v>48</v>
      </c>
      <c r="G194">
        <v>21</v>
      </c>
      <c r="H194">
        <v>2</v>
      </c>
      <c r="I194">
        <v>21030000</v>
      </c>
      <c r="J194">
        <v>308</v>
      </c>
      <c r="K194">
        <v>0</v>
      </c>
      <c r="L194">
        <v>13029</v>
      </c>
      <c r="M194">
        <v>12.8797</v>
      </c>
      <c r="N194">
        <v>101.77124000000001</v>
      </c>
      <c r="O194">
        <v>7.76</v>
      </c>
      <c r="P194">
        <v>0</v>
      </c>
      <c r="Q194">
        <v>0.36</v>
      </c>
      <c r="R194">
        <v>7.84</v>
      </c>
      <c r="S194">
        <v>4.29</v>
      </c>
      <c r="T194">
        <v>10.71</v>
      </c>
      <c r="U194">
        <v>2.85</v>
      </c>
      <c r="V194">
        <v>10.83</v>
      </c>
      <c r="W194">
        <v>0.12</v>
      </c>
      <c r="X194">
        <v>28008.580183999999</v>
      </c>
      <c r="Y194">
        <v>26689420.4342</v>
      </c>
    </row>
    <row r="195" spans="1:25" x14ac:dyDescent="0.55000000000000004">
      <c r="A195">
        <v>193</v>
      </c>
      <c r="B195" t="s">
        <v>20</v>
      </c>
      <c r="C195">
        <v>15</v>
      </c>
      <c r="D195">
        <v>3</v>
      </c>
      <c r="E195" t="s">
        <v>47</v>
      </c>
      <c r="F195" t="s">
        <v>48</v>
      </c>
      <c r="G195">
        <v>21</v>
      </c>
      <c r="H195">
        <v>2</v>
      </c>
      <c r="I195">
        <v>21030000</v>
      </c>
      <c r="J195">
        <v>526</v>
      </c>
      <c r="K195">
        <v>0</v>
      </c>
      <c r="L195">
        <v>12790</v>
      </c>
      <c r="M195">
        <v>12.717560000000001</v>
      </c>
      <c r="N195">
        <v>101.85438000000001</v>
      </c>
      <c r="O195">
        <v>1.83</v>
      </c>
      <c r="P195">
        <v>0.06</v>
      </c>
      <c r="Q195">
        <v>2.12</v>
      </c>
      <c r="R195">
        <v>2.09</v>
      </c>
      <c r="S195">
        <v>1.32</v>
      </c>
      <c r="T195">
        <v>10.36</v>
      </c>
      <c r="U195">
        <v>59.040000999999997</v>
      </c>
      <c r="V195">
        <v>1.53</v>
      </c>
      <c r="W195">
        <v>17.260000000000002</v>
      </c>
      <c r="X195">
        <v>2712.4747480000001</v>
      </c>
      <c r="Y195">
        <v>428672.59826499998</v>
      </c>
    </row>
    <row r="196" spans="1:25" x14ac:dyDescent="0.55000000000000004">
      <c r="A196">
        <v>194</v>
      </c>
      <c r="B196" t="s">
        <v>20</v>
      </c>
      <c r="C196">
        <v>15</v>
      </c>
      <c r="D196">
        <v>3</v>
      </c>
      <c r="E196" t="s">
        <v>47</v>
      </c>
      <c r="F196" t="s">
        <v>48</v>
      </c>
      <c r="G196">
        <v>21</v>
      </c>
      <c r="H196">
        <v>2</v>
      </c>
      <c r="I196">
        <v>21030000</v>
      </c>
      <c r="J196">
        <v>528</v>
      </c>
      <c r="K196">
        <v>0</v>
      </c>
      <c r="L196">
        <v>12910</v>
      </c>
      <c r="M196">
        <v>12.798636999999999</v>
      </c>
      <c r="N196">
        <v>101.85438000000001</v>
      </c>
      <c r="O196">
        <v>2.0499999999999998</v>
      </c>
      <c r="P196">
        <v>0.02</v>
      </c>
      <c r="Q196">
        <v>6.4</v>
      </c>
      <c r="R196">
        <v>0.52</v>
      </c>
      <c r="S196">
        <v>0.75</v>
      </c>
      <c r="T196">
        <v>4.1500000000000004</v>
      </c>
      <c r="U196">
        <v>14.66</v>
      </c>
      <c r="V196">
        <v>3.73</v>
      </c>
      <c r="W196">
        <v>0.67</v>
      </c>
      <c r="X196">
        <v>23469.630256</v>
      </c>
      <c r="Y196">
        <v>9984019.7448699996</v>
      </c>
    </row>
    <row r="197" spans="1:25" x14ac:dyDescent="0.55000000000000004">
      <c r="A197">
        <v>195</v>
      </c>
      <c r="B197" t="s">
        <v>20</v>
      </c>
      <c r="C197">
        <v>15</v>
      </c>
      <c r="D197">
        <v>3</v>
      </c>
      <c r="E197" t="s">
        <v>47</v>
      </c>
      <c r="F197" t="s">
        <v>48</v>
      </c>
      <c r="G197">
        <v>21</v>
      </c>
      <c r="H197">
        <v>2</v>
      </c>
      <c r="I197">
        <v>21030000</v>
      </c>
      <c r="J197">
        <v>530</v>
      </c>
      <c r="K197">
        <v>0</v>
      </c>
      <c r="L197">
        <v>13030</v>
      </c>
      <c r="M197">
        <v>12.8797</v>
      </c>
      <c r="N197">
        <v>101.85438000000001</v>
      </c>
      <c r="O197">
        <v>12.93</v>
      </c>
      <c r="P197">
        <v>0</v>
      </c>
      <c r="Q197">
        <v>1.68</v>
      </c>
      <c r="R197">
        <v>3.16</v>
      </c>
      <c r="S197">
        <v>16.399999999999999</v>
      </c>
      <c r="T197">
        <v>7.56</v>
      </c>
      <c r="U197">
        <v>7.14</v>
      </c>
      <c r="V197">
        <v>2.63</v>
      </c>
      <c r="W197">
        <v>1.61</v>
      </c>
      <c r="X197">
        <v>17722.949699000001</v>
      </c>
      <c r="Y197">
        <v>6360183.8511100002</v>
      </c>
    </row>
    <row r="198" spans="1:25" x14ac:dyDescent="0.55000000000000004">
      <c r="A198">
        <v>196</v>
      </c>
      <c r="B198" t="s">
        <v>20</v>
      </c>
      <c r="C198">
        <v>16</v>
      </c>
      <c r="D198">
        <v>4</v>
      </c>
      <c r="E198" t="s">
        <v>49</v>
      </c>
      <c r="F198" t="s">
        <v>50</v>
      </c>
      <c r="G198">
        <v>21</v>
      </c>
      <c r="H198">
        <v>2</v>
      </c>
      <c r="I198">
        <v>21040000</v>
      </c>
      <c r="J198">
        <v>285</v>
      </c>
      <c r="K198">
        <v>0</v>
      </c>
      <c r="L198">
        <v>13145</v>
      </c>
      <c r="M198">
        <v>12.960724000000001</v>
      </c>
      <c r="N198">
        <v>101.4387</v>
      </c>
      <c r="O198">
        <v>21.27</v>
      </c>
      <c r="P198">
        <v>0.17</v>
      </c>
      <c r="Q198">
        <v>0.5</v>
      </c>
      <c r="R198">
        <v>1.47</v>
      </c>
      <c r="S198">
        <v>33.950001</v>
      </c>
      <c r="T198">
        <v>3.81</v>
      </c>
      <c r="U198">
        <v>12.43</v>
      </c>
      <c r="V198">
        <v>1.48</v>
      </c>
      <c r="W198">
        <v>0</v>
      </c>
      <c r="X198">
        <v>30180.164392999999</v>
      </c>
      <c r="Y198">
        <v>39832370.943999998</v>
      </c>
    </row>
    <row r="199" spans="1:25" x14ac:dyDescent="0.55000000000000004">
      <c r="A199">
        <v>197</v>
      </c>
      <c r="B199" t="s">
        <v>20</v>
      </c>
      <c r="C199">
        <v>16</v>
      </c>
      <c r="D199">
        <v>4</v>
      </c>
      <c r="E199" t="s">
        <v>49</v>
      </c>
      <c r="F199" t="s">
        <v>50</v>
      </c>
      <c r="G199">
        <v>21</v>
      </c>
      <c r="H199">
        <v>2</v>
      </c>
      <c r="I199">
        <v>21040000</v>
      </c>
      <c r="J199">
        <v>287</v>
      </c>
      <c r="K199">
        <v>0</v>
      </c>
      <c r="L199">
        <v>13025</v>
      </c>
      <c r="M199">
        <v>12.8797</v>
      </c>
      <c r="N199">
        <v>101.4387</v>
      </c>
      <c r="O199">
        <v>7.54</v>
      </c>
      <c r="P199">
        <v>3.89</v>
      </c>
      <c r="Q199">
        <v>0.72</v>
      </c>
      <c r="R199">
        <v>1.35</v>
      </c>
      <c r="S199">
        <v>4.58</v>
      </c>
      <c r="T199">
        <v>11.99</v>
      </c>
      <c r="U199">
        <v>33.840000000000003</v>
      </c>
      <c r="V199">
        <v>4.0599999999999996</v>
      </c>
      <c r="W199">
        <v>4.41</v>
      </c>
      <c r="X199">
        <v>13066.194766000001</v>
      </c>
      <c r="Y199">
        <v>10132438.747500001</v>
      </c>
    </row>
    <row r="200" spans="1:25" x14ac:dyDescent="0.55000000000000004">
      <c r="A200">
        <v>198</v>
      </c>
      <c r="B200" t="s">
        <v>20</v>
      </c>
      <c r="C200">
        <v>16</v>
      </c>
      <c r="D200">
        <v>4</v>
      </c>
      <c r="E200" t="s">
        <v>49</v>
      </c>
      <c r="F200" t="s">
        <v>50</v>
      </c>
      <c r="G200">
        <v>21</v>
      </c>
      <c r="H200">
        <v>2</v>
      </c>
      <c r="I200">
        <v>21040000</v>
      </c>
      <c r="J200">
        <v>288</v>
      </c>
      <c r="K200">
        <v>0</v>
      </c>
      <c r="L200">
        <v>12906</v>
      </c>
      <c r="M200">
        <v>12.798636999999999</v>
      </c>
      <c r="N200">
        <v>101.52182999999999</v>
      </c>
      <c r="O200">
        <v>1.53</v>
      </c>
      <c r="P200">
        <v>0.23</v>
      </c>
      <c r="Q200">
        <v>0.14000000000000001</v>
      </c>
      <c r="R200">
        <v>24.02</v>
      </c>
      <c r="S200">
        <v>3.04</v>
      </c>
      <c r="T200">
        <v>12.02</v>
      </c>
      <c r="U200">
        <v>9.9700000000000006</v>
      </c>
      <c r="V200">
        <v>10.58</v>
      </c>
      <c r="W200">
        <v>7.01</v>
      </c>
      <c r="X200">
        <v>7214.4440809999996</v>
      </c>
      <c r="Y200">
        <v>1439829.6613799999</v>
      </c>
    </row>
    <row r="201" spans="1:25" x14ac:dyDescent="0.55000000000000004">
      <c r="A201">
        <v>199</v>
      </c>
      <c r="B201" t="s">
        <v>20</v>
      </c>
      <c r="C201">
        <v>16</v>
      </c>
      <c r="D201">
        <v>4</v>
      </c>
      <c r="E201" t="s">
        <v>49</v>
      </c>
      <c r="F201" t="s">
        <v>50</v>
      </c>
      <c r="G201">
        <v>21</v>
      </c>
      <c r="H201">
        <v>2</v>
      </c>
      <c r="I201">
        <v>21040000</v>
      </c>
      <c r="J201">
        <v>289</v>
      </c>
      <c r="K201">
        <v>0</v>
      </c>
      <c r="L201">
        <v>13265</v>
      </c>
      <c r="M201">
        <v>13.041733000000001</v>
      </c>
      <c r="N201">
        <v>101.4387</v>
      </c>
      <c r="O201">
        <v>0.31</v>
      </c>
      <c r="P201">
        <v>0.03</v>
      </c>
      <c r="Q201">
        <v>0.69</v>
      </c>
      <c r="R201">
        <v>0.01</v>
      </c>
      <c r="S201">
        <v>34.330002</v>
      </c>
      <c r="T201">
        <v>6.61</v>
      </c>
      <c r="U201">
        <v>3.3</v>
      </c>
      <c r="V201">
        <v>11.41</v>
      </c>
      <c r="W201">
        <v>0.14000000000000001</v>
      </c>
      <c r="X201">
        <v>32487.722997000001</v>
      </c>
      <c r="Y201">
        <v>34792717.433300003</v>
      </c>
    </row>
    <row r="202" spans="1:25" x14ac:dyDescent="0.55000000000000004">
      <c r="A202">
        <v>200</v>
      </c>
      <c r="B202" t="s">
        <v>20</v>
      </c>
      <c r="C202">
        <v>16</v>
      </c>
      <c r="D202">
        <v>4</v>
      </c>
      <c r="E202" t="s">
        <v>49</v>
      </c>
      <c r="F202" t="s">
        <v>50</v>
      </c>
      <c r="G202">
        <v>21</v>
      </c>
      <c r="H202">
        <v>2</v>
      </c>
      <c r="I202">
        <v>21040000</v>
      </c>
      <c r="J202">
        <v>290</v>
      </c>
      <c r="K202">
        <v>0</v>
      </c>
      <c r="L202">
        <v>13264</v>
      </c>
      <c r="M202">
        <v>13.041733000000001</v>
      </c>
      <c r="N202">
        <v>101.35556</v>
      </c>
      <c r="O202">
        <v>0.9</v>
      </c>
      <c r="P202">
        <v>1.3</v>
      </c>
      <c r="Q202">
        <v>0.12</v>
      </c>
      <c r="R202">
        <v>0.22</v>
      </c>
      <c r="S202">
        <v>7.49</v>
      </c>
      <c r="T202">
        <v>10.43</v>
      </c>
      <c r="U202">
        <v>7.26</v>
      </c>
      <c r="V202">
        <v>6.97</v>
      </c>
      <c r="W202">
        <v>0.05</v>
      </c>
      <c r="X202">
        <v>831.167914</v>
      </c>
      <c r="Y202">
        <v>33694.710397000003</v>
      </c>
    </row>
    <row r="203" spans="1:25" x14ac:dyDescent="0.55000000000000004">
      <c r="A203">
        <v>201</v>
      </c>
      <c r="B203" t="s">
        <v>20</v>
      </c>
      <c r="C203">
        <v>16</v>
      </c>
      <c r="D203">
        <v>4</v>
      </c>
      <c r="E203" t="s">
        <v>49</v>
      </c>
      <c r="F203" t="s">
        <v>50</v>
      </c>
      <c r="G203">
        <v>21</v>
      </c>
      <c r="H203">
        <v>2</v>
      </c>
      <c r="I203">
        <v>21040000</v>
      </c>
      <c r="J203">
        <v>295</v>
      </c>
      <c r="K203">
        <v>0</v>
      </c>
      <c r="L203">
        <v>13026</v>
      </c>
      <c r="M203">
        <v>12.8797</v>
      </c>
      <c r="N203">
        <v>101.52182999999999</v>
      </c>
      <c r="O203">
        <v>9.2899999999999991</v>
      </c>
      <c r="P203">
        <v>7.0000000000000007E-2</v>
      </c>
      <c r="Q203">
        <v>0.38</v>
      </c>
      <c r="R203">
        <v>9.0500000000000007</v>
      </c>
      <c r="S203">
        <v>4.29</v>
      </c>
      <c r="T203">
        <v>11.61</v>
      </c>
      <c r="U203">
        <v>26.799999</v>
      </c>
      <c r="V203">
        <v>6.42</v>
      </c>
      <c r="W203">
        <v>0.57999999999999996</v>
      </c>
      <c r="X203">
        <v>37429.226009999998</v>
      </c>
      <c r="Y203">
        <v>69878845.706200004</v>
      </c>
    </row>
    <row r="204" spans="1:25" x14ac:dyDescent="0.55000000000000004">
      <c r="A204">
        <v>202</v>
      </c>
      <c r="B204" t="s">
        <v>20</v>
      </c>
      <c r="C204">
        <v>16</v>
      </c>
      <c r="D204">
        <v>4</v>
      </c>
      <c r="E204" t="s">
        <v>49</v>
      </c>
      <c r="F204" t="s">
        <v>50</v>
      </c>
      <c r="G204">
        <v>21</v>
      </c>
      <c r="H204">
        <v>2</v>
      </c>
      <c r="I204">
        <v>21040000</v>
      </c>
      <c r="J204">
        <v>296</v>
      </c>
      <c r="K204">
        <v>0</v>
      </c>
      <c r="L204">
        <v>12907</v>
      </c>
      <c r="M204">
        <v>12.798636999999999</v>
      </c>
      <c r="N204">
        <v>101.60496500000001</v>
      </c>
      <c r="O204">
        <v>0.05</v>
      </c>
      <c r="P204">
        <v>0</v>
      </c>
      <c r="Q204">
        <v>2.96</v>
      </c>
      <c r="R204">
        <v>28.34</v>
      </c>
      <c r="S204">
        <v>0.27</v>
      </c>
      <c r="T204">
        <v>5.71</v>
      </c>
      <c r="U204">
        <v>12.57</v>
      </c>
      <c r="V204">
        <v>19.299999</v>
      </c>
      <c r="W204">
        <v>9.25</v>
      </c>
      <c r="X204">
        <v>2729.0829330000001</v>
      </c>
      <c r="Y204">
        <v>313674.65974199999</v>
      </c>
    </row>
    <row r="205" spans="1:25" x14ac:dyDescent="0.55000000000000004">
      <c r="A205">
        <v>203</v>
      </c>
      <c r="B205" t="s">
        <v>20</v>
      </c>
      <c r="C205">
        <v>16</v>
      </c>
      <c r="D205">
        <v>4</v>
      </c>
      <c r="E205" t="s">
        <v>49</v>
      </c>
      <c r="F205" t="s">
        <v>50</v>
      </c>
      <c r="G205">
        <v>21</v>
      </c>
      <c r="H205">
        <v>2</v>
      </c>
      <c r="I205">
        <v>21040000</v>
      </c>
      <c r="J205">
        <v>299</v>
      </c>
      <c r="K205">
        <v>0</v>
      </c>
      <c r="L205">
        <v>13027</v>
      </c>
      <c r="M205">
        <v>12.8797</v>
      </c>
      <c r="N205">
        <v>101.60496500000001</v>
      </c>
      <c r="O205">
        <v>7.9</v>
      </c>
      <c r="P205">
        <v>0.01</v>
      </c>
      <c r="Q205">
        <v>0.3</v>
      </c>
      <c r="R205">
        <v>20.350000000000001</v>
      </c>
      <c r="S205">
        <v>0.67</v>
      </c>
      <c r="T205">
        <v>2.0099999999999998</v>
      </c>
      <c r="U205">
        <v>17.829999999999998</v>
      </c>
      <c r="V205">
        <v>18.5</v>
      </c>
      <c r="W205">
        <v>0.77</v>
      </c>
      <c r="X205">
        <v>25012.814774999999</v>
      </c>
      <c r="Y205">
        <v>27345664.723900001</v>
      </c>
    </row>
    <row r="206" spans="1:25" x14ac:dyDescent="0.55000000000000004">
      <c r="A206">
        <v>204</v>
      </c>
      <c r="B206" t="s">
        <v>20</v>
      </c>
      <c r="C206">
        <v>16</v>
      </c>
      <c r="D206">
        <v>4</v>
      </c>
      <c r="E206" t="s">
        <v>49</v>
      </c>
      <c r="F206" t="s">
        <v>50</v>
      </c>
      <c r="G206">
        <v>21</v>
      </c>
      <c r="H206">
        <v>2</v>
      </c>
      <c r="I206">
        <v>21040000</v>
      </c>
      <c r="J206">
        <v>301</v>
      </c>
      <c r="K206">
        <v>0</v>
      </c>
      <c r="L206">
        <v>13147</v>
      </c>
      <c r="M206">
        <v>12.960724000000001</v>
      </c>
      <c r="N206">
        <v>101.60496500000001</v>
      </c>
      <c r="O206">
        <v>5.55</v>
      </c>
      <c r="P206">
        <v>0.01</v>
      </c>
      <c r="Q206">
        <v>0.44</v>
      </c>
      <c r="R206">
        <v>0.42</v>
      </c>
      <c r="S206">
        <v>0.87</v>
      </c>
      <c r="T206">
        <v>3.94</v>
      </c>
      <c r="U206">
        <v>20.58</v>
      </c>
      <c r="V206">
        <v>0.19</v>
      </c>
      <c r="W206">
        <v>0</v>
      </c>
      <c r="X206">
        <v>28024.866320000001</v>
      </c>
      <c r="Y206">
        <v>11882738.5507</v>
      </c>
    </row>
    <row r="207" spans="1:25" x14ac:dyDescent="0.55000000000000004">
      <c r="A207">
        <v>205</v>
      </c>
      <c r="B207" t="s">
        <v>20</v>
      </c>
      <c r="C207">
        <v>16</v>
      </c>
      <c r="D207">
        <v>4</v>
      </c>
      <c r="E207" t="s">
        <v>49</v>
      </c>
      <c r="F207" t="s">
        <v>50</v>
      </c>
      <c r="G207">
        <v>21</v>
      </c>
      <c r="H207">
        <v>2</v>
      </c>
      <c r="I207">
        <v>21040000</v>
      </c>
      <c r="J207">
        <v>302</v>
      </c>
      <c r="K207">
        <v>0</v>
      </c>
      <c r="L207">
        <v>13146</v>
      </c>
      <c r="M207">
        <v>12.960724000000001</v>
      </c>
      <c r="N207">
        <v>101.52182999999999</v>
      </c>
      <c r="O207">
        <v>0.8</v>
      </c>
      <c r="P207">
        <v>0.01</v>
      </c>
      <c r="Q207">
        <v>0.73</v>
      </c>
      <c r="R207">
        <v>7.97</v>
      </c>
      <c r="S207">
        <v>3.28</v>
      </c>
      <c r="T207">
        <v>3.75</v>
      </c>
      <c r="U207">
        <v>22.709999</v>
      </c>
      <c r="V207">
        <v>0.82</v>
      </c>
      <c r="W207">
        <v>0</v>
      </c>
      <c r="X207">
        <v>38254.067880000002</v>
      </c>
      <c r="Y207">
        <v>79605353.716700003</v>
      </c>
    </row>
    <row r="208" spans="1:25" x14ac:dyDescent="0.55000000000000004">
      <c r="A208">
        <v>206</v>
      </c>
      <c r="B208" t="s">
        <v>20</v>
      </c>
      <c r="C208">
        <v>16</v>
      </c>
      <c r="D208">
        <v>4</v>
      </c>
      <c r="E208" t="s">
        <v>49</v>
      </c>
      <c r="F208" t="s">
        <v>50</v>
      </c>
      <c r="G208">
        <v>21</v>
      </c>
      <c r="H208">
        <v>2</v>
      </c>
      <c r="I208">
        <v>21040000</v>
      </c>
      <c r="J208">
        <v>303</v>
      </c>
      <c r="K208">
        <v>0</v>
      </c>
      <c r="L208">
        <v>13267</v>
      </c>
      <c r="M208">
        <v>13.041733000000001</v>
      </c>
      <c r="N208">
        <v>101.60496500000001</v>
      </c>
      <c r="O208">
        <v>6.03</v>
      </c>
      <c r="P208">
        <v>0.2</v>
      </c>
      <c r="Q208">
        <v>0.91</v>
      </c>
      <c r="R208">
        <v>0.01</v>
      </c>
      <c r="S208">
        <v>0.91</v>
      </c>
      <c r="T208">
        <v>4.74</v>
      </c>
      <c r="U208">
        <v>20.27</v>
      </c>
      <c r="V208">
        <v>1.1100000000000001</v>
      </c>
      <c r="W208">
        <v>0.05</v>
      </c>
      <c r="X208">
        <v>26667.54207</v>
      </c>
      <c r="Y208">
        <v>29323946.3046</v>
      </c>
    </row>
    <row r="209" spans="1:25" x14ac:dyDescent="0.55000000000000004">
      <c r="A209">
        <v>207</v>
      </c>
      <c r="B209" t="s">
        <v>20</v>
      </c>
      <c r="C209">
        <v>16</v>
      </c>
      <c r="D209">
        <v>4</v>
      </c>
      <c r="E209" t="s">
        <v>49</v>
      </c>
      <c r="F209" t="s">
        <v>50</v>
      </c>
      <c r="G209">
        <v>21</v>
      </c>
      <c r="H209">
        <v>2</v>
      </c>
      <c r="I209">
        <v>21040000</v>
      </c>
      <c r="J209">
        <v>304</v>
      </c>
      <c r="K209">
        <v>0</v>
      </c>
      <c r="L209">
        <v>13266</v>
      </c>
      <c r="M209">
        <v>13.041733000000001</v>
      </c>
      <c r="N209">
        <v>101.52182999999999</v>
      </c>
      <c r="O209">
        <v>1.22</v>
      </c>
      <c r="P209">
        <v>0.01</v>
      </c>
      <c r="Q209">
        <v>6.37</v>
      </c>
      <c r="R209">
        <v>7.0000000000000007E-2</v>
      </c>
      <c r="S209">
        <v>11.69</v>
      </c>
      <c r="T209">
        <v>6.71</v>
      </c>
      <c r="U209">
        <v>8.59</v>
      </c>
      <c r="V209">
        <v>4.3</v>
      </c>
      <c r="W209">
        <v>0.2</v>
      </c>
      <c r="X209">
        <v>36078.983848999997</v>
      </c>
      <c r="Y209">
        <v>64893801.681500003</v>
      </c>
    </row>
    <row r="210" spans="1:25" x14ac:dyDescent="0.55000000000000004">
      <c r="A210">
        <v>208</v>
      </c>
      <c r="B210" t="s">
        <v>20</v>
      </c>
      <c r="C210">
        <v>16</v>
      </c>
      <c r="D210">
        <v>4</v>
      </c>
      <c r="E210" t="s">
        <v>49</v>
      </c>
      <c r="F210" t="s">
        <v>50</v>
      </c>
      <c r="G210">
        <v>21</v>
      </c>
      <c r="H210">
        <v>2</v>
      </c>
      <c r="I210">
        <v>21040000</v>
      </c>
      <c r="J210">
        <v>754</v>
      </c>
      <c r="K210">
        <v>0</v>
      </c>
      <c r="L210">
        <v>13387</v>
      </c>
      <c r="M210">
        <v>13.122719</v>
      </c>
      <c r="N210">
        <v>101.60496500000001</v>
      </c>
      <c r="O210">
        <v>4.76</v>
      </c>
      <c r="P210">
        <v>0</v>
      </c>
      <c r="Q210">
        <v>0.18</v>
      </c>
      <c r="R210">
        <v>0.41</v>
      </c>
      <c r="S210">
        <v>17.709999</v>
      </c>
      <c r="T210">
        <v>5.65</v>
      </c>
      <c r="U210">
        <v>7.1</v>
      </c>
      <c r="V210">
        <v>2.09</v>
      </c>
      <c r="W210">
        <v>1.71</v>
      </c>
      <c r="X210">
        <v>10676.519254000001</v>
      </c>
      <c r="Y210">
        <v>3799310.6280899998</v>
      </c>
    </row>
    <row r="211" spans="1:25" x14ac:dyDescent="0.55000000000000004">
      <c r="A211">
        <v>209</v>
      </c>
      <c r="B211" t="s">
        <v>20</v>
      </c>
      <c r="C211">
        <v>17</v>
      </c>
      <c r="D211">
        <v>5</v>
      </c>
      <c r="E211" t="s">
        <v>51</v>
      </c>
      <c r="F211" t="s">
        <v>52</v>
      </c>
      <c r="G211">
        <v>21</v>
      </c>
      <c r="H211">
        <v>2</v>
      </c>
      <c r="I211">
        <v>21050000</v>
      </c>
      <c r="J211">
        <v>270</v>
      </c>
      <c r="K211">
        <v>0</v>
      </c>
      <c r="L211">
        <v>12783</v>
      </c>
      <c r="M211">
        <v>12.717560000000001</v>
      </c>
      <c r="N211">
        <v>101.27242</v>
      </c>
      <c r="O211">
        <v>0.2</v>
      </c>
      <c r="P211">
        <v>5.66</v>
      </c>
      <c r="Q211">
        <v>0.28000000000000003</v>
      </c>
      <c r="R211">
        <v>20.530000999999999</v>
      </c>
      <c r="S211">
        <v>21.32</v>
      </c>
      <c r="T211">
        <v>7.22</v>
      </c>
      <c r="U211">
        <v>5.61</v>
      </c>
      <c r="V211">
        <v>56.59</v>
      </c>
      <c r="W211">
        <v>11.67</v>
      </c>
      <c r="X211">
        <v>29216.512420999999</v>
      </c>
      <c r="Y211">
        <v>32450067.127</v>
      </c>
    </row>
    <row r="212" spans="1:25" x14ac:dyDescent="0.55000000000000004">
      <c r="A212">
        <v>210</v>
      </c>
      <c r="B212" t="s">
        <v>20</v>
      </c>
      <c r="C212">
        <v>17</v>
      </c>
      <c r="D212">
        <v>5</v>
      </c>
      <c r="E212" t="s">
        <v>51</v>
      </c>
      <c r="F212" t="s">
        <v>52</v>
      </c>
      <c r="G212">
        <v>21</v>
      </c>
      <c r="H212">
        <v>2</v>
      </c>
      <c r="I212">
        <v>21050000</v>
      </c>
      <c r="J212">
        <v>271</v>
      </c>
      <c r="K212">
        <v>0</v>
      </c>
      <c r="L212">
        <v>12902</v>
      </c>
      <c r="M212">
        <v>12.798636999999999</v>
      </c>
      <c r="N212">
        <v>101.189285</v>
      </c>
      <c r="O212">
        <v>0.01</v>
      </c>
      <c r="P212">
        <v>0.13</v>
      </c>
      <c r="Q212">
        <v>0.27</v>
      </c>
      <c r="R212">
        <v>0.36</v>
      </c>
      <c r="S212">
        <v>38.709999000000003</v>
      </c>
      <c r="T212">
        <v>7.87</v>
      </c>
      <c r="U212">
        <v>6.24</v>
      </c>
      <c r="V212">
        <v>26.75</v>
      </c>
      <c r="W212">
        <v>0.01</v>
      </c>
      <c r="X212">
        <v>18380.369035</v>
      </c>
      <c r="Y212">
        <v>9568300.2211099993</v>
      </c>
    </row>
    <row r="213" spans="1:25" x14ac:dyDescent="0.55000000000000004">
      <c r="A213">
        <v>211</v>
      </c>
      <c r="B213" t="s">
        <v>20</v>
      </c>
      <c r="C213">
        <v>17</v>
      </c>
      <c r="D213">
        <v>5</v>
      </c>
      <c r="E213" t="s">
        <v>51</v>
      </c>
      <c r="F213" t="s">
        <v>52</v>
      </c>
      <c r="G213">
        <v>21</v>
      </c>
      <c r="H213">
        <v>2</v>
      </c>
      <c r="I213">
        <v>21050000</v>
      </c>
      <c r="J213">
        <v>272</v>
      </c>
      <c r="K213">
        <v>0</v>
      </c>
      <c r="L213">
        <v>13023</v>
      </c>
      <c r="M213">
        <v>12.8797</v>
      </c>
      <c r="N213">
        <v>101.27242</v>
      </c>
      <c r="O213">
        <v>0.03</v>
      </c>
      <c r="P213">
        <v>0.14000000000000001</v>
      </c>
      <c r="Q213">
        <v>1.17</v>
      </c>
      <c r="R213">
        <v>3.11</v>
      </c>
      <c r="S213">
        <v>0.4</v>
      </c>
      <c r="T213">
        <v>89.239998</v>
      </c>
      <c r="U213">
        <v>25.530000999999999</v>
      </c>
      <c r="V213">
        <v>3.98</v>
      </c>
      <c r="W213">
        <v>1.29</v>
      </c>
      <c r="X213">
        <v>36147.166576000003</v>
      </c>
      <c r="Y213">
        <v>46150886.113200001</v>
      </c>
    </row>
    <row r="214" spans="1:25" x14ac:dyDescent="0.55000000000000004">
      <c r="A214">
        <v>212</v>
      </c>
      <c r="B214" t="s">
        <v>20</v>
      </c>
      <c r="C214">
        <v>17</v>
      </c>
      <c r="D214">
        <v>5</v>
      </c>
      <c r="E214" t="s">
        <v>51</v>
      </c>
      <c r="F214" t="s">
        <v>52</v>
      </c>
      <c r="G214">
        <v>21</v>
      </c>
      <c r="H214">
        <v>2</v>
      </c>
      <c r="I214">
        <v>21050000</v>
      </c>
      <c r="J214">
        <v>273</v>
      </c>
      <c r="K214">
        <v>0</v>
      </c>
      <c r="L214">
        <v>13022</v>
      </c>
      <c r="M214">
        <v>12.8797</v>
      </c>
      <c r="N214">
        <v>101.189285</v>
      </c>
      <c r="O214">
        <v>0</v>
      </c>
      <c r="P214">
        <v>0.12</v>
      </c>
      <c r="Q214">
        <v>0</v>
      </c>
      <c r="R214">
        <v>0.65</v>
      </c>
      <c r="S214">
        <v>7.99</v>
      </c>
      <c r="T214">
        <v>53.490001999999997</v>
      </c>
      <c r="U214">
        <v>33.259998000000003</v>
      </c>
      <c r="V214">
        <v>10.199999999999999</v>
      </c>
      <c r="W214">
        <v>0.03</v>
      </c>
      <c r="X214">
        <v>10725.432387999999</v>
      </c>
      <c r="Y214">
        <v>3361988.05638</v>
      </c>
    </row>
    <row r="215" spans="1:25" x14ac:dyDescent="0.55000000000000004">
      <c r="A215">
        <v>213</v>
      </c>
      <c r="B215" t="s">
        <v>20</v>
      </c>
      <c r="C215">
        <v>17</v>
      </c>
      <c r="D215">
        <v>5</v>
      </c>
      <c r="E215" t="s">
        <v>51</v>
      </c>
      <c r="F215" t="s">
        <v>52</v>
      </c>
      <c r="G215">
        <v>21</v>
      </c>
      <c r="H215">
        <v>2</v>
      </c>
      <c r="I215">
        <v>21050000</v>
      </c>
      <c r="J215">
        <v>274</v>
      </c>
      <c r="K215">
        <v>0</v>
      </c>
      <c r="L215">
        <v>12903</v>
      </c>
      <c r="M215">
        <v>12.798636999999999</v>
      </c>
      <c r="N215">
        <v>101.27242</v>
      </c>
      <c r="O215">
        <v>0</v>
      </c>
      <c r="P215">
        <v>5.74</v>
      </c>
      <c r="Q215">
        <v>14.41</v>
      </c>
      <c r="R215">
        <v>6.87</v>
      </c>
      <c r="S215">
        <v>5.4</v>
      </c>
      <c r="T215">
        <v>2.44</v>
      </c>
      <c r="U215">
        <v>5.55</v>
      </c>
      <c r="V215">
        <v>30.98</v>
      </c>
      <c r="W215">
        <v>0.06</v>
      </c>
      <c r="X215">
        <v>35525.921326000003</v>
      </c>
      <c r="Y215">
        <v>80085484.069299996</v>
      </c>
    </row>
    <row r="216" spans="1:25" x14ac:dyDescent="0.55000000000000004">
      <c r="A216">
        <v>214</v>
      </c>
      <c r="B216" t="s">
        <v>20</v>
      </c>
      <c r="C216">
        <v>17</v>
      </c>
      <c r="D216">
        <v>5</v>
      </c>
      <c r="E216" t="s">
        <v>51</v>
      </c>
      <c r="F216" t="s">
        <v>52</v>
      </c>
      <c r="G216">
        <v>21</v>
      </c>
      <c r="H216">
        <v>2</v>
      </c>
      <c r="I216">
        <v>21050000</v>
      </c>
      <c r="J216">
        <v>275</v>
      </c>
      <c r="K216">
        <v>0</v>
      </c>
      <c r="L216">
        <v>13143</v>
      </c>
      <c r="M216">
        <v>12.960724000000001</v>
      </c>
      <c r="N216">
        <v>101.27242</v>
      </c>
      <c r="O216">
        <v>1.27</v>
      </c>
      <c r="P216">
        <v>0.03</v>
      </c>
      <c r="Q216">
        <v>0.19</v>
      </c>
      <c r="R216">
        <v>0.12</v>
      </c>
      <c r="S216">
        <v>16.489999999999998</v>
      </c>
      <c r="T216">
        <v>92.739998</v>
      </c>
      <c r="U216">
        <v>19.32</v>
      </c>
      <c r="V216">
        <v>6.42</v>
      </c>
      <c r="W216">
        <v>1.02</v>
      </c>
      <c r="X216">
        <v>1458.7570470000001</v>
      </c>
      <c r="Y216">
        <v>44708.363490000003</v>
      </c>
    </row>
    <row r="217" spans="1:25" x14ac:dyDescent="0.55000000000000004">
      <c r="A217">
        <v>215</v>
      </c>
      <c r="B217" t="s">
        <v>20</v>
      </c>
      <c r="C217">
        <v>17</v>
      </c>
      <c r="D217">
        <v>5</v>
      </c>
      <c r="E217" t="s">
        <v>51</v>
      </c>
      <c r="F217" t="s">
        <v>52</v>
      </c>
      <c r="G217">
        <v>21</v>
      </c>
      <c r="H217">
        <v>2</v>
      </c>
      <c r="I217">
        <v>21050000</v>
      </c>
      <c r="J217">
        <v>279</v>
      </c>
      <c r="K217">
        <v>0</v>
      </c>
      <c r="L217">
        <v>12784</v>
      </c>
      <c r="M217">
        <v>12.717560000000001</v>
      </c>
      <c r="N217">
        <v>101.35556</v>
      </c>
      <c r="O217">
        <v>0</v>
      </c>
      <c r="P217">
        <v>1.04</v>
      </c>
      <c r="Q217">
        <v>0.28000000000000003</v>
      </c>
      <c r="R217">
        <v>1.1100000000000001</v>
      </c>
      <c r="S217">
        <v>15.67</v>
      </c>
      <c r="T217">
        <v>4.26</v>
      </c>
      <c r="U217">
        <v>9.6</v>
      </c>
      <c r="V217">
        <v>39.400002000000001</v>
      </c>
      <c r="W217">
        <v>15.55</v>
      </c>
      <c r="X217">
        <v>20716.901214000001</v>
      </c>
      <c r="Y217">
        <v>14455960.3574</v>
      </c>
    </row>
    <row r="218" spans="1:25" x14ac:dyDescent="0.55000000000000004">
      <c r="A218">
        <v>216</v>
      </c>
      <c r="B218" t="s">
        <v>20</v>
      </c>
      <c r="C218">
        <v>17</v>
      </c>
      <c r="D218">
        <v>5</v>
      </c>
      <c r="E218" t="s">
        <v>51</v>
      </c>
      <c r="F218" t="s">
        <v>52</v>
      </c>
      <c r="G218">
        <v>21</v>
      </c>
      <c r="H218">
        <v>2</v>
      </c>
      <c r="I218">
        <v>21050000</v>
      </c>
      <c r="J218">
        <v>280</v>
      </c>
      <c r="K218">
        <v>0</v>
      </c>
      <c r="L218">
        <v>12904</v>
      </c>
      <c r="M218">
        <v>12.798636999999999</v>
      </c>
      <c r="N218">
        <v>101.35556</v>
      </c>
      <c r="O218">
        <v>0.01</v>
      </c>
      <c r="P218">
        <v>11.46</v>
      </c>
      <c r="Q218">
        <v>0.54</v>
      </c>
      <c r="R218">
        <v>1.1200000000000001</v>
      </c>
      <c r="S218">
        <v>2.78</v>
      </c>
      <c r="T218">
        <v>5.71</v>
      </c>
      <c r="U218">
        <v>3.87</v>
      </c>
      <c r="V218">
        <v>39.5</v>
      </c>
      <c r="W218">
        <v>1.83</v>
      </c>
      <c r="X218">
        <v>35316.928561000001</v>
      </c>
      <c r="Y218">
        <v>77861515.445299998</v>
      </c>
    </row>
    <row r="219" spans="1:25" x14ac:dyDescent="0.55000000000000004">
      <c r="A219">
        <v>217</v>
      </c>
      <c r="B219" t="s">
        <v>20</v>
      </c>
      <c r="C219">
        <v>17</v>
      </c>
      <c r="D219">
        <v>5</v>
      </c>
      <c r="E219" t="s">
        <v>51</v>
      </c>
      <c r="F219" t="s">
        <v>52</v>
      </c>
      <c r="G219">
        <v>21</v>
      </c>
      <c r="H219">
        <v>2</v>
      </c>
      <c r="I219">
        <v>21050000</v>
      </c>
      <c r="J219">
        <v>282</v>
      </c>
      <c r="K219">
        <v>0</v>
      </c>
      <c r="L219">
        <v>12905</v>
      </c>
      <c r="M219">
        <v>12.798636999999999</v>
      </c>
      <c r="N219">
        <v>101.4387</v>
      </c>
      <c r="O219">
        <v>0</v>
      </c>
      <c r="P219">
        <v>1.05</v>
      </c>
      <c r="Q219">
        <v>0.24</v>
      </c>
      <c r="R219">
        <v>1.73</v>
      </c>
      <c r="S219">
        <v>1.04</v>
      </c>
      <c r="T219">
        <v>16.700001</v>
      </c>
      <c r="U219">
        <v>7.95</v>
      </c>
      <c r="V219">
        <v>48.18</v>
      </c>
      <c r="W219">
        <v>10.89</v>
      </c>
      <c r="X219">
        <v>24220.646572000001</v>
      </c>
      <c r="Y219">
        <v>18333002.5973</v>
      </c>
    </row>
    <row r="220" spans="1:25" x14ac:dyDescent="0.55000000000000004">
      <c r="A220">
        <v>218</v>
      </c>
      <c r="B220" t="s">
        <v>20</v>
      </c>
      <c r="C220">
        <v>17</v>
      </c>
      <c r="D220">
        <v>5</v>
      </c>
      <c r="E220" t="s">
        <v>51</v>
      </c>
      <c r="F220" t="s">
        <v>52</v>
      </c>
      <c r="G220">
        <v>21</v>
      </c>
      <c r="H220">
        <v>2</v>
      </c>
      <c r="I220">
        <v>21050000</v>
      </c>
      <c r="J220">
        <v>284</v>
      </c>
      <c r="K220">
        <v>0</v>
      </c>
      <c r="L220">
        <v>13024</v>
      </c>
      <c r="M220">
        <v>12.8797</v>
      </c>
      <c r="N220">
        <v>101.35556</v>
      </c>
      <c r="O220">
        <v>22.82</v>
      </c>
      <c r="P220">
        <v>2.29</v>
      </c>
      <c r="Q220">
        <v>0.09</v>
      </c>
      <c r="R220">
        <v>5.79</v>
      </c>
      <c r="S220">
        <v>0.02</v>
      </c>
      <c r="T220">
        <v>29.940000999999999</v>
      </c>
      <c r="U220">
        <v>7.38</v>
      </c>
      <c r="V220">
        <v>8.69</v>
      </c>
      <c r="W220">
        <v>0.63</v>
      </c>
      <c r="X220">
        <v>36736.388770999998</v>
      </c>
      <c r="Y220">
        <v>80309131.742400005</v>
      </c>
    </row>
    <row r="221" spans="1:25" x14ac:dyDescent="0.55000000000000004">
      <c r="A221">
        <v>219</v>
      </c>
      <c r="B221" t="s">
        <v>20</v>
      </c>
      <c r="C221">
        <v>17</v>
      </c>
      <c r="D221">
        <v>5</v>
      </c>
      <c r="E221" t="s">
        <v>51</v>
      </c>
      <c r="F221" t="s">
        <v>52</v>
      </c>
      <c r="G221">
        <v>21</v>
      </c>
      <c r="H221">
        <v>2</v>
      </c>
      <c r="I221">
        <v>21050000</v>
      </c>
      <c r="J221">
        <v>285</v>
      </c>
      <c r="K221">
        <v>0</v>
      </c>
      <c r="L221">
        <v>13145</v>
      </c>
      <c r="M221">
        <v>12.960724000000001</v>
      </c>
      <c r="N221">
        <v>101.4387</v>
      </c>
      <c r="O221">
        <v>21.27</v>
      </c>
      <c r="P221">
        <v>0.17</v>
      </c>
      <c r="Q221">
        <v>0.5</v>
      </c>
      <c r="R221">
        <v>1.47</v>
      </c>
      <c r="S221">
        <v>33.950001</v>
      </c>
      <c r="T221">
        <v>3.81</v>
      </c>
      <c r="U221">
        <v>12.43</v>
      </c>
      <c r="V221">
        <v>1.48</v>
      </c>
      <c r="W221">
        <v>0</v>
      </c>
      <c r="X221">
        <v>28150.635597</v>
      </c>
      <c r="Y221">
        <v>28798583.506000001</v>
      </c>
    </row>
    <row r="222" spans="1:25" x14ac:dyDescent="0.55000000000000004">
      <c r="A222">
        <v>220</v>
      </c>
      <c r="B222" t="s">
        <v>20</v>
      </c>
      <c r="C222">
        <v>17</v>
      </c>
      <c r="D222">
        <v>5</v>
      </c>
      <c r="E222" t="s">
        <v>51</v>
      </c>
      <c r="F222" t="s">
        <v>52</v>
      </c>
      <c r="G222">
        <v>21</v>
      </c>
      <c r="H222">
        <v>2</v>
      </c>
      <c r="I222">
        <v>21050000</v>
      </c>
      <c r="J222">
        <v>286</v>
      </c>
      <c r="K222">
        <v>0</v>
      </c>
      <c r="L222">
        <v>13144</v>
      </c>
      <c r="M222">
        <v>12.960724000000001</v>
      </c>
      <c r="N222">
        <v>101.35556</v>
      </c>
      <c r="O222">
        <v>22.209999</v>
      </c>
      <c r="P222">
        <v>10.8</v>
      </c>
      <c r="Q222">
        <v>0.03</v>
      </c>
      <c r="R222">
        <v>0.47</v>
      </c>
      <c r="S222">
        <v>23.59</v>
      </c>
      <c r="T222">
        <v>16.32</v>
      </c>
      <c r="U222">
        <v>8.8000000000000007</v>
      </c>
      <c r="V222">
        <v>6.19</v>
      </c>
      <c r="W222">
        <v>0.06</v>
      </c>
      <c r="X222">
        <v>26415.625683999999</v>
      </c>
      <c r="Y222">
        <v>22117588.301199999</v>
      </c>
    </row>
    <row r="223" spans="1:25" x14ac:dyDescent="0.55000000000000004">
      <c r="A223">
        <v>221</v>
      </c>
      <c r="B223" t="s">
        <v>20</v>
      </c>
      <c r="C223">
        <v>17</v>
      </c>
      <c r="D223">
        <v>5</v>
      </c>
      <c r="E223" t="s">
        <v>51</v>
      </c>
      <c r="F223" t="s">
        <v>52</v>
      </c>
      <c r="G223">
        <v>21</v>
      </c>
      <c r="H223">
        <v>2</v>
      </c>
      <c r="I223">
        <v>21050000</v>
      </c>
      <c r="J223">
        <v>287</v>
      </c>
      <c r="K223">
        <v>0</v>
      </c>
      <c r="L223">
        <v>13025</v>
      </c>
      <c r="M223">
        <v>12.8797</v>
      </c>
      <c r="N223">
        <v>101.4387</v>
      </c>
      <c r="O223">
        <v>7.54</v>
      </c>
      <c r="P223">
        <v>3.89</v>
      </c>
      <c r="Q223">
        <v>0.72</v>
      </c>
      <c r="R223">
        <v>1.35</v>
      </c>
      <c r="S223">
        <v>4.58</v>
      </c>
      <c r="T223">
        <v>11.99</v>
      </c>
      <c r="U223">
        <v>33.840000000000003</v>
      </c>
      <c r="V223">
        <v>4.0599999999999996</v>
      </c>
      <c r="W223">
        <v>4.41</v>
      </c>
      <c r="X223">
        <v>40660.816211999998</v>
      </c>
      <c r="Y223">
        <v>59030224.6906</v>
      </c>
    </row>
    <row r="224" spans="1:25" x14ac:dyDescent="0.55000000000000004">
      <c r="A224">
        <v>222</v>
      </c>
      <c r="B224" t="s">
        <v>20</v>
      </c>
      <c r="C224">
        <v>17</v>
      </c>
      <c r="D224">
        <v>5</v>
      </c>
      <c r="E224" t="s">
        <v>51</v>
      </c>
      <c r="F224" t="s">
        <v>52</v>
      </c>
      <c r="G224">
        <v>21</v>
      </c>
      <c r="H224">
        <v>2</v>
      </c>
      <c r="I224">
        <v>21050000</v>
      </c>
      <c r="J224">
        <v>295</v>
      </c>
      <c r="K224">
        <v>0</v>
      </c>
      <c r="L224">
        <v>13026</v>
      </c>
      <c r="M224">
        <v>12.8797</v>
      </c>
      <c r="N224">
        <v>101.52182999999999</v>
      </c>
      <c r="O224">
        <v>9.2899999999999991</v>
      </c>
      <c r="P224">
        <v>7.0000000000000007E-2</v>
      </c>
      <c r="Q224">
        <v>0.38</v>
      </c>
      <c r="R224">
        <v>9.0500000000000007</v>
      </c>
      <c r="S224">
        <v>4.29</v>
      </c>
      <c r="T224">
        <v>11.61</v>
      </c>
      <c r="U224">
        <v>26.799999</v>
      </c>
      <c r="V224">
        <v>6.42</v>
      </c>
      <c r="W224">
        <v>0.57999999999999996</v>
      </c>
      <c r="X224">
        <v>5495.8409430000002</v>
      </c>
      <c r="Y224">
        <v>1036043.59954</v>
      </c>
    </row>
    <row r="225" spans="1:25" x14ac:dyDescent="0.55000000000000004">
      <c r="A225">
        <v>223</v>
      </c>
      <c r="B225" t="s">
        <v>20</v>
      </c>
      <c r="C225">
        <v>17</v>
      </c>
      <c r="D225">
        <v>5</v>
      </c>
      <c r="E225" t="s">
        <v>51</v>
      </c>
      <c r="F225" t="s">
        <v>52</v>
      </c>
      <c r="G225">
        <v>21</v>
      </c>
      <c r="H225">
        <v>2</v>
      </c>
      <c r="I225">
        <v>21050000</v>
      </c>
      <c r="J225">
        <v>302</v>
      </c>
      <c r="K225">
        <v>0</v>
      </c>
      <c r="L225">
        <v>13146</v>
      </c>
      <c r="M225">
        <v>12.960724000000001</v>
      </c>
      <c r="N225">
        <v>101.52182999999999</v>
      </c>
      <c r="O225">
        <v>0.8</v>
      </c>
      <c r="P225">
        <v>0.01</v>
      </c>
      <c r="Q225">
        <v>0.73</v>
      </c>
      <c r="R225">
        <v>7.97</v>
      </c>
      <c r="S225">
        <v>3.28</v>
      </c>
      <c r="T225">
        <v>3.75</v>
      </c>
      <c r="U225">
        <v>22.709999</v>
      </c>
      <c r="V225">
        <v>0.82</v>
      </c>
      <c r="W225">
        <v>0</v>
      </c>
      <c r="X225">
        <v>5759.1543949999996</v>
      </c>
      <c r="Y225">
        <v>1325033.9898399999</v>
      </c>
    </row>
    <row r="226" spans="1:25" x14ac:dyDescent="0.55000000000000004">
      <c r="A226">
        <v>224</v>
      </c>
      <c r="B226" t="s">
        <v>20</v>
      </c>
      <c r="C226">
        <v>18</v>
      </c>
      <c r="D226">
        <v>6</v>
      </c>
      <c r="E226" t="s">
        <v>53</v>
      </c>
      <c r="F226" t="s">
        <v>54</v>
      </c>
      <c r="G226">
        <v>21</v>
      </c>
      <c r="H226">
        <v>2</v>
      </c>
      <c r="I226">
        <v>21060000</v>
      </c>
      <c r="J226">
        <v>224</v>
      </c>
      <c r="K226">
        <v>0</v>
      </c>
      <c r="L226">
        <v>13141</v>
      </c>
      <c r="M226">
        <v>12.960724000000001</v>
      </c>
      <c r="N226">
        <v>101.10615</v>
      </c>
      <c r="O226">
        <v>0.11</v>
      </c>
      <c r="P226">
        <v>0.09</v>
      </c>
      <c r="Q226">
        <v>0.11</v>
      </c>
      <c r="R226">
        <v>0.02</v>
      </c>
      <c r="S226">
        <v>0.24</v>
      </c>
      <c r="T226">
        <v>46.040000999999997</v>
      </c>
      <c r="U226">
        <v>3.41</v>
      </c>
      <c r="V226">
        <v>28.25</v>
      </c>
      <c r="W226">
        <v>2.17</v>
      </c>
      <c r="X226">
        <v>33588.639962000001</v>
      </c>
      <c r="Y226">
        <v>46640644.329099998</v>
      </c>
    </row>
    <row r="227" spans="1:25" x14ac:dyDescent="0.55000000000000004">
      <c r="A227">
        <v>225</v>
      </c>
      <c r="B227" t="s">
        <v>20</v>
      </c>
      <c r="C227">
        <v>18</v>
      </c>
      <c r="D227">
        <v>6</v>
      </c>
      <c r="E227" t="s">
        <v>53</v>
      </c>
      <c r="F227" t="s">
        <v>54</v>
      </c>
      <c r="G227">
        <v>21</v>
      </c>
      <c r="H227">
        <v>2</v>
      </c>
      <c r="I227">
        <v>21060000</v>
      </c>
      <c r="J227">
        <v>227</v>
      </c>
      <c r="K227">
        <v>0</v>
      </c>
      <c r="L227">
        <v>13261</v>
      </c>
      <c r="M227">
        <v>13.041733000000001</v>
      </c>
      <c r="N227">
        <v>101.10615</v>
      </c>
      <c r="O227">
        <v>6.42</v>
      </c>
      <c r="P227">
        <v>0.24</v>
      </c>
      <c r="Q227">
        <v>0.51</v>
      </c>
      <c r="R227">
        <v>2.87</v>
      </c>
      <c r="S227">
        <v>2.2599999999999998</v>
      </c>
      <c r="T227">
        <v>45.639999000000003</v>
      </c>
      <c r="U227">
        <v>5.42</v>
      </c>
      <c r="V227">
        <v>25.700001</v>
      </c>
      <c r="W227">
        <v>0</v>
      </c>
      <c r="X227">
        <v>22105.950575999999</v>
      </c>
      <c r="Y227">
        <v>16204586.933599999</v>
      </c>
    </row>
    <row r="228" spans="1:25" x14ac:dyDescent="0.55000000000000004">
      <c r="A228">
        <v>226</v>
      </c>
      <c r="B228" t="s">
        <v>20</v>
      </c>
      <c r="C228">
        <v>18</v>
      </c>
      <c r="D228">
        <v>6</v>
      </c>
      <c r="E228" t="s">
        <v>53</v>
      </c>
      <c r="F228" t="s">
        <v>54</v>
      </c>
      <c r="G228">
        <v>21</v>
      </c>
      <c r="H228">
        <v>2</v>
      </c>
      <c r="I228">
        <v>21060000</v>
      </c>
      <c r="J228">
        <v>272</v>
      </c>
      <c r="K228">
        <v>0</v>
      </c>
      <c r="L228">
        <v>13023</v>
      </c>
      <c r="M228">
        <v>12.8797</v>
      </c>
      <c r="N228">
        <v>101.27242</v>
      </c>
      <c r="O228">
        <v>0.03</v>
      </c>
      <c r="P228">
        <v>0.14000000000000001</v>
      </c>
      <c r="Q228">
        <v>1.17</v>
      </c>
      <c r="R228">
        <v>3.11</v>
      </c>
      <c r="S228">
        <v>0.4</v>
      </c>
      <c r="T228">
        <v>89.239998</v>
      </c>
      <c r="U228">
        <v>25.530000999999999</v>
      </c>
      <c r="V228">
        <v>3.98</v>
      </c>
      <c r="W228">
        <v>1.29</v>
      </c>
      <c r="X228">
        <v>27681.219171000001</v>
      </c>
      <c r="Y228">
        <v>34808819.941100001</v>
      </c>
    </row>
    <row r="229" spans="1:25" x14ac:dyDescent="0.55000000000000004">
      <c r="A229">
        <v>227</v>
      </c>
      <c r="B229" t="s">
        <v>20</v>
      </c>
      <c r="C229">
        <v>18</v>
      </c>
      <c r="D229">
        <v>6</v>
      </c>
      <c r="E229" t="s">
        <v>53</v>
      </c>
      <c r="F229" t="s">
        <v>54</v>
      </c>
      <c r="G229">
        <v>21</v>
      </c>
      <c r="H229">
        <v>2</v>
      </c>
      <c r="I229">
        <v>21060000</v>
      </c>
      <c r="J229">
        <v>273</v>
      </c>
      <c r="K229">
        <v>0</v>
      </c>
      <c r="L229">
        <v>13022</v>
      </c>
      <c r="M229">
        <v>12.8797</v>
      </c>
      <c r="N229">
        <v>101.189285</v>
      </c>
      <c r="O229">
        <v>0</v>
      </c>
      <c r="P229">
        <v>0.12</v>
      </c>
      <c r="Q229">
        <v>0</v>
      </c>
      <c r="R229">
        <v>0.65</v>
      </c>
      <c r="S229">
        <v>7.99</v>
      </c>
      <c r="T229">
        <v>53.490001999999997</v>
      </c>
      <c r="U229">
        <v>33.259998000000003</v>
      </c>
      <c r="V229">
        <v>10.199999999999999</v>
      </c>
      <c r="W229">
        <v>0.03</v>
      </c>
      <c r="X229">
        <v>33529.003793000003</v>
      </c>
      <c r="Y229">
        <v>31615979.311799999</v>
      </c>
    </row>
    <row r="230" spans="1:25" x14ac:dyDescent="0.55000000000000004">
      <c r="A230">
        <v>228</v>
      </c>
      <c r="B230" t="s">
        <v>20</v>
      </c>
      <c r="C230">
        <v>18</v>
      </c>
      <c r="D230">
        <v>6</v>
      </c>
      <c r="E230" t="s">
        <v>53</v>
      </c>
      <c r="F230" t="s">
        <v>54</v>
      </c>
      <c r="G230">
        <v>21</v>
      </c>
      <c r="H230">
        <v>2</v>
      </c>
      <c r="I230">
        <v>21060000</v>
      </c>
      <c r="J230">
        <v>275</v>
      </c>
      <c r="K230">
        <v>0</v>
      </c>
      <c r="L230">
        <v>13143</v>
      </c>
      <c r="M230">
        <v>12.960724000000001</v>
      </c>
      <c r="N230">
        <v>101.27242</v>
      </c>
      <c r="O230">
        <v>1.27</v>
      </c>
      <c r="P230">
        <v>0.03</v>
      </c>
      <c r="Q230">
        <v>0.19</v>
      </c>
      <c r="R230">
        <v>0.12</v>
      </c>
      <c r="S230">
        <v>16.489999999999998</v>
      </c>
      <c r="T230">
        <v>92.739998</v>
      </c>
      <c r="U230">
        <v>19.32</v>
      </c>
      <c r="V230">
        <v>6.42</v>
      </c>
      <c r="W230">
        <v>1.02</v>
      </c>
      <c r="X230">
        <v>36016.861235999997</v>
      </c>
      <c r="Y230">
        <v>80862361.317100003</v>
      </c>
    </row>
    <row r="231" spans="1:25" x14ac:dyDescent="0.55000000000000004">
      <c r="A231">
        <v>229</v>
      </c>
      <c r="B231" t="s">
        <v>20</v>
      </c>
      <c r="C231">
        <v>18</v>
      </c>
      <c r="D231">
        <v>6</v>
      </c>
      <c r="E231" t="s">
        <v>53</v>
      </c>
      <c r="F231" t="s">
        <v>54</v>
      </c>
      <c r="G231">
        <v>21</v>
      </c>
      <c r="H231">
        <v>2</v>
      </c>
      <c r="I231">
        <v>21060000</v>
      </c>
      <c r="J231">
        <v>276</v>
      </c>
      <c r="K231">
        <v>0</v>
      </c>
      <c r="L231">
        <v>13142</v>
      </c>
      <c r="M231">
        <v>12.960724000000001</v>
      </c>
      <c r="N231">
        <v>101.189285</v>
      </c>
      <c r="O231">
        <v>0.36</v>
      </c>
      <c r="P231">
        <v>0.01</v>
      </c>
      <c r="Q231">
        <v>0</v>
      </c>
      <c r="R231">
        <v>0</v>
      </c>
      <c r="S231">
        <v>2.86</v>
      </c>
      <c r="T231">
        <v>31.66</v>
      </c>
      <c r="U231">
        <v>7.71</v>
      </c>
      <c r="V231">
        <v>4.55</v>
      </c>
      <c r="W231">
        <v>1.32</v>
      </c>
      <c r="X231">
        <v>35822.330505999998</v>
      </c>
      <c r="Y231">
        <v>80293861.2456</v>
      </c>
    </row>
    <row r="232" spans="1:25" x14ac:dyDescent="0.55000000000000004">
      <c r="A232">
        <v>230</v>
      </c>
      <c r="B232" t="s">
        <v>20</v>
      </c>
      <c r="C232">
        <v>18</v>
      </c>
      <c r="D232">
        <v>6</v>
      </c>
      <c r="E232" t="s">
        <v>53</v>
      </c>
      <c r="F232" t="s">
        <v>54</v>
      </c>
      <c r="G232">
        <v>21</v>
      </c>
      <c r="H232">
        <v>2</v>
      </c>
      <c r="I232">
        <v>21060000</v>
      </c>
      <c r="J232">
        <v>277</v>
      </c>
      <c r="K232">
        <v>0</v>
      </c>
      <c r="L232">
        <v>13263</v>
      </c>
      <c r="M232">
        <v>13.041733000000001</v>
      </c>
      <c r="N232">
        <v>101.27242</v>
      </c>
      <c r="O232">
        <v>1.27</v>
      </c>
      <c r="P232">
        <v>0</v>
      </c>
      <c r="Q232">
        <v>0.98</v>
      </c>
      <c r="R232">
        <v>3.08</v>
      </c>
      <c r="S232">
        <v>1.43</v>
      </c>
      <c r="T232">
        <v>63.950001</v>
      </c>
      <c r="U232">
        <v>5.75</v>
      </c>
      <c r="V232">
        <v>22.07</v>
      </c>
      <c r="W232">
        <v>0.79</v>
      </c>
      <c r="X232">
        <v>37567.742773999998</v>
      </c>
      <c r="Y232">
        <v>65920987.9234</v>
      </c>
    </row>
    <row r="233" spans="1:25" x14ac:dyDescent="0.55000000000000004">
      <c r="A233">
        <v>231</v>
      </c>
      <c r="B233" t="s">
        <v>20</v>
      </c>
      <c r="C233">
        <v>18</v>
      </c>
      <c r="D233">
        <v>6</v>
      </c>
      <c r="E233" t="s">
        <v>53</v>
      </c>
      <c r="F233" t="s">
        <v>54</v>
      </c>
      <c r="G233">
        <v>21</v>
      </c>
      <c r="H233">
        <v>2</v>
      </c>
      <c r="I233">
        <v>21060000</v>
      </c>
      <c r="J233">
        <v>278</v>
      </c>
      <c r="K233">
        <v>0</v>
      </c>
      <c r="L233">
        <v>13262</v>
      </c>
      <c r="M233">
        <v>13.041733000000001</v>
      </c>
      <c r="N233">
        <v>101.189285</v>
      </c>
      <c r="O233">
        <v>2.85</v>
      </c>
      <c r="P233">
        <v>0.01</v>
      </c>
      <c r="Q233">
        <v>0.88</v>
      </c>
      <c r="R233">
        <v>0.12</v>
      </c>
      <c r="S233">
        <v>2.9</v>
      </c>
      <c r="T233">
        <v>42.27</v>
      </c>
      <c r="U233">
        <v>4.16</v>
      </c>
      <c r="V233">
        <v>21.74</v>
      </c>
      <c r="W233">
        <v>0.01</v>
      </c>
      <c r="X233">
        <v>40594.167989000001</v>
      </c>
      <c r="Y233">
        <v>45594219.1439</v>
      </c>
    </row>
    <row r="234" spans="1:25" x14ac:dyDescent="0.55000000000000004">
      <c r="A234">
        <v>232</v>
      </c>
      <c r="B234" t="s">
        <v>20</v>
      </c>
      <c r="C234">
        <v>18</v>
      </c>
      <c r="D234">
        <v>6</v>
      </c>
      <c r="E234" t="s">
        <v>53</v>
      </c>
      <c r="F234" t="s">
        <v>54</v>
      </c>
      <c r="G234">
        <v>21</v>
      </c>
      <c r="H234">
        <v>2</v>
      </c>
      <c r="I234">
        <v>21060000</v>
      </c>
      <c r="J234">
        <v>284</v>
      </c>
      <c r="K234">
        <v>0</v>
      </c>
      <c r="L234">
        <v>13024</v>
      </c>
      <c r="M234">
        <v>12.8797</v>
      </c>
      <c r="N234">
        <v>101.35556</v>
      </c>
      <c r="O234">
        <v>22.82</v>
      </c>
      <c r="P234">
        <v>2.29</v>
      </c>
      <c r="Q234">
        <v>0.09</v>
      </c>
      <c r="R234">
        <v>5.79</v>
      </c>
      <c r="S234">
        <v>0.02</v>
      </c>
      <c r="T234">
        <v>29.940000999999999</v>
      </c>
      <c r="U234">
        <v>7.38</v>
      </c>
      <c r="V234">
        <v>8.69</v>
      </c>
      <c r="W234">
        <v>0.63</v>
      </c>
      <c r="X234">
        <v>3813.6488979999999</v>
      </c>
      <c r="Y234">
        <v>662089.12493599998</v>
      </c>
    </row>
    <row r="235" spans="1:25" x14ac:dyDescent="0.55000000000000004">
      <c r="A235">
        <v>233</v>
      </c>
      <c r="B235" t="s">
        <v>20</v>
      </c>
      <c r="C235">
        <v>18</v>
      </c>
      <c r="D235">
        <v>6</v>
      </c>
      <c r="E235" t="s">
        <v>53</v>
      </c>
      <c r="F235" t="s">
        <v>54</v>
      </c>
      <c r="G235">
        <v>21</v>
      </c>
      <c r="H235">
        <v>2</v>
      </c>
      <c r="I235">
        <v>21060000</v>
      </c>
      <c r="J235">
        <v>285</v>
      </c>
      <c r="K235">
        <v>0</v>
      </c>
      <c r="L235">
        <v>13145</v>
      </c>
      <c r="M235">
        <v>12.960724000000001</v>
      </c>
      <c r="N235">
        <v>101.4387</v>
      </c>
      <c r="O235">
        <v>21.27</v>
      </c>
      <c r="P235">
        <v>0.17</v>
      </c>
      <c r="Q235">
        <v>0.5</v>
      </c>
      <c r="R235">
        <v>1.47</v>
      </c>
      <c r="S235">
        <v>33.950001</v>
      </c>
      <c r="T235">
        <v>3.81</v>
      </c>
      <c r="U235">
        <v>12.43</v>
      </c>
      <c r="V235">
        <v>1.48</v>
      </c>
      <c r="W235">
        <v>0</v>
      </c>
      <c r="X235">
        <v>18366.52217</v>
      </c>
      <c r="Y235">
        <v>12292145.1831</v>
      </c>
    </row>
    <row r="236" spans="1:25" x14ac:dyDescent="0.55000000000000004">
      <c r="A236">
        <v>234</v>
      </c>
      <c r="B236" t="s">
        <v>20</v>
      </c>
      <c r="C236">
        <v>18</v>
      </c>
      <c r="D236">
        <v>6</v>
      </c>
      <c r="E236" t="s">
        <v>53</v>
      </c>
      <c r="F236" t="s">
        <v>54</v>
      </c>
      <c r="G236">
        <v>21</v>
      </c>
      <c r="H236">
        <v>2</v>
      </c>
      <c r="I236">
        <v>21060000</v>
      </c>
      <c r="J236">
        <v>286</v>
      </c>
      <c r="K236">
        <v>0</v>
      </c>
      <c r="L236">
        <v>13144</v>
      </c>
      <c r="M236">
        <v>12.960724000000001</v>
      </c>
      <c r="N236">
        <v>101.35556</v>
      </c>
      <c r="O236">
        <v>22.209999</v>
      </c>
      <c r="P236">
        <v>10.8</v>
      </c>
      <c r="Q236">
        <v>0.03</v>
      </c>
      <c r="R236">
        <v>0.47</v>
      </c>
      <c r="S236">
        <v>23.59</v>
      </c>
      <c r="T236">
        <v>16.32</v>
      </c>
      <c r="U236">
        <v>8.8000000000000007</v>
      </c>
      <c r="V236">
        <v>6.19</v>
      </c>
      <c r="W236">
        <v>0.06</v>
      </c>
      <c r="X236">
        <v>42149.734366999997</v>
      </c>
      <c r="Y236">
        <v>58800982.772699997</v>
      </c>
    </row>
    <row r="237" spans="1:25" x14ac:dyDescent="0.55000000000000004">
      <c r="A237">
        <v>235</v>
      </c>
      <c r="B237" t="s">
        <v>20</v>
      </c>
      <c r="C237">
        <v>18</v>
      </c>
      <c r="D237">
        <v>6</v>
      </c>
      <c r="E237" t="s">
        <v>53</v>
      </c>
      <c r="F237" t="s">
        <v>54</v>
      </c>
      <c r="G237">
        <v>21</v>
      </c>
      <c r="H237">
        <v>2</v>
      </c>
      <c r="I237">
        <v>21060000</v>
      </c>
      <c r="J237">
        <v>289</v>
      </c>
      <c r="K237">
        <v>0</v>
      </c>
      <c r="L237">
        <v>13265</v>
      </c>
      <c r="M237">
        <v>13.041733000000001</v>
      </c>
      <c r="N237">
        <v>101.4387</v>
      </c>
      <c r="O237">
        <v>0.31</v>
      </c>
      <c r="P237">
        <v>0.03</v>
      </c>
      <c r="Q237">
        <v>0.69</v>
      </c>
      <c r="R237">
        <v>0.01</v>
      </c>
      <c r="S237">
        <v>34.330002</v>
      </c>
      <c r="T237">
        <v>6.61</v>
      </c>
      <c r="U237">
        <v>3.3</v>
      </c>
      <c r="V237">
        <v>11.41</v>
      </c>
      <c r="W237">
        <v>0.14000000000000001</v>
      </c>
      <c r="X237">
        <v>5962.2303860000002</v>
      </c>
      <c r="Y237">
        <v>1600665.77639</v>
      </c>
    </row>
    <row r="238" spans="1:25" x14ac:dyDescent="0.55000000000000004">
      <c r="A238">
        <v>236</v>
      </c>
      <c r="B238" t="s">
        <v>20</v>
      </c>
      <c r="C238">
        <v>18</v>
      </c>
      <c r="D238">
        <v>6</v>
      </c>
      <c r="E238" t="s">
        <v>53</v>
      </c>
      <c r="F238" t="s">
        <v>54</v>
      </c>
      <c r="G238">
        <v>21</v>
      </c>
      <c r="H238">
        <v>2</v>
      </c>
      <c r="I238">
        <v>21060000</v>
      </c>
      <c r="J238">
        <v>290</v>
      </c>
      <c r="K238">
        <v>0</v>
      </c>
      <c r="L238">
        <v>13264</v>
      </c>
      <c r="M238">
        <v>13.041733000000001</v>
      </c>
      <c r="N238">
        <v>101.35556</v>
      </c>
      <c r="O238">
        <v>0.9</v>
      </c>
      <c r="P238">
        <v>1.3</v>
      </c>
      <c r="Q238">
        <v>0.12</v>
      </c>
      <c r="R238">
        <v>0.22</v>
      </c>
      <c r="S238">
        <v>7.49</v>
      </c>
      <c r="T238">
        <v>10.43</v>
      </c>
      <c r="U238">
        <v>7.26</v>
      </c>
      <c r="V238">
        <v>6.97</v>
      </c>
      <c r="W238">
        <v>0.05</v>
      </c>
      <c r="X238">
        <v>32473.162063</v>
      </c>
      <c r="Y238">
        <v>55578264.721600004</v>
      </c>
    </row>
    <row r="239" spans="1:25" x14ac:dyDescent="0.55000000000000004">
      <c r="A239">
        <v>237</v>
      </c>
      <c r="B239" t="s">
        <v>20</v>
      </c>
      <c r="C239">
        <v>18</v>
      </c>
      <c r="D239">
        <v>6</v>
      </c>
      <c r="E239" t="s">
        <v>53</v>
      </c>
      <c r="F239" t="s">
        <v>54</v>
      </c>
      <c r="G239">
        <v>21</v>
      </c>
      <c r="H239">
        <v>2</v>
      </c>
      <c r="I239">
        <v>21060000</v>
      </c>
      <c r="J239">
        <v>735</v>
      </c>
      <c r="K239">
        <v>0</v>
      </c>
      <c r="L239">
        <v>13384</v>
      </c>
      <c r="M239">
        <v>13.122719</v>
      </c>
      <c r="N239">
        <v>101.35556</v>
      </c>
      <c r="O239">
        <v>0.4</v>
      </c>
      <c r="P239">
        <v>7.0000000000000007E-2</v>
      </c>
      <c r="Q239">
        <v>0.02</v>
      </c>
      <c r="R239">
        <v>0.97</v>
      </c>
      <c r="S239">
        <v>0.06</v>
      </c>
      <c r="T239">
        <v>24.940000999999999</v>
      </c>
      <c r="U239">
        <v>4.46</v>
      </c>
      <c r="V239">
        <v>4.47</v>
      </c>
      <c r="W239">
        <v>0</v>
      </c>
      <c r="X239">
        <v>2572.3072099999999</v>
      </c>
      <c r="Y239">
        <v>123385.209342</v>
      </c>
    </row>
    <row r="240" spans="1:25" x14ac:dyDescent="0.55000000000000004">
      <c r="A240">
        <v>238</v>
      </c>
      <c r="B240" t="s">
        <v>20</v>
      </c>
      <c r="C240">
        <v>19</v>
      </c>
      <c r="D240">
        <v>7</v>
      </c>
      <c r="E240" t="s">
        <v>55</v>
      </c>
      <c r="F240" t="s">
        <v>56</v>
      </c>
      <c r="G240">
        <v>21</v>
      </c>
      <c r="H240">
        <v>2</v>
      </c>
      <c r="I240">
        <v>21070000</v>
      </c>
      <c r="J240">
        <v>294</v>
      </c>
      <c r="K240">
        <v>0</v>
      </c>
      <c r="L240">
        <v>12909</v>
      </c>
      <c r="M240">
        <v>12.798636999999999</v>
      </c>
      <c r="N240">
        <v>101.77124000000001</v>
      </c>
      <c r="O240">
        <v>0.06</v>
      </c>
      <c r="P240">
        <v>0</v>
      </c>
      <c r="Q240">
        <v>6.43</v>
      </c>
      <c r="R240">
        <v>8.75</v>
      </c>
      <c r="S240">
        <v>3.02</v>
      </c>
      <c r="T240">
        <v>4.2</v>
      </c>
      <c r="U240">
        <v>7.26</v>
      </c>
      <c r="V240">
        <v>20.82</v>
      </c>
      <c r="W240">
        <v>0.22</v>
      </c>
      <c r="X240">
        <v>3914.6191650000001</v>
      </c>
      <c r="Y240">
        <v>512574.87654600001</v>
      </c>
    </row>
    <row r="241" spans="1:25" x14ac:dyDescent="0.55000000000000004">
      <c r="A241">
        <v>239</v>
      </c>
      <c r="B241" t="s">
        <v>20</v>
      </c>
      <c r="C241">
        <v>19</v>
      </c>
      <c r="D241">
        <v>7</v>
      </c>
      <c r="E241" t="s">
        <v>55</v>
      </c>
      <c r="F241" t="s">
        <v>56</v>
      </c>
      <c r="G241">
        <v>21</v>
      </c>
      <c r="H241">
        <v>2</v>
      </c>
      <c r="I241">
        <v>21070000</v>
      </c>
      <c r="J241">
        <v>299</v>
      </c>
      <c r="K241">
        <v>0</v>
      </c>
      <c r="L241">
        <v>13027</v>
      </c>
      <c r="M241">
        <v>12.8797</v>
      </c>
      <c r="N241">
        <v>101.60496500000001</v>
      </c>
      <c r="O241">
        <v>7.9</v>
      </c>
      <c r="P241">
        <v>0.01</v>
      </c>
      <c r="Q241">
        <v>0.3</v>
      </c>
      <c r="R241">
        <v>20.350000000000001</v>
      </c>
      <c r="S241">
        <v>0.67</v>
      </c>
      <c r="T241">
        <v>2.0099999999999998</v>
      </c>
      <c r="U241">
        <v>17.829999999999998</v>
      </c>
      <c r="V241">
        <v>18.5</v>
      </c>
      <c r="W241">
        <v>0.77</v>
      </c>
      <c r="X241">
        <v>18013.458707999998</v>
      </c>
      <c r="Y241">
        <v>12304229.3347</v>
      </c>
    </row>
    <row r="242" spans="1:25" x14ac:dyDescent="0.55000000000000004">
      <c r="A242">
        <v>240</v>
      </c>
      <c r="B242" t="s">
        <v>20</v>
      </c>
      <c r="C242">
        <v>19</v>
      </c>
      <c r="D242">
        <v>7</v>
      </c>
      <c r="E242" t="s">
        <v>55</v>
      </c>
      <c r="F242" t="s">
        <v>56</v>
      </c>
      <c r="G242">
        <v>21</v>
      </c>
      <c r="H242">
        <v>2</v>
      </c>
      <c r="I242">
        <v>21070000</v>
      </c>
      <c r="J242">
        <v>300</v>
      </c>
      <c r="K242">
        <v>0</v>
      </c>
      <c r="L242">
        <v>12908</v>
      </c>
      <c r="M242">
        <v>12.798636999999999</v>
      </c>
      <c r="N242">
        <v>101.68810000000001</v>
      </c>
      <c r="O242">
        <v>0.03</v>
      </c>
      <c r="P242">
        <v>0</v>
      </c>
      <c r="Q242">
        <v>0.64</v>
      </c>
      <c r="R242">
        <v>4.8499999999999996</v>
      </c>
      <c r="S242">
        <v>0.48</v>
      </c>
      <c r="T242">
        <v>5.6</v>
      </c>
      <c r="U242">
        <v>4.21</v>
      </c>
      <c r="V242">
        <v>17.459999</v>
      </c>
      <c r="W242">
        <v>4.72</v>
      </c>
      <c r="X242">
        <v>1924.947831</v>
      </c>
      <c r="Y242">
        <v>124900.73732299999</v>
      </c>
    </row>
    <row r="243" spans="1:25" x14ac:dyDescent="0.55000000000000004">
      <c r="A243">
        <v>241</v>
      </c>
      <c r="B243" t="s">
        <v>20</v>
      </c>
      <c r="C243">
        <v>19</v>
      </c>
      <c r="D243">
        <v>7</v>
      </c>
      <c r="E243" t="s">
        <v>55</v>
      </c>
      <c r="F243" t="s">
        <v>56</v>
      </c>
      <c r="G243">
        <v>21</v>
      </c>
      <c r="H243">
        <v>2</v>
      </c>
      <c r="I243">
        <v>21070000</v>
      </c>
      <c r="J243">
        <v>301</v>
      </c>
      <c r="K243">
        <v>0</v>
      </c>
      <c r="L243">
        <v>13147</v>
      </c>
      <c r="M243">
        <v>12.960724000000001</v>
      </c>
      <c r="N243">
        <v>101.60496500000001</v>
      </c>
      <c r="O243">
        <v>5.55</v>
      </c>
      <c r="P243">
        <v>0.01</v>
      </c>
      <c r="Q243">
        <v>0.44</v>
      </c>
      <c r="R243">
        <v>0.42</v>
      </c>
      <c r="S243">
        <v>0.87</v>
      </c>
      <c r="T243">
        <v>3.94</v>
      </c>
      <c r="U243">
        <v>20.58</v>
      </c>
      <c r="V243">
        <v>0.19</v>
      </c>
      <c r="W243">
        <v>0</v>
      </c>
      <c r="X243">
        <v>35945.344613000001</v>
      </c>
      <c r="Y243">
        <v>42399310.382399999</v>
      </c>
    </row>
    <row r="244" spans="1:25" x14ac:dyDescent="0.55000000000000004">
      <c r="A244">
        <v>242</v>
      </c>
      <c r="B244" t="s">
        <v>20</v>
      </c>
      <c r="C244">
        <v>19</v>
      </c>
      <c r="D244">
        <v>7</v>
      </c>
      <c r="E244" t="s">
        <v>55</v>
      </c>
      <c r="F244" t="s">
        <v>56</v>
      </c>
      <c r="G244">
        <v>21</v>
      </c>
      <c r="H244">
        <v>2</v>
      </c>
      <c r="I244">
        <v>21070000</v>
      </c>
      <c r="J244">
        <v>303</v>
      </c>
      <c r="K244">
        <v>0</v>
      </c>
      <c r="L244">
        <v>13267</v>
      </c>
      <c r="M244">
        <v>13.041733000000001</v>
      </c>
      <c r="N244">
        <v>101.60496500000001</v>
      </c>
      <c r="O244">
        <v>6.03</v>
      </c>
      <c r="P244">
        <v>0.2</v>
      </c>
      <c r="Q244">
        <v>0.91</v>
      </c>
      <c r="R244">
        <v>0.01</v>
      </c>
      <c r="S244">
        <v>0.91</v>
      </c>
      <c r="T244">
        <v>4.74</v>
      </c>
      <c r="U244">
        <v>20.27</v>
      </c>
      <c r="V244">
        <v>1.1100000000000001</v>
      </c>
      <c r="W244">
        <v>0.05</v>
      </c>
      <c r="X244">
        <v>34337.256614999998</v>
      </c>
      <c r="Y244">
        <v>51554108.984999999</v>
      </c>
    </row>
    <row r="245" spans="1:25" x14ac:dyDescent="0.55000000000000004">
      <c r="A245">
        <v>243</v>
      </c>
      <c r="B245" t="s">
        <v>20</v>
      </c>
      <c r="C245">
        <v>19</v>
      </c>
      <c r="D245">
        <v>7</v>
      </c>
      <c r="E245" t="s">
        <v>55</v>
      </c>
      <c r="F245" t="s">
        <v>56</v>
      </c>
      <c r="G245">
        <v>21</v>
      </c>
      <c r="H245">
        <v>2</v>
      </c>
      <c r="I245">
        <v>21070000</v>
      </c>
      <c r="J245">
        <v>305</v>
      </c>
      <c r="K245">
        <v>0</v>
      </c>
      <c r="L245">
        <v>13028</v>
      </c>
      <c r="M245">
        <v>12.8797</v>
      </c>
      <c r="N245">
        <v>101.68810000000001</v>
      </c>
      <c r="O245">
        <v>0.43</v>
      </c>
      <c r="P245">
        <v>0</v>
      </c>
      <c r="Q245">
        <v>0.06</v>
      </c>
      <c r="R245">
        <v>23.01</v>
      </c>
      <c r="S245">
        <v>1.66</v>
      </c>
      <c r="T245">
        <v>9.74</v>
      </c>
      <c r="U245">
        <v>11.37</v>
      </c>
      <c r="V245">
        <v>7.01</v>
      </c>
      <c r="W245">
        <v>0.01</v>
      </c>
      <c r="X245">
        <v>37785.495216000003</v>
      </c>
      <c r="Y245">
        <v>43740533.944899999</v>
      </c>
    </row>
    <row r="246" spans="1:25" x14ac:dyDescent="0.55000000000000004">
      <c r="A246">
        <v>244</v>
      </c>
      <c r="B246" t="s">
        <v>20</v>
      </c>
      <c r="C246">
        <v>19</v>
      </c>
      <c r="D246">
        <v>7</v>
      </c>
      <c r="E246" t="s">
        <v>55</v>
      </c>
      <c r="F246" t="s">
        <v>56</v>
      </c>
      <c r="G246">
        <v>21</v>
      </c>
      <c r="H246">
        <v>2</v>
      </c>
      <c r="I246">
        <v>21070000</v>
      </c>
      <c r="J246">
        <v>306</v>
      </c>
      <c r="K246">
        <v>0</v>
      </c>
      <c r="L246">
        <v>13149</v>
      </c>
      <c r="M246">
        <v>12.960724000000001</v>
      </c>
      <c r="N246">
        <v>101.77124000000001</v>
      </c>
      <c r="O246">
        <v>24.200001</v>
      </c>
      <c r="P246">
        <v>0</v>
      </c>
      <c r="Q246">
        <v>0.04</v>
      </c>
      <c r="R246">
        <v>0.35</v>
      </c>
      <c r="S246">
        <v>30.639999</v>
      </c>
      <c r="T246">
        <v>5.83</v>
      </c>
      <c r="U246">
        <v>7.29</v>
      </c>
      <c r="V246">
        <v>4.3</v>
      </c>
      <c r="W246">
        <v>0.17</v>
      </c>
      <c r="X246">
        <v>35935.507660000003</v>
      </c>
      <c r="Y246">
        <v>28633901.162</v>
      </c>
    </row>
    <row r="247" spans="1:25" x14ac:dyDescent="0.55000000000000004">
      <c r="A247">
        <v>245</v>
      </c>
      <c r="B247" t="s">
        <v>20</v>
      </c>
      <c r="C247">
        <v>19</v>
      </c>
      <c r="D247">
        <v>7</v>
      </c>
      <c r="E247" t="s">
        <v>55</v>
      </c>
      <c r="F247" t="s">
        <v>56</v>
      </c>
      <c r="G247">
        <v>21</v>
      </c>
      <c r="H247">
        <v>2</v>
      </c>
      <c r="I247">
        <v>21070000</v>
      </c>
      <c r="J247">
        <v>307</v>
      </c>
      <c r="K247">
        <v>0</v>
      </c>
      <c r="L247">
        <v>13148</v>
      </c>
      <c r="M247">
        <v>12.960724000000001</v>
      </c>
      <c r="N247">
        <v>101.68810000000001</v>
      </c>
      <c r="O247">
        <v>24.139999</v>
      </c>
      <c r="P247">
        <v>0</v>
      </c>
      <c r="Q247">
        <v>0.11</v>
      </c>
      <c r="R247">
        <v>0.39</v>
      </c>
      <c r="S247">
        <v>3.45</v>
      </c>
      <c r="T247">
        <v>4.29</v>
      </c>
      <c r="U247">
        <v>3.13</v>
      </c>
      <c r="V247">
        <v>5.63</v>
      </c>
      <c r="W247">
        <v>0.01</v>
      </c>
      <c r="X247">
        <v>35990.335778000001</v>
      </c>
      <c r="Y247">
        <v>80955682.422600001</v>
      </c>
    </row>
    <row r="248" spans="1:25" x14ac:dyDescent="0.55000000000000004">
      <c r="A248">
        <v>246</v>
      </c>
      <c r="B248" t="s">
        <v>20</v>
      </c>
      <c r="C248">
        <v>19</v>
      </c>
      <c r="D248">
        <v>7</v>
      </c>
      <c r="E248" t="s">
        <v>55</v>
      </c>
      <c r="F248" t="s">
        <v>56</v>
      </c>
      <c r="G248">
        <v>21</v>
      </c>
      <c r="H248">
        <v>2</v>
      </c>
      <c r="I248">
        <v>21070000</v>
      </c>
      <c r="J248">
        <v>308</v>
      </c>
      <c r="K248">
        <v>0</v>
      </c>
      <c r="L248">
        <v>13029</v>
      </c>
      <c r="M248">
        <v>12.8797</v>
      </c>
      <c r="N248">
        <v>101.77124000000001</v>
      </c>
      <c r="O248">
        <v>7.76</v>
      </c>
      <c r="P248">
        <v>0</v>
      </c>
      <c r="Q248">
        <v>0.36</v>
      </c>
      <c r="R248">
        <v>7.84</v>
      </c>
      <c r="S248">
        <v>4.29</v>
      </c>
      <c r="T248">
        <v>10.71</v>
      </c>
      <c r="U248">
        <v>2.85</v>
      </c>
      <c r="V248">
        <v>10.83</v>
      </c>
      <c r="W248">
        <v>0.12</v>
      </c>
      <c r="X248">
        <v>33133.061716999997</v>
      </c>
      <c r="Y248">
        <v>51199297.290600002</v>
      </c>
    </row>
    <row r="249" spans="1:25" x14ac:dyDescent="0.55000000000000004">
      <c r="A249">
        <v>247</v>
      </c>
      <c r="B249" t="s">
        <v>20</v>
      </c>
      <c r="C249">
        <v>19</v>
      </c>
      <c r="D249">
        <v>7</v>
      </c>
      <c r="E249" t="s">
        <v>55</v>
      </c>
      <c r="F249" t="s">
        <v>56</v>
      </c>
      <c r="G249">
        <v>21</v>
      </c>
      <c r="H249">
        <v>2</v>
      </c>
      <c r="I249">
        <v>21070000</v>
      </c>
      <c r="J249">
        <v>309</v>
      </c>
      <c r="K249">
        <v>0</v>
      </c>
      <c r="L249">
        <v>13269</v>
      </c>
      <c r="M249">
        <v>13.041733000000001</v>
      </c>
      <c r="N249">
        <v>101.77124000000001</v>
      </c>
      <c r="O249">
        <v>27.299999</v>
      </c>
      <c r="P249">
        <v>0.04</v>
      </c>
      <c r="Q249">
        <v>0.06</v>
      </c>
      <c r="R249">
        <v>0.13</v>
      </c>
      <c r="S249">
        <v>99.449996999999996</v>
      </c>
      <c r="T249">
        <v>5.0199999999999996</v>
      </c>
      <c r="U249">
        <v>5.19</v>
      </c>
      <c r="V249">
        <v>0.5</v>
      </c>
      <c r="W249">
        <v>0</v>
      </c>
      <c r="X249">
        <v>16574.565480000001</v>
      </c>
      <c r="Y249">
        <v>12080348.01</v>
      </c>
    </row>
    <row r="250" spans="1:25" x14ac:dyDescent="0.55000000000000004">
      <c r="A250">
        <v>248</v>
      </c>
      <c r="B250" t="s">
        <v>20</v>
      </c>
      <c r="C250">
        <v>19</v>
      </c>
      <c r="D250">
        <v>7</v>
      </c>
      <c r="E250" t="s">
        <v>55</v>
      </c>
      <c r="F250" t="s">
        <v>56</v>
      </c>
      <c r="G250">
        <v>21</v>
      </c>
      <c r="H250">
        <v>2</v>
      </c>
      <c r="I250">
        <v>21070000</v>
      </c>
      <c r="J250">
        <v>310</v>
      </c>
      <c r="K250">
        <v>0</v>
      </c>
      <c r="L250">
        <v>13268</v>
      </c>
      <c r="M250">
        <v>13.041733000000001</v>
      </c>
      <c r="N250">
        <v>101.68810000000001</v>
      </c>
      <c r="O250">
        <v>29.49</v>
      </c>
      <c r="P250">
        <v>0.12</v>
      </c>
      <c r="Q250">
        <v>0.12</v>
      </c>
      <c r="R250">
        <v>7.0000000000000007E-2</v>
      </c>
      <c r="S250">
        <v>76.029999000000004</v>
      </c>
      <c r="T250">
        <v>6.3</v>
      </c>
      <c r="U250">
        <v>16.16</v>
      </c>
      <c r="V250">
        <v>0.04</v>
      </c>
      <c r="W250">
        <v>0</v>
      </c>
      <c r="X250">
        <v>35381.390383999998</v>
      </c>
      <c r="Y250">
        <v>68214121.098399997</v>
      </c>
    </row>
    <row r="251" spans="1:25" x14ac:dyDescent="0.55000000000000004">
      <c r="A251">
        <v>249</v>
      </c>
      <c r="B251" t="s">
        <v>20</v>
      </c>
      <c r="C251">
        <v>19</v>
      </c>
      <c r="D251">
        <v>7</v>
      </c>
      <c r="E251" t="s">
        <v>55</v>
      </c>
      <c r="F251" t="s">
        <v>56</v>
      </c>
      <c r="G251">
        <v>21</v>
      </c>
      <c r="H251">
        <v>2</v>
      </c>
      <c r="I251">
        <v>21070000</v>
      </c>
      <c r="J251">
        <v>754</v>
      </c>
      <c r="K251">
        <v>0</v>
      </c>
      <c r="L251">
        <v>13387</v>
      </c>
      <c r="M251">
        <v>13.122719</v>
      </c>
      <c r="N251">
        <v>101.60496500000001</v>
      </c>
      <c r="O251">
        <v>4.76</v>
      </c>
      <c r="P251">
        <v>0</v>
      </c>
      <c r="Q251">
        <v>0.18</v>
      </c>
      <c r="R251">
        <v>0.41</v>
      </c>
      <c r="S251">
        <v>17.709999</v>
      </c>
      <c r="T251">
        <v>5.65</v>
      </c>
      <c r="U251">
        <v>7.1</v>
      </c>
      <c r="V251">
        <v>2.09</v>
      </c>
      <c r="W251">
        <v>1.71</v>
      </c>
      <c r="X251">
        <v>30241.543043999998</v>
      </c>
      <c r="Y251">
        <v>45498173.673</v>
      </c>
    </row>
    <row r="252" spans="1:25" x14ac:dyDescent="0.55000000000000004">
      <c r="A252">
        <v>250</v>
      </c>
      <c r="B252" t="s">
        <v>20</v>
      </c>
      <c r="C252">
        <v>19</v>
      </c>
      <c r="D252">
        <v>7</v>
      </c>
      <c r="E252" t="s">
        <v>55</v>
      </c>
      <c r="F252" t="s">
        <v>56</v>
      </c>
      <c r="G252">
        <v>21</v>
      </c>
      <c r="H252">
        <v>2</v>
      </c>
      <c r="I252">
        <v>21070000</v>
      </c>
      <c r="J252">
        <v>755</v>
      </c>
      <c r="K252">
        <v>0</v>
      </c>
      <c r="L252">
        <v>13388</v>
      </c>
      <c r="M252">
        <v>13.122719</v>
      </c>
      <c r="N252">
        <v>101.68810000000001</v>
      </c>
      <c r="O252">
        <v>11.11</v>
      </c>
      <c r="P252">
        <v>0.39</v>
      </c>
      <c r="Q252">
        <v>0.03</v>
      </c>
      <c r="R252">
        <v>0.1</v>
      </c>
      <c r="S252">
        <v>15.51</v>
      </c>
      <c r="T252">
        <v>19.079999999999998</v>
      </c>
      <c r="U252">
        <v>8.93</v>
      </c>
      <c r="V252">
        <v>0.32</v>
      </c>
      <c r="W252">
        <v>0.18</v>
      </c>
      <c r="X252">
        <v>30501.406833000001</v>
      </c>
      <c r="Y252">
        <v>39782281.053199999</v>
      </c>
    </row>
    <row r="253" spans="1:25" x14ac:dyDescent="0.55000000000000004">
      <c r="A253">
        <v>251</v>
      </c>
      <c r="B253" t="s">
        <v>20</v>
      </c>
      <c r="C253">
        <v>19</v>
      </c>
      <c r="D253">
        <v>7</v>
      </c>
      <c r="E253" t="s">
        <v>55</v>
      </c>
      <c r="F253" t="s">
        <v>56</v>
      </c>
      <c r="G253">
        <v>21</v>
      </c>
      <c r="H253">
        <v>2</v>
      </c>
      <c r="I253">
        <v>21070000</v>
      </c>
      <c r="J253">
        <v>758</v>
      </c>
      <c r="K253">
        <v>0</v>
      </c>
      <c r="L253">
        <v>13508</v>
      </c>
      <c r="M253">
        <v>13.203666999999999</v>
      </c>
      <c r="N253">
        <v>101.68810000000001</v>
      </c>
      <c r="O253">
        <v>7.24</v>
      </c>
      <c r="P253">
        <v>0.11</v>
      </c>
      <c r="Q253">
        <v>0.27</v>
      </c>
      <c r="R253">
        <v>0.15</v>
      </c>
      <c r="S253">
        <v>34.200001</v>
      </c>
      <c r="T253">
        <v>43.549999</v>
      </c>
      <c r="U253">
        <v>12.57</v>
      </c>
      <c r="V253">
        <v>6.21</v>
      </c>
      <c r="W253">
        <v>0.05</v>
      </c>
      <c r="X253">
        <v>182.427301</v>
      </c>
      <c r="Y253">
        <v>1732.397489</v>
      </c>
    </row>
    <row r="254" spans="1:25" x14ac:dyDescent="0.55000000000000004">
      <c r="A254">
        <v>252</v>
      </c>
      <c r="B254" t="s">
        <v>20</v>
      </c>
      <c r="C254">
        <v>20</v>
      </c>
      <c r="D254">
        <v>8</v>
      </c>
      <c r="E254" t="s">
        <v>57</v>
      </c>
      <c r="F254" t="s">
        <v>58</v>
      </c>
      <c r="G254">
        <v>21</v>
      </c>
      <c r="H254">
        <v>2</v>
      </c>
      <c r="I254">
        <v>21080000</v>
      </c>
      <c r="J254">
        <v>211</v>
      </c>
      <c r="K254">
        <v>0</v>
      </c>
      <c r="L254">
        <v>12901</v>
      </c>
      <c r="M254">
        <v>12.798636999999999</v>
      </c>
      <c r="N254">
        <v>101.10615</v>
      </c>
      <c r="O254">
        <v>0.01</v>
      </c>
      <c r="P254">
        <v>0.1</v>
      </c>
      <c r="Q254">
        <v>0</v>
      </c>
      <c r="R254">
        <v>0.05</v>
      </c>
      <c r="S254">
        <v>5.25</v>
      </c>
      <c r="T254">
        <v>13.88</v>
      </c>
      <c r="U254">
        <v>7.12</v>
      </c>
      <c r="V254">
        <v>22.43</v>
      </c>
      <c r="W254">
        <v>0.99</v>
      </c>
      <c r="X254">
        <v>29651.346878</v>
      </c>
      <c r="Y254">
        <v>30949254.239599999</v>
      </c>
    </row>
    <row r="255" spans="1:25" x14ac:dyDescent="0.55000000000000004">
      <c r="A255">
        <v>253</v>
      </c>
      <c r="B255" t="s">
        <v>20</v>
      </c>
      <c r="C255">
        <v>20</v>
      </c>
      <c r="D255">
        <v>8</v>
      </c>
      <c r="E255" t="s">
        <v>57</v>
      </c>
      <c r="F255" t="s">
        <v>58</v>
      </c>
      <c r="G255">
        <v>21</v>
      </c>
      <c r="H255">
        <v>2</v>
      </c>
      <c r="I255">
        <v>21080000</v>
      </c>
      <c r="J255">
        <v>218</v>
      </c>
      <c r="K255">
        <v>0</v>
      </c>
      <c r="L255">
        <v>12900</v>
      </c>
      <c r="M255">
        <v>12.798636999999999</v>
      </c>
      <c r="N255">
        <v>101.02302</v>
      </c>
      <c r="O255">
        <v>0</v>
      </c>
      <c r="P255">
        <v>7.98</v>
      </c>
      <c r="Q255">
        <v>0.14000000000000001</v>
      </c>
      <c r="R255">
        <v>0.01</v>
      </c>
      <c r="S255">
        <v>1.87</v>
      </c>
      <c r="T255">
        <v>88.580001999999993</v>
      </c>
      <c r="U255">
        <v>14.2</v>
      </c>
      <c r="V255">
        <v>21.92</v>
      </c>
      <c r="W255">
        <v>7.95</v>
      </c>
      <c r="X255">
        <v>8314.6304130000008</v>
      </c>
      <c r="Y255">
        <v>1803396.59005</v>
      </c>
    </row>
    <row r="256" spans="1:25" x14ac:dyDescent="0.55000000000000004">
      <c r="A256">
        <v>254</v>
      </c>
      <c r="B256" t="s">
        <v>20</v>
      </c>
      <c r="C256">
        <v>20</v>
      </c>
      <c r="D256">
        <v>8</v>
      </c>
      <c r="E256" t="s">
        <v>57</v>
      </c>
      <c r="F256" t="s">
        <v>58</v>
      </c>
      <c r="G256">
        <v>21</v>
      </c>
      <c r="H256">
        <v>2</v>
      </c>
      <c r="I256">
        <v>21080000</v>
      </c>
      <c r="J256">
        <v>223</v>
      </c>
      <c r="K256">
        <v>0</v>
      </c>
      <c r="L256">
        <v>13020</v>
      </c>
      <c r="M256">
        <v>12.8797</v>
      </c>
      <c r="N256">
        <v>101.02302</v>
      </c>
      <c r="O256">
        <v>0.05</v>
      </c>
      <c r="P256">
        <v>0.23</v>
      </c>
      <c r="Q256">
        <v>0.15</v>
      </c>
      <c r="R256">
        <v>0.04</v>
      </c>
      <c r="S256">
        <v>3.58</v>
      </c>
      <c r="T256">
        <v>27.25</v>
      </c>
      <c r="U256">
        <v>8.32</v>
      </c>
      <c r="V256">
        <v>24.030000999999999</v>
      </c>
      <c r="W256">
        <v>8.8800000000000008</v>
      </c>
      <c r="X256">
        <v>4657.5701959999997</v>
      </c>
      <c r="Y256">
        <v>380505.245222</v>
      </c>
    </row>
    <row r="257" spans="1:25" x14ac:dyDescent="0.55000000000000004">
      <c r="A257">
        <v>255</v>
      </c>
      <c r="B257" t="s">
        <v>20</v>
      </c>
      <c r="C257">
        <v>20</v>
      </c>
      <c r="D257">
        <v>8</v>
      </c>
      <c r="E257" t="s">
        <v>57</v>
      </c>
      <c r="F257" t="s">
        <v>58</v>
      </c>
      <c r="G257">
        <v>21</v>
      </c>
      <c r="H257">
        <v>2</v>
      </c>
      <c r="I257">
        <v>21080000</v>
      </c>
      <c r="J257">
        <v>224</v>
      </c>
      <c r="K257">
        <v>0</v>
      </c>
      <c r="L257">
        <v>13141</v>
      </c>
      <c r="M257">
        <v>12.960724000000001</v>
      </c>
      <c r="N257">
        <v>101.10615</v>
      </c>
      <c r="O257">
        <v>0.11</v>
      </c>
      <c r="P257">
        <v>0.09</v>
      </c>
      <c r="Q257">
        <v>0.11</v>
      </c>
      <c r="R257">
        <v>0.02</v>
      </c>
      <c r="S257">
        <v>0.24</v>
      </c>
      <c r="T257">
        <v>46.040000999999997</v>
      </c>
      <c r="U257">
        <v>3.41</v>
      </c>
      <c r="V257">
        <v>28.25</v>
      </c>
      <c r="W257">
        <v>2.17</v>
      </c>
      <c r="X257">
        <v>15938.993302999999</v>
      </c>
      <c r="Y257">
        <v>7270542.9811100001</v>
      </c>
    </row>
    <row r="258" spans="1:25" x14ac:dyDescent="0.55000000000000004">
      <c r="A258">
        <v>256</v>
      </c>
      <c r="B258" t="s">
        <v>20</v>
      </c>
      <c r="C258">
        <v>20</v>
      </c>
      <c r="D258">
        <v>8</v>
      </c>
      <c r="E258" t="s">
        <v>57</v>
      </c>
      <c r="F258" t="s">
        <v>58</v>
      </c>
      <c r="G258">
        <v>21</v>
      </c>
      <c r="H258">
        <v>2</v>
      </c>
      <c r="I258">
        <v>21080000</v>
      </c>
      <c r="J258">
        <v>226</v>
      </c>
      <c r="K258">
        <v>0</v>
      </c>
      <c r="L258">
        <v>13021</v>
      </c>
      <c r="M258">
        <v>12.8797</v>
      </c>
      <c r="N258">
        <v>101.10615</v>
      </c>
      <c r="O258">
        <v>7.0000000000000007E-2</v>
      </c>
      <c r="P258">
        <v>0.01</v>
      </c>
      <c r="Q258">
        <v>0</v>
      </c>
      <c r="R258">
        <v>1.1000000000000001</v>
      </c>
      <c r="S258">
        <v>3.27</v>
      </c>
      <c r="T258">
        <v>24.68</v>
      </c>
      <c r="U258">
        <v>36.240001999999997</v>
      </c>
      <c r="V258">
        <v>10.33</v>
      </c>
      <c r="W258">
        <v>5.99</v>
      </c>
      <c r="X258">
        <v>34705.406583000004</v>
      </c>
      <c r="Y258">
        <v>72784876.605399996</v>
      </c>
    </row>
    <row r="259" spans="1:25" x14ac:dyDescent="0.55000000000000004">
      <c r="A259">
        <v>257</v>
      </c>
      <c r="B259" t="s">
        <v>20</v>
      </c>
      <c r="C259">
        <v>20</v>
      </c>
      <c r="D259">
        <v>8</v>
      </c>
      <c r="E259" t="s">
        <v>57</v>
      </c>
      <c r="F259" t="s">
        <v>58</v>
      </c>
      <c r="G259">
        <v>21</v>
      </c>
      <c r="H259">
        <v>2</v>
      </c>
      <c r="I259">
        <v>21080000</v>
      </c>
      <c r="J259">
        <v>270</v>
      </c>
      <c r="K259">
        <v>0</v>
      </c>
      <c r="L259">
        <v>12783</v>
      </c>
      <c r="M259">
        <v>12.717560000000001</v>
      </c>
      <c r="N259">
        <v>101.27242</v>
      </c>
      <c r="O259">
        <v>0.2</v>
      </c>
      <c r="P259">
        <v>5.66</v>
      </c>
      <c r="Q259">
        <v>0.28000000000000003</v>
      </c>
      <c r="R259">
        <v>20.530000999999999</v>
      </c>
      <c r="S259">
        <v>21.32</v>
      </c>
      <c r="T259">
        <v>7.22</v>
      </c>
      <c r="U259">
        <v>5.61</v>
      </c>
      <c r="V259">
        <v>56.59</v>
      </c>
      <c r="W259">
        <v>11.67</v>
      </c>
      <c r="X259">
        <v>4192.5523999999996</v>
      </c>
      <c r="Y259">
        <v>1026971.0310899999</v>
      </c>
    </row>
    <row r="260" spans="1:25" x14ac:dyDescent="0.55000000000000004">
      <c r="A260">
        <v>258</v>
      </c>
      <c r="B260" t="s">
        <v>20</v>
      </c>
      <c r="C260">
        <v>20</v>
      </c>
      <c r="D260">
        <v>8</v>
      </c>
      <c r="E260" t="s">
        <v>57</v>
      </c>
      <c r="F260" t="s">
        <v>58</v>
      </c>
      <c r="G260">
        <v>21</v>
      </c>
      <c r="H260">
        <v>2</v>
      </c>
      <c r="I260">
        <v>21080000</v>
      </c>
      <c r="J260">
        <v>271</v>
      </c>
      <c r="K260">
        <v>0</v>
      </c>
      <c r="L260">
        <v>12902</v>
      </c>
      <c r="M260">
        <v>12.798636999999999</v>
      </c>
      <c r="N260">
        <v>101.189285</v>
      </c>
      <c r="O260">
        <v>0.01</v>
      </c>
      <c r="P260">
        <v>0.13</v>
      </c>
      <c r="Q260">
        <v>0.27</v>
      </c>
      <c r="R260">
        <v>0.36</v>
      </c>
      <c r="S260">
        <v>38.709999000000003</v>
      </c>
      <c r="T260">
        <v>7.87</v>
      </c>
      <c r="U260">
        <v>6.24</v>
      </c>
      <c r="V260">
        <v>26.75</v>
      </c>
      <c r="W260">
        <v>0.01</v>
      </c>
      <c r="X260">
        <v>36234.783080000001</v>
      </c>
      <c r="Y260">
        <v>67917120.464900002</v>
      </c>
    </row>
    <row r="261" spans="1:25" x14ac:dyDescent="0.55000000000000004">
      <c r="A261">
        <v>259</v>
      </c>
      <c r="B261" t="s">
        <v>20</v>
      </c>
      <c r="C261">
        <v>20</v>
      </c>
      <c r="D261">
        <v>8</v>
      </c>
      <c r="E261" t="s">
        <v>57</v>
      </c>
      <c r="F261" t="s">
        <v>58</v>
      </c>
      <c r="G261">
        <v>21</v>
      </c>
      <c r="H261">
        <v>2</v>
      </c>
      <c r="I261">
        <v>21080000</v>
      </c>
      <c r="J261">
        <v>273</v>
      </c>
      <c r="K261">
        <v>0</v>
      </c>
      <c r="L261">
        <v>13022</v>
      </c>
      <c r="M261">
        <v>12.8797</v>
      </c>
      <c r="N261">
        <v>101.189285</v>
      </c>
      <c r="O261">
        <v>0</v>
      </c>
      <c r="P261">
        <v>0.12</v>
      </c>
      <c r="Q261">
        <v>0</v>
      </c>
      <c r="R261">
        <v>0.65</v>
      </c>
      <c r="S261">
        <v>7.99</v>
      </c>
      <c r="T261">
        <v>53.490001999999997</v>
      </c>
      <c r="U261">
        <v>33.259998000000003</v>
      </c>
      <c r="V261">
        <v>10.199999999999999</v>
      </c>
      <c r="W261">
        <v>0.03</v>
      </c>
      <c r="X261">
        <v>39090.990998000001</v>
      </c>
      <c r="Y261">
        <v>45970552.156099997</v>
      </c>
    </row>
    <row r="262" spans="1:25" x14ac:dyDescent="0.55000000000000004">
      <c r="A262">
        <v>260</v>
      </c>
      <c r="B262" t="s">
        <v>20</v>
      </c>
      <c r="C262">
        <v>20</v>
      </c>
      <c r="D262">
        <v>8</v>
      </c>
      <c r="E262" t="s">
        <v>57</v>
      </c>
      <c r="F262" t="s">
        <v>58</v>
      </c>
      <c r="G262">
        <v>21</v>
      </c>
      <c r="H262">
        <v>2</v>
      </c>
      <c r="I262">
        <v>21080000</v>
      </c>
      <c r="J262">
        <v>274</v>
      </c>
      <c r="K262">
        <v>0</v>
      </c>
      <c r="L262">
        <v>12903</v>
      </c>
      <c r="M262">
        <v>12.798636999999999</v>
      </c>
      <c r="N262">
        <v>101.27242</v>
      </c>
      <c r="O262">
        <v>0</v>
      </c>
      <c r="P262">
        <v>5.74</v>
      </c>
      <c r="Q262">
        <v>14.41</v>
      </c>
      <c r="R262">
        <v>6.87</v>
      </c>
      <c r="S262">
        <v>5.4</v>
      </c>
      <c r="T262">
        <v>2.44</v>
      </c>
      <c r="U262">
        <v>5.55</v>
      </c>
      <c r="V262">
        <v>30.98</v>
      </c>
      <c r="W262">
        <v>0.06</v>
      </c>
      <c r="X262">
        <v>4655.3940780000003</v>
      </c>
      <c r="Y262">
        <v>926225.31449400005</v>
      </c>
    </row>
    <row r="263" spans="1:25" x14ac:dyDescent="0.55000000000000004">
      <c r="A263">
        <v>261</v>
      </c>
      <c r="B263" t="s">
        <v>20</v>
      </c>
      <c r="C263">
        <v>20</v>
      </c>
      <c r="D263">
        <v>8</v>
      </c>
      <c r="E263" t="s">
        <v>57</v>
      </c>
      <c r="F263" t="s">
        <v>58</v>
      </c>
      <c r="G263">
        <v>21</v>
      </c>
      <c r="H263">
        <v>2</v>
      </c>
      <c r="I263">
        <v>21080000</v>
      </c>
      <c r="J263">
        <v>276</v>
      </c>
      <c r="K263">
        <v>0</v>
      </c>
      <c r="L263">
        <v>13142</v>
      </c>
      <c r="M263">
        <v>12.960724000000001</v>
      </c>
      <c r="N263">
        <v>101.189285</v>
      </c>
      <c r="O263">
        <v>0.36</v>
      </c>
      <c r="P263">
        <v>0.01</v>
      </c>
      <c r="Q263">
        <v>0</v>
      </c>
      <c r="R263">
        <v>0</v>
      </c>
      <c r="S263">
        <v>2.86</v>
      </c>
      <c r="T263">
        <v>31.66</v>
      </c>
      <c r="U263">
        <v>7.71</v>
      </c>
      <c r="V263">
        <v>4.55</v>
      </c>
      <c r="W263">
        <v>1.32</v>
      </c>
      <c r="X263">
        <v>3488.5500820000002</v>
      </c>
      <c r="Y263">
        <v>602034.89559199999</v>
      </c>
    </row>
    <row r="264" spans="1:25" x14ac:dyDescent="0.55000000000000004">
      <c r="A264">
        <v>262</v>
      </c>
      <c r="B264" t="s">
        <v>20</v>
      </c>
      <c r="C264">
        <v>20</v>
      </c>
      <c r="D264">
        <v>8</v>
      </c>
      <c r="E264" t="s">
        <v>57</v>
      </c>
      <c r="F264" t="s">
        <v>58</v>
      </c>
      <c r="G264">
        <v>21</v>
      </c>
      <c r="H264">
        <v>2</v>
      </c>
      <c r="I264">
        <v>21080000</v>
      </c>
      <c r="J264">
        <v>291</v>
      </c>
      <c r="K264">
        <v>0</v>
      </c>
      <c r="L264">
        <v>12782</v>
      </c>
      <c r="M264">
        <v>12.717560000000001</v>
      </c>
      <c r="N264">
        <v>101.189285</v>
      </c>
      <c r="O264">
        <v>0.15</v>
      </c>
      <c r="P264">
        <v>3.69</v>
      </c>
      <c r="Q264">
        <v>2.58</v>
      </c>
      <c r="R264">
        <v>7.7</v>
      </c>
      <c r="S264">
        <v>74.230002999999996</v>
      </c>
      <c r="T264">
        <v>26.700001</v>
      </c>
      <c r="U264">
        <v>16.18</v>
      </c>
      <c r="V264">
        <v>39.130001</v>
      </c>
      <c r="W264">
        <v>4.7</v>
      </c>
      <c r="X264">
        <v>14916.455475999999</v>
      </c>
      <c r="Y264">
        <v>6386344.5045600003</v>
      </c>
    </row>
    <row r="265" spans="1:25" x14ac:dyDescent="0.55000000000000004">
      <c r="A265">
        <v>263</v>
      </c>
      <c r="B265" t="s">
        <v>20</v>
      </c>
      <c r="C265">
        <v>21</v>
      </c>
      <c r="D265">
        <v>1</v>
      </c>
      <c r="E265" t="s">
        <v>59</v>
      </c>
      <c r="F265" t="s">
        <v>60</v>
      </c>
      <c r="G265">
        <v>22</v>
      </c>
      <c r="H265">
        <v>2</v>
      </c>
      <c r="I265">
        <v>22010000</v>
      </c>
      <c r="J265">
        <v>495</v>
      </c>
      <c r="K265">
        <v>0</v>
      </c>
      <c r="L265">
        <v>12552</v>
      </c>
      <c r="M265">
        <v>12.555313</v>
      </c>
      <c r="N265">
        <v>102.020645</v>
      </c>
      <c r="O265">
        <v>0.22</v>
      </c>
      <c r="P265">
        <v>0.06</v>
      </c>
      <c r="Q265">
        <v>0.04</v>
      </c>
      <c r="R265">
        <v>0.42</v>
      </c>
      <c r="S265">
        <v>4.2699999999999996</v>
      </c>
      <c r="T265">
        <v>10.82</v>
      </c>
      <c r="U265">
        <v>26.82</v>
      </c>
      <c r="V265">
        <v>4.8600000000000003</v>
      </c>
      <c r="W265">
        <v>7.78</v>
      </c>
      <c r="X265">
        <v>24265.268478000002</v>
      </c>
      <c r="Y265">
        <v>20277261.714499999</v>
      </c>
    </row>
    <row r="266" spans="1:25" x14ac:dyDescent="0.55000000000000004">
      <c r="A266">
        <v>264</v>
      </c>
      <c r="B266" t="s">
        <v>20</v>
      </c>
      <c r="C266">
        <v>21</v>
      </c>
      <c r="D266">
        <v>1</v>
      </c>
      <c r="E266" t="s">
        <v>59</v>
      </c>
      <c r="F266" t="s">
        <v>60</v>
      </c>
      <c r="G266">
        <v>22</v>
      </c>
      <c r="H266">
        <v>2</v>
      </c>
      <c r="I266">
        <v>22010000</v>
      </c>
      <c r="J266">
        <v>500</v>
      </c>
      <c r="K266">
        <v>0</v>
      </c>
      <c r="L266">
        <v>12672</v>
      </c>
      <c r="M266">
        <v>12.636443999999999</v>
      </c>
      <c r="N266">
        <v>102.020645</v>
      </c>
      <c r="O266">
        <v>4.21</v>
      </c>
      <c r="P266">
        <v>0.06</v>
      </c>
      <c r="Q266">
        <v>0.09</v>
      </c>
      <c r="R266">
        <v>4.38</v>
      </c>
      <c r="S266">
        <v>1.21</v>
      </c>
      <c r="T266">
        <v>2.69</v>
      </c>
      <c r="U266">
        <v>16.170000000000002</v>
      </c>
      <c r="V266">
        <v>24.790001</v>
      </c>
      <c r="W266">
        <v>7.83</v>
      </c>
      <c r="X266">
        <v>5051.7287729999998</v>
      </c>
      <c r="Y266">
        <v>815611.27054299996</v>
      </c>
    </row>
    <row r="267" spans="1:25" x14ac:dyDescent="0.55000000000000004">
      <c r="A267">
        <v>265</v>
      </c>
      <c r="B267" t="s">
        <v>20</v>
      </c>
      <c r="C267">
        <v>21</v>
      </c>
      <c r="D267">
        <v>1</v>
      </c>
      <c r="E267" t="s">
        <v>59</v>
      </c>
      <c r="F267" t="s">
        <v>60</v>
      </c>
      <c r="G267">
        <v>22</v>
      </c>
      <c r="H267">
        <v>2</v>
      </c>
      <c r="I267">
        <v>22010000</v>
      </c>
      <c r="J267">
        <v>501</v>
      </c>
      <c r="K267">
        <v>0</v>
      </c>
      <c r="L267">
        <v>12553</v>
      </c>
      <c r="M267">
        <v>12.555313</v>
      </c>
      <c r="N267">
        <v>102.10378</v>
      </c>
      <c r="O267">
        <v>0.03</v>
      </c>
      <c r="P267">
        <v>0</v>
      </c>
      <c r="Q267">
        <v>0.05</v>
      </c>
      <c r="R267">
        <v>3.67</v>
      </c>
      <c r="S267">
        <v>7.96</v>
      </c>
      <c r="T267">
        <v>10</v>
      </c>
      <c r="U267">
        <v>26.879999000000002</v>
      </c>
      <c r="V267">
        <v>5.94</v>
      </c>
      <c r="W267">
        <v>2.73</v>
      </c>
      <c r="X267">
        <v>37371.646317999999</v>
      </c>
      <c r="Y267">
        <v>73445605.965900004</v>
      </c>
    </row>
    <row r="268" spans="1:25" x14ac:dyDescent="0.55000000000000004">
      <c r="A268">
        <v>266</v>
      </c>
      <c r="B268" t="s">
        <v>20</v>
      </c>
      <c r="C268">
        <v>21</v>
      </c>
      <c r="D268">
        <v>1</v>
      </c>
      <c r="E268" t="s">
        <v>59</v>
      </c>
      <c r="F268" t="s">
        <v>60</v>
      </c>
      <c r="G268">
        <v>22</v>
      </c>
      <c r="H268">
        <v>2</v>
      </c>
      <c r="I268">
        <v>22010000</v>
      </c>
      <c r="J268">
        <v>502</v>
      </c>
      <c r="K268">
        <v>0</v>
      </c>
      <c r="L268">
        <v>12433</v>
      </c>
      <c r="M268">
        <v>12.474159</v>
      </c>
      <c r="N268">
        <v>102.10378</v>
      </c>
      <c r="O268">
        <v>0.08</v>
      </c>
      <c r="P268">
        <v>0.26</v>
      </c>
      <c r="Q268">
        <v>0.13</v>
      </c>
      <c r="R268">
        <v>0.52</v>
      </c>
      <c r="S268">
        <v>35.990001999999997</v>
      </c>
      <c r="T268">
        <v>0.97</v>
      </c>
      <c r="U268">
        <v>13.03</v>
      </c>
      <c r="V268">
        <v>5.34</v>
      </c>
      <c r="W268">
        <v>7.63</v>
      </c>
      <c r="X268">
        <v>2497.4531999999999</v>
      </c>
      <c r="Y268">
        <v>243298.07498500001</v>
      </c>
    </row>
    <row r="269" spans="1:25" x14ac:dyDescent="0.55000000000000004">
      <c r="A269">
        <v>267</v>
      </c>
      <c r="B269" t="s">
        <v>20</v>
      </c>
      <c r="C269">
        <v>21</v>
      </c>
      <c r="D269">
        <v>1</v>
      </c>
      <c r="E269" t="s">
        <v>59</v>
      </c>
      <c r="F269" t="s">
        <v>60</v>
      </c>
      <c r="G269">
        <v>22</v>
      </c>
      <c r="H269">
        <v>2</v>
      </c>
      <c r="I269">
        <v>22010000</v>
      </c>
      <c r="J269">
        <v>503</v>
      </c>
      <c r="K269">
        <v>0</v>
      </c>
      <c r="L269">
        <v>12674</v>
      </c>
      <c r="M269">
        <v>12.636443999999999</v>
      </c>
      <c r="N269">
        <v>102.18692</v>
      </c>
      <c r="O269">
        <v>1.7</v>
      </c>
      <c r="P269">
        <v>11.62</v>
      </c>
      <c r="Q269">
        <v>0.92</v>
      </c>
      <c r="R269">
        <v>3.09</v>
      </c>
      <c r="S269">
        <v>3.71</v>
      </c>
      <c r="T269">
        <v>1.9</v>
      </c>
      <c r="U269">
        <v>12.01</v>
      </c>
      <c r="V269">
        <v>4.4000000000000004</v>
      </c>
      <c r="W269">
        <v>3.28</v>
      </c>
      <c r="X269">
        <v>22365.570987999999</v>
      </c>
      <c r="Y269">
        <v>20804677.385499999</v>
      </c>
    </row>
    <row r="270" spans="1:25" x14ac:dyDescent="0.55000000000000004">
      <c r="A270">
        <v>268</v>
      </c>
      <c r="B270" t="s">
        <v>20</v>
      </c>
      <c r="C270">
        <v>21</v>
      </c>
      <c r="D270">
        <v>1</v>
      </c>
      <c r="E270" t="s">
        <v>59</v>
      </c>
      <c r="F270" t="s">
        <v>60</v>
      </c>
      <c r="G270">
        <v>22</v>
      </c>
      <c r="H270">
        <v>2</v>
      </c>
      <c r="I270">
        <v>22010000</v>
      </c>
      <c r="J270">
        <v>504</v>
      </c>
      <c r="K270">
        <v>0</v>
      </c>
      <c r="L270">
        <v>12673</v>
      </c>
      <c r="M270">
        <v>12.636443999999999</v>
      </c>
      <c r="N270">
        <v>102.10378</v>
      </c>
      <c r="O270">
        <v>2.1</v>
      </c>
      <c r="P270">
        <v>0.18</v>
      </c>
      <c r="Q270">
        <v>0</v>
      </c>
      <c r="R270">
        <v>5.64</v>
      </c>
      <c r="S270">
        <v>3.69</v>
      </c>
      <c r="T270">
        <v>4.9400000000000004</v>
      </c>
      <c r="U270">
        <v>17.719999000000001</v>
      </c>
      <c r="V270">
        <v>18.59</v>
      </c>
      <c r="W270">
        <v>21.59</v>
      </c>
      <c r="X270">
        <v>40893.536673000002</v>
      </c>
      <c r="Y270">
        <v>73749715.241600007</v>
      </c>
    </row>
    <row r="271" spans="1:25" x14ac:dyDescent="0.55000000000000004">
      <c r="A271">
        <v>269</v>
      </c>
      <c r="B271" t="s">
        <v>20</v>
      </c>
      <c r="C271">
        <v>21</v>
      </c>
      <c r="D271">
        <v>1</v>
      </c>
      <c r="E271" t="s">
        <v>59</v>
      </c>
      <c r="F271" t="s">
        <v>60</v>
      </c>
      <c r="G271">
        <v>22</v>
      </c>
      <c r="H271">
        <v>2</v>
      </c>
      <c r="I271">
        <v>22010000</v>
      </c>
      <c r="J271">
        <v>505</v>
      </c>
      <c r="K271">
        <v>0</v>
      </c>
      <c r="L271">
        <v>12554</v>
      </c>
      <c r="M271">
        <v>12.555313</v>
      </c>
      <c r="N271">
        <v>102.18692</v>
      </c>
      <c r="O271">
        <v>2.08</v>
      </c>
      <c r="P271">
        <v>0.11</v>
      </c>
      <c r="Q271">
        <v>0.01</v>
      </c>
      <c r="R271">
        <v>3.34</v>
      </c>
      <c r="S271">
        <v>0.43</v>
      </c>
      <c r="T271">
        <v>1.39</v>
      </c>
      <c r="U271">
        <v>12.93</v>
      </c>
      <c r="V271">
        <v>9.9700000000000006</v>
      </c>
      <c r="W271">
        <v>8.17</v>
      </c>
      <c r="X271">
        <v>33620.353271</v>
      </c>
      <c r="Y271">
        <v>53920206.689000003</v>
      </c>
    </row>
    <row r="272" spans="1:25" x14ac:dyDescent="0.55000000000000004">
      <c r="A272">
        <v>270</v>
      </c>
      <c r="B272" t="s">
        <v>20</v>
      </c>
      <c r="C272">
        <v>21</v>
      </c>
      <c r="D272">
        <v>1</v>
      </c>
      <c r="E272" t="s">
        <v>59</v>
      </c>
      <c r="F272" t="s">
        <v>60</v>
      </c>
      <c r="G272">
        <v>22</v>
      </c>
      <c r="H272">
        <v>2</v>
      </c>
      <c r="I272">
        <v>22010000</v>
      </c>
      <c r="J272">
        <v>538</v>
      </c>
      <c r="K272">
        <v>0</v>
      </c>
      <c r="L272">
        <v>12793</v>
      </c>
      <c r="M272">
        <v>12.717560000000001</v>
      </c>
      <c r="N272">
        <v>102.10378</v>
      </c>
      <c r="O272">
        <v>23.540001</v>
      </c>
      <c r="P272">
        <v>0.01</v>
      </c>
      <c r="Q272">
        <v>0.01</v>
      </c>
      <c r="R272">
        <v>2.27</v>
      </c>
      <c r="S272">
        <v>0.73</v>
      </c>
      <c r="T272">
        <v>7.64</v>
      </c>
      <c r="U272">
        <v>4.29</v>
      </c>
      <c r="V272">
        <v>0.47</v>
      </c>
      <c r="W272">
        <v>4.49</v>
      </c>
      <c r="X272">
        <v>27072.230145000001</v>
      </c>
      <c r="Y272">
        <v>38974592.1087</v>
      </c>
    </row>
    <row r="273" spans="1:25" x14ac:dyDescent="0.55000000000000004">
      <c r="A273">
        <v>271</v>
      </c>
      <c r="B273" t="s">
        <v>20</v>
      </c>
      <c r="C273">
        <v>22</v>
      </c>
      <c r="D273">
        <v>2</v>
      </c>
      <c r="E273" t="s">
        <v>61</v>
      </c>
      <c r="F273" t="s">
        <v>62</v>
      </c>
      <c r="G273">
        <v>22</v>
      </c>
      <c r="H273">
        <v>2</v>
      </c>
      <c r="I273">
        <v>22020000</v>
      </c>
      <c r="J273">
        <v>438</v>
      </c>
      <c r="K273">
        <v>0</v>
      </c>
      <c r="L273">
        <v>12194</v>
      </c>
      <c r="M273">
        <v>12.311752</v>
      </c>
      <c r="N273">
        <v>102.18692</v>
      </c>
      <c r="O273">
        <v>0.03</v>
      </c>
      <c r="P273">
        <v>0.01</v>
      </c>
      <c r="Q273">
        <v>0.01</v>
      </c>
      <c r="R273">
        <v>0.62</v>
      </c>
      <c r="S273">
        <v>63.91</v>
      </c>
      <c r="T273">
        <v>0</v>
      </c>
      <c r="U273">
        <v>4.51</v>
      </c>
      <c r="V273">
        <v>6.66</v>
      </c>
      <c r="W273">
        <v>24.870000999999998</v>
      </c>
      <c r="X273">
        <v>10419.3927</v>
      </c>
      <c r="Y273">
        <v>5289873.1174299996</v>
      </c>
    </row>
    <row r="274" spans="1:25" x14ac:dyDescent="0.55000000000000004">
      <c r="A274">
        <v>272</v>
      </c>
      <c r="B274" t="s">
        <v>20</v>
      </c>
      <c r="C274">
        <v>22</v>
      </c>
      <c r="D274">
        <v>2</v>
      </c>
      <c r="E274" t="s">
        <v>61</v>
      </c>
      <c r="F274" t="s">
        <v>62</v>
      </c>
      <c r="G274">
        <v>22</v>
      </c>
      <c r="H274">
        <v>2</v>
      </c>
      <c r="I274">
        <v>22020000</v>
      </c>
      <c r="J274">
        <v>497</v>
      </c>
      <c r="K274">
        <v>0</v>
      </c>
      <c r="L274">
        <v>12314</v>
      </c>
      <c r="M274">
        <v>12.392967000000001</v>
      </c>
      <c r="N274">
        <v>102.18692</v>
      </c>
      <c r="O274">
        <v>1.04</v>
      </c>
      <c r="P274">
        <v>0.05</v>
      </c>
      <c r="Q274">
        <v>0</v>
      </c>
      <c r="R274">
        <v>0.35</v>
      </c>
      <c r="S274">
        <v>11.34</v>
      </c>
      <c r="T274">
        <v>7.0000000000000007E-2</v>
      </c>
      <c r="U274">
        <v>9.34</v>
      </c>
      <c r="V274">
        <v>4.3099999999999996</v>
      </c>
      <c r="W274">
        <v>12.96</v>
      </c>
      <c r="X274">
        <v>27560.552436999998</v>
      </c>
      <c r="Y274">
        <v>19589562.028099999</v>
      </c>
    </row>
    <row r="275" spans="1:25" x14ac:dyDescent="0.55000000000000004">
      <c r="A275">
        <v>273</v>
      </c>
      <c r="B275" t="s">
        <v>20</v>
      </c>
      <c r="C275">
        <v>22</v>
      </c>
      <c r="D275">
        <v>2</v>
      </c>
      <c r="E275" t="s">
        <v>61</v>
      </c>
      <c r="F275" t="s">
        <v>62</v>
      </c>
      <c r="G275">
        <v>22</v>
      </c>
      <c r="H275">
        <v>2</v>
      </c>
      <c r="I275">
        <v>22020000</v>
      </c>
      <c r="J275">
        <v>499</v>
      </c>
      <c r="K275">
        <v>0</v>
      </c>
      <c r="L275">
        <v>12434</v>
      </c>
      <c r="M275">
        <v>12.474159</v>
      </c>
      <c r="N275">
        <v>102.18692</v>
      </c>
      <c r="O275">
        <v>4.21</v>
      </c>
      <c r="P275">
        <v>0.06</v>
      </c>
      <c r="Q275">
        <v>0.16</v>
      </c>
      <c r="R275">
        <v>0.14000000000000001</v>
      </c>
      <c r="S275">
        <v>0.92</v>
      </c>
      <c r="T275">
        <v>5.78</v>
      </c>
      <c r="U275">
        <v>10.24</v>
      </c>
      <c r="V275">
        <v>4.34</v>
      </c>
      <c r="W275">
        <v>4.9800000000000004</v>
      </c>
      <c r="X275">
        <v>35223.516895000001</v>
      </c>
      <c r="Y275">
        <v>63262059.803800002</v>
      </c>
    </row>
    <row r="276" spans="1:25" x14ac:dyDescent="0.55000000000000004">
      <c r="A276">
        <v>274</v>
      </c>
      <c r="B276" t="s">
        <v>20</v>
      </c>
      <c r="C276">
        <v>22</v>
      </c>
      <c r="D276">
        <v>2</v>
      </c>
      <c r="E276" t="s">
        <v>61</v>
      </c>
      <c r="F276" t="s">
        <v>62</v>
      </c>
      <c r="G276">
        <v>22</v>
      </c>
      <c r="H276">
        <v>2</v>
      </c>
      <c r="I276">
        <v>22020000</v>
      </c>
      <c r="J276">
        <v>503</v>
      </c>
      <c r="K276">
        <v>0</v>
      </c>
      <c r="L276">
        <v>12674</v>
      </c>
      <c r="M276">
        <v>12.636443999999999</v>
      </c>
      <c r="N276">
        <v>102.18692</v>
      </c>
      <c r="O276">
        <v>1.7</v>
      </c>
      <c r="P276">
        <v>11.62</v>
      </c>
      <c r="Q276">
        <v>0.92</v>
      </c>
      <c r="R276">
        <v>3.09</v>
      </c>
      <c r="S276">
        <v>3.71</v>
      </c>
      <c r="T276">
        <v>1.9</v>
      </c>
      <c r="U276">
        <v>12.01</v>
      </c>
      <c r="V276">
        <v>4.4000000000000004</v>
      </c>
      <c r="W276">
        <v>3.28</v>
      </c>
      <c r="X276">
        <v>3301.5572820000002</v>
      </c>
      <c r="Y276">
        <v>412847.55459700001</v>
      </c>
    </row>
    <row r="277" spans="1:25" x14ac:dyDescent="0.55000000000000004">
      <c r="A277">
        <v>275</v>
      </c>
      <c r="B277" t="s">
        <v>20</v>
      </c>
      <c r="C277">
        <v>22</v>
      </c>
      <c r="D277">
        <v>2</v>
      </c>
      <c r="E277" t="s">
        <v>61</v>
      </c>
      <c r="F277" t="s">
        <v>62</v>
      </c>
      <c r="G277">
        <v>22</v>
      </c>
      <c r="H277">
        <v>2</v>
      </c>
      <c r="I277">
        <v>22020000</v>
      </c>
      <c r="J277">
        <v>505</v>
      </c>
      <c r="K277">
        <v>0</v>
      </c>
      <c r="L277">
        <v>12554</v>
      </c>
      <c r="M277">
        <v>12.555313</v>
      </c>
      <c r="N277">
        <v>102.18692</v>
      </c>
      <c r="O277">
        <v>2.08</v>
      </c>
      <c r="P277">
        <v>0.11</v>
      </c>
      <c r="Q277">
        <v>0.01</v>
      </c>
      <c r="R277">
        <v>3.34</v>
      </c>
      <c r="S277">
        <v>0.43</v>
      </c>
      <c r="T277">
        <v>1.39</v>
      </c>
      <c r="U277">
        <v>12.93</v>
      </c>
      <c r="V277">
        <v>9.9700000000000006</v>
      </c>
      <c r="W277">
        <v>8.17</v>
      </c>
      <c r="X277">
        <v>27927.355028999998</v>
      </c>
      <c r="Y277">
        <v>22009169.8508</v>
      </c>
    </row>
    <row r="278" spans="1:25" x14ac:dyDescent="0.55000000000000004">
      <c r="A278">
        <v>276</v>
      </c>
      <c r="B278" t="s">
        <v>20</v>
      </c>
      <c r="C278">
        <v>22</v>
      </c>
      <c r="D278">
        <v>2</v>
      </c>
      <c r="E278" t="s">
        <v>61</v>
      </c>
      <c r="F278" t="s">
        <v>62</v>
      </c>
      <c r="G278">
        <v>22</v>
      </c>
      <c r="H278">
        <v>2</v>
      </c>
      <c r="I278">
        <v>22020000</v>
      </c>
      <c r="J278">
        <v>506</v>
      </c>
      <c r="K278">
        <v>0</v>
      </c>
      <c r="L278">
        <v>12195</v>
      </c>
      <c r="M278">
        <v>12.311752</v>
      </c>
      <c r="N278">
        <v>102.27006</v>
      </c>
      <c r="O278">
        <v>0.44</v>
      </c>
      <c r="P278">
        <v>0.04</v>
      </c>
      <c r="Q278">
        <v>0.28000000000000003</v>
      </c>
      <c r="R278">
        <v>0.06</v>
      </c>
      <c r="S278">
        <v>1.67</v>
      </c>
      <c r="T278">
        <v>0.26</v>
      </c>
      <c r="U278">
        <v>16.719999000000001</v>
      </c>
      <c r="V278">
        <v>9.58</v>
      </c>
      <c r="W278">
        <v>38.689999</v>
      </c>
      <c r="X278">
        <v>35555.899892000001</v>
      </c>
      <c r="Y278">
        <v>48098375.563500002</v>
      </c>
    </row>
    <row r="279" spans="1:25" x14ac:dyDescent="0.55000000000000004">
      <c r="A279">
        <v>277</v>
      </c>
      <c r="B279" t="s">
        <v>20</v>
      </c>
      <c r="C279">
        <v>22</v>
      </c>
      <c r="D279">
        <v>2</v>
      </c>
      <c r="E279" t="s">
        <v>61</v>
      </c>
      <c r="F279" t="s">
        <v>62</v>
      </c>
      <c r="G279">
        <v>22</v>
      </c>
      <c r="H279">
        <v>2</v>
      </c>
      <c r="I279">
        <v>22020000</v>
      </c>
      <c r="J279">
        <v>507</v>
      </c>
      <c r="K279">
        <v>0</v>
      </c>
      <c r="L279">
        <v>12196</v>
      </c>
      <c r="M279">
        <v>12.311752</v>
      </c>
      <c r="N279">
        <v>102.35319</v>
      </c>
      <c r="O279">
        <v>0.45</v>
      </c>
      <c r="P279">
        <v>0.01</v>
      </c>
      <c r="Q279">
        <v>0.03</v>
      </c>
      <c r="R279">
        <v>0</v>
      </c>
      <c r="S279">
        <v>4.8</v>
      </c>
      <c r="T279">
        <v>1.42</v>
      </c>
      <c r="U279">
        <v>2.83</v>
      </c>
      <c r="V279">
        <v>18.850000000000001</v>
      </c>
      <c r="W279">
        <v>35.279998999999997</v>
      </c>
      <c r="X279">
        <v>16061.882356</v>
      </c>
      <c r="Y279">
        <v>13905701.164000001</v>
      </c>
    </row>
    <row r="280" spans="1:25" x14ac:dyDescent="0.55000000000000004">
      <c r="A280">
        <v>278</v>
      </c>
      <c r="B280" t="s">
        <v>20</v>
      </c>
      <c r="C280">
        <v>22</v>
      </c>
      <c r="D280">
        <v>2</v>
      </c>
      <c r="E280" t="s">
        <v>61</v>
      </c>
      <c r="F280" t="s">
        <v>62</v>
      </c>
      <c r="G280">
        <v>22</v>
      </c>
      <c r="H280">
        <v>2</v>
      </c>
      <c r="I280">
        <v>22020000</v>
      </c>
      <c r="J280">
        <v>508</v>
      </c>
      <c r="K280">
        <v>0</v>
      </c>
      <c r="L280">
        <v>12436</v>
      </c>
      <c r="M280">
        <v>12.474159</v>
      </c>
      <c r="N280">
        <v>102.35319</v>
      </c>
      <c r="O280">
        <v>4.47</v>
      </c>
      <c r="P280">
        <v>0.03</v>
      </c>
      <c r="Q280">
        <v>0.12</v>
      </c>
      <c r="R280">
        <v>0.02</v>
      </c>
      <c r="S280">
        <v>0.2</v>
      </c>
      <c r="T280">
        <v>0.03</v>
      </c>
      <c r="U280">
        <v>3.87</v>
      </c>
      <c r="V280">
        <v>4.8</v>
      </c>
      <c r="W280">
        <v>17.110001</v>
      </c>
      <c r="X280">
        <v>28187.022786000001</v>
      </c>
      <c r="Y280">
        <v>21002088.430100001</v>
      </c>
    </row>
    <row r="281" spans="1:25" x14ac:dyDescent="0.55000000000000004">
      <c r="A281">
        <v>279</v>
      </c>
      <c r="B281" t="s">
        <v>20</v>
      </c>
      <c r="C281">
        <v>22</v>
      </c>
      <c r="D281">
        <v>2</v>
      </c>
      <c r="E281" t="s">
        <v>61</v>
      </c>
      <c r="F281" t="s">
        <v>62</v>
      </c>
      <c r="G281">
        <v>22</v>
      </c>
      <c r="H281">
        <v>2</v>
      </c>
      <c r="I281">
        <v>22020000</v>
      </c>
      <c r="J281">
        <v>509</v>
      </c>
      <c r="K281">
        <v>0</v>
      </c>
      <c r="L281">
        <v>12315</v>
      </c>
      <c r="M281">
        <v>12.392967000000001</v>
      </c>
      <c r="N281">
        <v>102.27006</v>
      </c>
      <c r="O281">
        <v>1.38</v>
      </c>
      <c r="P281">
        <v>0.04</v>
      </c>
      <c r="Q281">
        <v>0.12</v>
      </c>
      <c r="R281">
        <v>0.14000000000000001</v>
      </c>
      <c r="S281">
        <v>1.33</v>
      </c>
      <c r="T281">
        <v>0.89</v>
      </c>
      <c r="U281">
        <v>9.99</v>
      </c>
      <c r="V281">
        <v>2.34</v>
      </c>
      <c r="W281">
        <v>26.959999</v>
      </c>
      <c r="X281">
        <v>36088.934050000003</v>
      </c>
      <c r="Y281">
        <v>81399878.930299997</v>
      </c>
    </row>
    <row r="282" spans="1:25" x14ac:dyDescent="0.55000000000000004">
      <c r="A282">
        <v>280</v>
      </c>
      <c r="B282" t="s">
        <v>20</v>
      </c>
      <c r="C282">
        <v>22</v>
      </c>
      <c r="D282">
        <v>2</v>
      </c>
      <c r="E282" t="s">
        <v>61</v>
      </c>
      <c r="F282" t="s">
        <v>62</v>
      </c>
      <c r="G282">
        <v>22</v>
      </c>
      <c r="H282">
        <v>2</v>
      </c>
      <c r="I282">
        <v>22020000</v>
      </c>
      <c r="J282">
        <v>510</v>
      </c>
      <c r="K282">
        <v>0</v>
      </c>
      <c r="L282">
        <v>12316</v>
      </c>
      <c r="M282">
        <v>12.392967000000001</v>
      </c>
      <c r="N282">
        <v>102.35319</v>
      </c>
      <c r="O282">
        <v>2.63</v>
      </c>
      <c r="P282">
        <v>0</v>
      </c>
      <c r="Q282">
        <v>6.75</v>
      </c>
      <c r="R282">
        <v>0</v>
      </c>
      <c r="S282">
        <v>3.33</v>
      </c>
      <c r="T282">
        <v>8.19</v>
      </c>
      <c r="U282">
        <v>13.55</v>
      </c>
      <c r="V282">
        <v>6.33</v>
      </c>
      <c r="W282">
        <v>24.24</v>
      </c>
      <c r="X282">
        <v>28039.726197</v>
      </c>
      <c r="Y282">
        <v>38432060.196500003</v>
      </c>
    </row>
    <row r="283" spans="1:25" x14ac:dyDescent="0.55000000000000004">
      <c r="A283">
        <v>281</v>
      </c>
      <c r="B283" t="s">
        <v>20</v>
      </c>
      <c r="C283">
        <v>22</v>
      </c>
      <c r="D283">
        <v>2</v>
      </c>
      <c r="E283" t="s">
        <v>61</v>
      </c>
      <c r="F283" t="s">
        <v>62</v>
      </c>
      <c r="G283">
        <v>22</v>
      </c>
      <c r="H283">
        <v>2</v>
      </c>
      <c r="I283">
        <v>22020000</v>
      </c>
      <c r="J283">
        <v>511</v>
      </c>
      <c r="K283">
        <v>0</v>
      </c>
      <c r="L283">
        <v>12675</v>
      </c>
      <c r="M283">
        <v>12.636443999999999</v>
      </c>
      <c r="N283">
        <v>102.27006</v>
      </c>
      <c r="O283">
        <v>22.74</v>
      </c>
      <c r="P283">
        <v>0.09</v>
      </c>
      <c r="Q283">
        <v>0.17</v>
      </c>
      <c r="R283">
        <v>0.82</v>
      </c>
      <c r="S283">
        <v>1.5</v>
      </c>
      <c r="T283">
        <v>2.41</v>
      </c>
      <c r="U283">
        <v>8.68</v>
      </c>
      <c r="V283">
        <v>4.07</v>
      </c>
      <c r="W283">
        <v>5.54</v>
      </c>
      <c r="X283">
        <v>37516.024141000002</v>
      </c>
      <c r="Y283">
        <v>44448360.668700002</v>
      </c>
    </row>
    <row r="284" spans="1:25" x14ac:dyDescent="0.55000000000000004">
      <c r="A284">
        <v>282</v>
      </c>
      <c r="B284" t="s">
        <v>20</v>
      </c>
      <c r="C284">
        <v>22</v>
      </c>
      <c r="D284">
        <v>2</v>
      </c>
      <c r="E284" t="s">
        <v>61</v>
      </c>
      <c r="F284" t="s">
        <v>62</v>
      </c>
      <c r="G284">
        <v>22</v>
      </c>
      <c r="H284">
        <v>2</v>
      </c>
      <c r="I284">
        <v>22020000</v>
      </c>
      <c r="J284">
        <v>512</v>
      </c>
      <c r="K284">
        <v>0</v>
      </c>
      <c r="L284">
        <v>12555</v>
      </c>
      <c r="M284">
        <v>12.555313</v>
      </c>
      <c r="N284">
        <v>102.27006</v>
      </c>
      <c r="O284">
        <v>21.91</v>
      </c>
      <c r="P284">
        <v>0.03</v>
      </c>
      <c r="Q284">
        <v>0.08</v>
      </c>
      <c r="R284">
        <v>0.46</v>
      </c>
      <c r="S284">
        <v>0.96</v>
      </c>
      <c r="T284">
        <v>1.86</v>
      </c>
      <c r="U284">
        <v>4.79</v>
      </c>
      <c r="V284">
        <v>4.22</v>
      </c>
      <c r="W284">
        <v>10.68</v>
      </c>
      <c r="X284">
        <v>36991.406370999997</v>
      </c>
      <c r="Y284">
        <v>80132717.409400001</v>
      </c>
    </row>
    <row r="285" spans="1:25" x14ac:dyDescent="0.55000000000000004">
      <c r="A285">
        <v>283</v>
      </c>
      <c r="B285" t="s">
        <v>20</v>
      </c>
      <c r="C285">
        <v>22</v>
      </c>
      <c r="D285">
        <v>2</v>
      </c>
      <c r="E285" t="s">
        <v>61</v>
      </c>
      <c r="F285" t="s">
        <v>62</v>
      </c>
      <c r="G285">
        <v>22</v>
      </c>
      <c r="H285">
        <v>2</v>
      </c>
      <c r="I285">
        <v>22020000</v>
      </c>
      <c r="J285">
        <v>513</v>
      </c>
      <c r="K285">
        <v>0</v>
      </c>
      <c r="L285">
        <v>12435</v>
      </c>
      <c r="M285">
        <v>12.474159</v>
      </c>
      <c r="N285">
        <v>102.27006</v>
      </c>
      <c r="O285">
        <v>1.78</v>
      </c>
      <c r="P285">
        <v>0</v>
      </c>
      <c r="Q285">
        <v>0.21</v>
      </c>
      <c r="R285">
        <v>0.08</v>
      </c>
      <c r="S285">
        <v>0.05</v>
      </c>
      <c r="T285">
        <v>3.03</v>
      </c>
      <c r="U285">
        <v>2.4500000000000002</v>
      </c>
      <c r="V285">
        <v>7.78</v>
      </c>
      <c r="W285">
        <v>27.709999</v>
      </c>
      <c r="X285">
        <v>36076.631817000001</v>
      </c>
      <c r="Y285">
        <v>81344376.775000006</v>
      </c>
    </row>
    <row r="286" spans="1:25" x14ac:dyDescent="0.55000000000000004">
      <c r="A286">
        <v>284</v>
      </c>
      <c r="B286" t="s">
        <v>20</v>
      </c>
      <c r="C286">
        <v>22</v>
      </c>
      <c r="D286">
        <v>2</v>
      </c>
      <c r="E286" t="s">
        <v>61</v>
      </c>
      <c r="F286" t="s">
        <v>62</v>
      </c>
      <c r="G286">
        <v>22</v>
      </c>
      <c r="H286">
        <v>2</v>
      </c>
      <c r="I286">
        <v>22020000</v>
      </c>
      <c r="J286">
        <v>514</v>
      </c>
      <c r="K286">
        <v>0</v>
      </c>
      <c r="L286">
        <v>12676</v>
      </c>
      <c r="M286">
        <v>12.636443999999999</v>
      </c>
      <c r="N286">
        <v>102.35319</v>
      </c>
      <c r="O286">
        <v>3.75</v>
      </c>
      <c r="P286">
        <v>0.04</v>
      </c>
      <c r="Q286">
        <v>0.19</v>
      </c>
      <c r="R286">
        <v>5.0599999999999996</v>
      </c>
      <c r="S286">
        <v>19.190000999999999</v>
      </c>
      <c r="T286">
        <v>2.71</v>
      </c>
      <c r="U286">
        <v>13.07</v>
      </c>
      <c r="V286">
        <v>13.06</v>
      </c>
      <c r="W286">
        <v>5.93</v>
      </c>
      <c r="X286">
        <v>38169.258145</v>
      </c>
      <c r="Y286">
        <v>76590297.607199997</v>
      </c>
    </row>
    <row r="287" spans="1:25" x14ac:dyDescent="0.55000000000000004">
      <c r="A287">
        <v>285</v>
      </c>
      <c r="B287" t="s">
        <v>20</v>
      </c>
      <c r="C287">
        <v>22</v>
      </c>
      <c r="D287">
        <v>2</v>
      </c>
      <c r="E287" t="s">
        <v>61</v>
      </c>
      <c r="F287" t="s">
        <v>62</v>
      </c>
      <c r="G287">
        <v>22</v>
      </c>
      <c r="H287">
        <v>2</v>
      </c>
      <c r="I287">
        <v>22020000</v>
      </c>
      <c r="J287">
        <v>515</v>
      </c>
      <c r="K287">
        <v>0</v>
      </c>
      <c r="L287">
        <v>12556</v>
      </c>
      <c r="M287">
        <v>12.555313</v>
      </c>
      <c r="N287">
        <v>102.35319</v>
      </c>
      <c r="O287">
        <v>19.329999999999998</v>
      </c>
      <c r="P287">
        <v>0.01</v>
      </c>
      <c r="Q287">
        <v>0.18</v>
      </c>
      <c r="R287">
        <v>0.06</v>
      </c>
      <c r="S287">
        <v>5.28</v>
      </c>
      <c r="T287">
        <v>2.3199999999999998</v>
      </c>
      <c r="U287">
        <v>6.17</v>
      </c>
      <c r="V287">
        <v>7.36</v>
      </c>
      <c r="W287">
        <v>21.870000999999998</v>
      </c>
      <c r="X287">
        <v>41285.940225999999</v>
      </c>
      <c r="Y287">
        <v>17580144.757300001</v>
      </c>
    </row>
    <row r="288" spans="1:25" x14ac:dyDescent="0.55000000000000004">
      <c r="A288">
        <v>286</v>
      </c>
      <c r="B288" t="s">
        <v>20</v>
      </c>
      <c r="C288">
        <v>22</v>
      </c>
      <c r="D288">
        <v>2</v>
      </c>
      <c r="E288" t="s">
        <v>61</v>
      </c>
      <c r="F288" t="s">
        <v>62</v>
      </c>
      <c r="G288">
        <v>22</v>
      </c>
      <c r="H288">
        <v>2</v>
      </c>
      <c r="I288">
        <v>22020000</v>
      </c>
      <c r="J288">
        <v>521</v>
      </c>
      <c r="K288">
        <v>0</v>
      </c>
      <c r="L288">
        <v>12677</v>
      </c>
      <c r="M288">
        <v>12.636443999999999</v>
      </c>
      <c r="N288">
        <v>102.436325</v>
      </c>
      <c r="O288">
        <v>3.42</v>
      </c>
      <c r="P288">
        <v>0.15</v>
      </c>
      <c r="Q288">
        <v>0.08</v>
      </c>
      <c r="R288">
        <v>4.88</v>
      </c>
      <c r="S288">
        <v>2.09</v>
      </c>
      <c r="T288">
        <v>5.81</v>
      </c>
      <c r="U288">
        <v>20.149999999999999</v>
      </c>
      <c r="V288">
        <v>7.7</v>
      </c>
      <c r="W288">
        <v>9.84</v>
      </c>
      <c r="X288">
        <v>7986.7760399999997</v>
      </c>
      <c r="Y288">
        <v>847387.87528100004</v>
      </c>
    </row>
    <row r="289" spans="1:25" x14ac:dyDescent="0.55000000000000004">
      <c r="A289">
        <v>287</v>
      </c>
      <c r="B289" t="s">
        <v>20</v>
      </c>
      <c r="C289">
        <v>22</v>
      </c>
      <c r="D289">
        <v>2</v>
      </c>
      <c r="E289" t="s">
        <v>61</v>
      </c>
      <c r="F289" t="s">
        <v>62</v>
      </c>
      <c r="G289">
        <v>22</v>
      </c>
      <c r="H289">
        <v>2</v>
      </c>
      <c r="I289">
        <v>22020000</v>
      </c>
      <c r="J289">
        <v>522</v>
      </c>
      <c r="K289">
        <v>0</v>
      </c>
      <c r="L289">
        <v>12557</v>
      </c>
      <c r="M289">
        <v>12.555313</v>
      </c>
      <c r="N289">
        <v>102.436325</v>
      </c>
      <c r="O289">
        <v>4.0599999999999996</v>
      </c>
      <c r="P289">
        <v>0.01</v>
      </c>
      <c r="Q289">
        <v>0.03</v>
      </c>
      <c r="R289">
        <v>0.09</v>
      </c>
      <c r="S289">
        <v>3.2</v>
      </c>
      <c r="T289">
        <v>1.71</v>
      </c>
      <c r="U289">
        <v>3.84</v>
      </c>
      <c r="V289">
        <v>10.08</v>
      </c>
      <c r="W289">
        <v>8.01</v>
      </c>
      <c r="X289">
        <v>12539.519049</v>
      </c>
      <c r="Y289">
        <v>5799986.0814899998</v>
      </c>
    </row>
    <row r="290" spans="1:25" x14ac:dyDescent="0.55000000000000004">
      <c r="A290">
        <v>288</v>
      </c>
      <c r="B290" t="s">
        <v>20</v>
      </c>
      <c r="C290">
        <v>22</v>
      </c>
      <c r="D290">
        <v>2</v>
      </c>
      <c r="E290" t="s">
        <v>61</v>
      </c>
      <c r="F290" t="s">
        <v>62</v>
      </c>
      <c r="G290">
        <v>22</v>
      </c>
      <c r="H290">
        <v>2</v>
      </c>
      <c r="I290">
        <v>22020000</v>
      </c>
      <c r="J290">
        <v>548</v>
      </c>
      <c r="K290">
        <v>0</v>
      </c>
      <c r="L290">
        <v>12795</v>
      </c>
      <c r="M290">
        <v>12.717560000000001</v>
      </c>
      <c r="N290">
        <v>102.27006</v>
      </c>
      <c r="O290">
        <v>0.82</v>
      </c>
      <c r="P290">
        <v>3.1</v>
      </c>
      <c r="Q290">
        <v>15.02</v>
      </c>
      <c r="R290">
        <v>0.74</v>
      </c>
      <c r="S290">
        <v>9.0299999999999994</v>
      </c>
      <c r="T290">
        <v>23.219999000000001</v>
      </c>
      <c r="U290">
        <v>5.01</v>
      </c>
      <c r="V290">
        <v>2.96</v>
      </c>
      <c r="W290">
        <v>2.23</v>
      </c>
      <c r="X290">
        <v>18790.375048000002</v>
      </c>
      <c r="Y290">
        <v>15366411.9003</v>
      </c>
    </row>
    <row r="291" spans="1:25" x14ac:dyDescent="0.55000000000000004">
      <c r="A291">
        <v>289</v>
      </c>
      <c r="B291" t="s">
        <v>20</v>
      </c>
      <c r="C291">
        <v>22</v>
      </c>
      <c r="D291">
        <v>2</v>
      </c>
      <c r="E291" t="s">
        <v>61</v>
      </c>
      <c r="F291" t="s">
        <v>62</v>
      </c>
      <c r="G291">
        <v>22</v>
      </c>
      <c r="H291">
        <v>2</v>
      </c>
      <c r="I291">
        <v>22020000</v>
      </c>
      <c r="J291">
        <v>552</v>
      </c>
      <c r="K291">
        <v>0</v>
      </c>
      <c r="L291">
        <v>12796</v>
      </c>
      <c r="M291">
        <v>12.717560000000001</v>
      </c>
      <c r="N291">
        <v>102.35319</v>
      </c>
      <c r="O291">
        <v>1.5</v>
      </c>
      <c r="P291">
        <v>0.03</v>
      </c>
      <c r="Q291">
        <v>2.89</v>
      </c>
      <c r="R291">
        <v>6.88</v>
      </c>
      <c r="S291">
        <v>3.84</v>
      </c>
      <c r="T291">
        <v>22.870000999999998</v>
      </c>
      <c r="U291">
        <v>28.59</v>
      </c>
      <c r="V291">
        <v>0.43</v>
      </c>
      <c r="W291">
        <v>18.829999999999998</v>
      </c>
      <c r="X291">
        <v>39995.921520999997</v>
      </c>
      <c r="Y291">
        <v>74412107.296900004</v>
      </c>
    </row>
    <row r="292" spans="1:25" x14ac:dyDescent="0.55000000000000004">
      <c r="A292">
        <v>290</v>
      </c>
      <c r="B292" t="s">
        <v>20</v>
      </c>
      <c r="C292">
        <v>22</v>
      </c>
      <c r="D292">
        <v>2</v>
      </c>
      <c r="E292" t="s">
        <v>61</v>
      </c>
      <c r="F292" t="s">
        <v>62</v>
      </c>
      <c r="G292">
        <v>22</v>
      </c>
      <c r="H292">
        <v>2</v>
      </c>
      <c r="I292">
        <v>22020000</v>
      </c>
      <c r="J292">
        <v>555</v>
      </c>
      <c r="K292">
        <v>0</v>
      </c>
      <c r="L292">
        <v>12916</v>
      </c>
      <c r="M292">
        <v>12.798636999999999</v>
      </c>
      <c r="N292">
        <v>102.35319</v>
      </c>
      <c r="O292">
        <v>15.27</v>
      </c>
      <c r="P292">
        <v>0.14000000000000001</v>
      </c>
      <c r="Q292">
        <v>0.05</v>
      </c>
      <c r="R292">
        <v>0.55000000000000004</v>
      </c>
      <c r="S292">
        <v>11.51</v>
      </c>
      <c r="T292">
        <v>6.64</v>
      </c>
      <c r="U292">
        <v>3.02</v>
      </c>
      <c r="V292">
        <v>0.74</v>
      </c>
      <c r="W292">
        <v>1.8</v>
      </c>
      <c r="X292">
        <v>28544.082012999999</v>
      </c>
      <c r="Y292">
        <v>32873431.977600001</v>
      </c>
    </row>
    <row r="293" spans="1:25" x14ac:dyDescent="0.55000000000000004">
      <c r="A293">
        <v>291</v>
      </c>
      <c r="B293" t="s">
        <v>20</v>
      </c>
      <c r="C293">
        <v>22</v>
      </c>
      <c r="D293">
        <v>2</v>
      </c>
      <c r="E293" t="s">
        <v>61</v>
      </c>
      <c r="F293" t="s">
        <v>62</v>
      </c>
      <c r="G293">
        <v>22</v>
      </c>
      <c r="H293">
        <v>2</v>
      </c>
      <c r="I293">
        <v>22020000</v>
      </c>
      <c r="J293">
        <v>558</v>
      </c>
      <c r="K293">
        <v>0</v>
      </c>
      <c r="L293">
        <v>12797</v>
      </c>
      <c r="M293">
        <v>12.717560000000001</v>
      </c>
      <c r="N293">
        <v>102.436325</v>
      </c>
      <c r="O293">
        <v>21.59</v>
      </c>
      <c r="P293">
        <v>0.49</v>
      </c>
      <c r="Q293">
        <v>0.68</v>
      </c>
      <c r="R293">
        <v>11.2</v>
      </c>
      <c r="S293">
        <v>4.28</v>
      </c>
      <c r="T293">
        <v>28.68</v>
      </c>
      <c r="U293">
        <v>9.84</v>
      </c>
      <c r="V293">
        <v>0.69</v>
      </c>
      <c r="W293">
        <v>16.379999000000002</v>
      </c>
      <c r="X293">
        <v>32120.075377000001</v>
      </c>
      <c r="Y293">
        <v>36001521.285300002</v>
      </c>
    </row>
    <row r="294" spans="1:25" x14ac:dyDescent="0.55000000000000004">
      <c r="A294">
        <v>292</v>
      </c>
      <c r="B294" t="s">
        <v>20</v>
      </c>
      <c r="C294">
        <v>22</v>
      </c>
      <c r="D294">
        <v>2</v>
      </c>
      <c r="E294" t="s">
        <v>61</v>
      </c>
      <c r="F294" t="s">
        <v>62</v>
      </c>
      <c r="G294">
        <v>22</v>
      </c>
      <c r="H294">
        <v>2</v>
      </c>
      <c r="I294">
        <v>22020000</v>
      </c>
      <c r="J294">
        <v>559</v>
      </c>
      <c r="K294">
        <v>0</v>
      </c>
      <c r="L294">
        <v>12917</v>
      </c>
      <c r="M294">
        <v>12.798636999999999</v>
      </c>
      <c r="N294">
        <v>102.436325</v>
      </c>
      <c r="O294">
        <v>19.09</v>
      </c>
      <c r="P294">
        <v>0.15</v>
      </c>
      <c r="Q294">
        <v>0.37</v>
      </c>
      <c r="R294">
        <v>0.73</v>
      </c>
      <c r="S294">
        <v>11.93</v>
      </c>
      <c r="T294">
        <v>13.45</v>
      </c>
      <c r="U294">
        <v>1.87</v>
      </c>
      <c r="V294">
        <v>0.92</v>
      </c>
      <c r="W294">
        <v>0.34</v>
      </c>
      <c r="X294">
        <v>18318.892462</v>
      </c>
      <c r="Y294">
        <v>4640508.1318100002</v>
      </c>
    </row>
    <row r="295" spans="1:25" x14ac:dyDescent="0.55000000000000004">
      <c r="A295">
        <v>293</v>
      </c>
      <c r="B295" t="s">
        <v>20</v>
      </c>
      <c r="C295">
        <v>22</v>
      </c>
      <c r="D295">
        <v>2</v>
      </c>
      <c r="E295" t="s">
        <v>61</v>
      </c>
      <c r="F295" t="s">
        <v>62</v>
      </c>
      <c r="G295">
        <v>22</v>
      </c>
      <c r="H295">
        <v>2</v>
      </c>
      <c r="I295">
        <v>22020000</v>
      </c>
      <c r="J295">
        <v>560</v>
      </c>
      <c r="K295">
        <v>0</v>
      </c>
      <c r="L295">
        <v>12798</v>
      </c>
      <c r="M295">
        <v>12.717560000000001</v>
      </c>
      <c r="N295">
        <v>102.51946</v>
      </c>
      <c r="O295">
        <v>34.57</v>
      </c>
      <c r="P295">
        <v>0.61</v>
      </c>
      <c r="Q295">
        <v>0.37</v>
      </c>
      <c r="R295">
        <v>21.92</v>
      </c>
      <c r="S295">
        <v>10.58</v>
      </c>
      <c r="T295">
        <v>50.459999000000003</v>
      </c>
      <c r="U295">
        <v>0.32</v>
      </c>
      <c r="V295">
        <v>3.26</v>
      </c>
      <c r="W295">
        <v>0.93</v>
      </c>
      <c r="X295">
        <v>5419.7080800000003</v>
      </c>
      <c r="Y295">
        <v>1010142.3922999999</v>
      </c>
    </row>
    <row r="296" spans="1:25" x14ac:dyDescent="0.55000000000000004">
      <c r="A296">
        <v>294</v>
      </c>
      <c r="B296" t="s">
        <v>20</v>
      </c>
      <c r="C296">
        <v>23</v>
      </c>
      <c r="D296">
        <v>3</v>
      </c>
      <c r="E296" t="s">
        <v>63</v>
      </c>
      <c r="F296" t="s">
        <v>64</v>
      </c>
      <c r="G296">
        <v>22</v>
      </c>
      <c r="H296">
        <v>2</v>
      </c>
      <c r="I296">
        <v>22030000</v>
      </c>
      <c r="J296">
        <v>489</v>
      </c>
      <c r="K296">
        <v>0</v>
      </c>
      <c r="L296">
        <v>12431</v>
      </c>
      <c r="M296">
        <v>12.474159</v>
      </c>
      <c r="N296">
        <v>101.93751</v>
      </c>
      <c r="O296">
        <v>0.38</v>
      </c>
      <c r="P296">
        <v>0.04</v>
      </c>
      <c r="Q296">
        <v>0.2</v>
      </c>
      <c r="R296">
        <v>0.93</v>
      </c>
      <c r="S296">
        <v>3.58</v>
      </c>
      <c r="T296">
        <v>0.91</v>
      </c>
      <c r="U296">
        <v>13.32</v>
      </c>
      <c r="V296">
        <v>0.11</v>
      </c>
      <c r="W296">
        <v>6.4</v>
      </c>
      <c r="X296">
        <v>2068.7501830000001</v>
      </c>
      <c r="Y296">
        <v>199966.283761</v>
      </c>
    </row>
    <row r="297" spans="1:25" x14ac:dyDescent="0.55000000000000004">
      <c r="A297">
        <v>295</v>
      </c>
      <c r="B297" t="s">
        <v>20</v>
      </c>
      <c r="C297">
        <v>23</v>
      </c>
      <c r="D297">
        <v>3</v>
      </c>
      <c r="E297" t="s">
        <v>63</v>
      </c>
      <c r="F297" t="s">
        <v>64</v>
      </c>
      <c r="G297">
        <v>22</v>
      </c>
      <c r="H297">
        <v>2</v>
      </c>
      <c r="I297">
        <v>22030000</v>
      </c>
      <c r="J297">
        <v>491</v>
      </c>
      <c r="K297">
        <v>0</v>
      </c>
      <c r="L297">
        <v>12670</v>
      </c>
      <c r="M297">
        <v>12.636443999999999</v>
      </c>
      <c r="N297">
        <v>101.85438000000001</v>
      </c>
      <c r="O297">
        <v>0</v>
      </c>
      <c r="P297">
        <v>0.56999999999999995</v>
      </c>
      <c r="Q297">
        <v>0.32</v>
      </c>
      <c r="R297">
        <v>0.47</v>
      </c>
      <c r="S297">
        <v>1.27</v>
      </c>
      <c r="T297">
        <v>5.76</v>
      </c>
      <c r="U297">
        <v>14.1</v>
      </c>
      <c r="V297">
        <v>5.51</v>
      </c>
      <c r="W297">
        <v>0.73</v>
      </c>
      <c r="X297">
        <v>4322.7973739999998</v>
      </c>
      <c r="Y297">
        <v>726481.493487</v>
      </c>
    </row>
    <row r="298" spans="1:25" x14ac:dyDescent="0.55000000000000004">
      <c r="A298">
        <v>296</v>
      </c>
      <c r="B298" t="s">
        <v>20</v>
      </c>
      <c r="C298">
        <v>23</v>
      </c>
      <c r="D298">
        <v>3</v>
      </c>
      <c r="E298" t="s">
        <v>63</v>
      </c>
      <c r="F298" t="s">
        <v>64</v>
      </c>
      <c r="G298">
        <v>22</v>
      </c>
      <c r="H298">
        <v>2</v>
      </c>
      <c r="I298">
        <v>22030000</v>
      </c>
      <c r="J298">
        <v>492</v>
      </c>
      <c r="K298">
        <v>0</v>
      </c>
      <c r="L298">
        <v>12550</v>
      </c>
      <c r="M298">
        <v>12.555313</v>
      </c>
      <c r="N298">
        <v>101.85438000000001</v>
      </c>
      <c r="O298">
        <v>0.01</v>
      </c>
      <c r="P298">
        <v>0.7</v>
      </c>
      <c r="Q298">
        <v>0.28999999999999998</v>
      </c>
      <c r="R298">
        <v>0.56000000000000005</v>
      </c>
      <c r="S298">
        <v>2.1</v>
      </c>
      <c r="T298">
        <v>7.39</v>
      </c>
      <c r="U298">
        <v>10.29</v>
      </c>
      <c r="V298">
        <v>1.85</v>
      </c>
      <c r="W298">
        <v>4.7</v>
      </c>
      <c r="X298">
        <v>4688.2953260000004</v>
      </c>
      <c r="Y298">
        <v>1117174.3340100001</v>
      </c>
    </row>
    <row r="299" spans="1:25" x14ac:dyDescent="0.55000000000000004">
      <c r="A299">
        <v>297</v>
      </c>
      <c r="B299" t="s">
        <v>20</v>
      </c>
      <c r="C299">
        <v>23</v>
      </c>
      <c r="D299">
        <v>3</v>
      </c>
      <c r="E299" t="s">
        <v>63</v>
      </c>
      <c r="F299" t="s">
        <v>64</v>
      </c>
      <c r="G299">
        <v>22</v>
      </c>
      <c r="H299">
        <v>2</v>
      </c>
      <c r="I299">
        <v>22030000</v>
      </c>
      <c r="J299">
        <v>493</v>
      </c>
      <c r="K299">
        <v>0</v>
      </c>
      <c r="L299">
        <v>12551</v>
      </c>
      <c r="M299">
        <v>12.555313</v>
      </c>
      <c r="N299">
        <v>101.93751</v>
      </c>
      <c r="O299">
        <v>0</v>
      </c>
      <c r="P299">
        <v>0.1</v>
      </c>
      <c r="Q299">
        <v>0.15</v>
      </c>
      <c r="R299">
        <v>0.51</v>
      </c>
      <c r="S299">
        <v>5.3</v>
      </c>
      <c r="T299">
        <v>0.35</v>
      </c>
      <c r="U299">
        <v>25.440000999999999</v>
      </c>
      <c r="V299">
        <v>6.76</v>
      </c>
      <c r="W299">
        <v>1.2</v>
      </c>
      <c r="X299">
        <v>34122.701955999997</v>
      </c>
      <c r="Y299">
        <v>46604014.0462</v>
      </c>
    </row>
    <row r="300" spans="1:25" x14ac:dyDescent="0.55000000000000004">
      <c r="A300">
        <v>298</v>
      </c>
      <c r="B300" t="s">
        <v>20</v>
      </c>
      <c r="C300">
        <v>23</v>
      </c>
      <c r="D300">
        <v>3</v>
      </c>
      <c r="E300" t="s">
        <v>63</v>
      </c>
      <c r="F300" t="s">
        <v>64</v>
      </c>
      <c r="G300">
        <v>22</v>
      </c>
      <c r="H300">
        <v>2</v>
      </c>
      <c r="I300">
        <v>22030000</v>
      </c>
      <c r="J300">
        <v>494</v>
      </c>
      <c r="K300">
        <v>0</v>
      </c>
      <c r="L300">
        <v>12671</v>
      </c>
      <c r="M300">
        <v>12.636443999999999</v>
      </c>
      <c r="N300">
        <v>101.93751</v>
      </c>
      <c r="O300">
        <v>0</v>
      </c>
      <c r="P300">
        <v>1.1499999999999999</v>
      </c>
      <c r="Q300">
        <v>0.57999999999999996</v>
      </c>
      <c r="R300">
        <v>7.0000000000000007E-2</v>
      </c>
      <c r="S300">
        <v>0.32</v>
      </c>
      <c r="T300">
        <v>0.92</v>
      </c>
      <c r="U300">
        <v>14.7</v>
      </c>
      <c r="V300">
        <v>13.03</v>
      </c>
      <c r="W300">
        <v>2.2999999999999998</v>
      </c>
      <c r="X300">
        <v>43892.575303999998</v>
      </c>
      <c r="Y300">
        <v>70343054.359400004</v>
      </c>
    </row>
    <row r="301" spans="1:25" x14ac:dyDescent="0.55000000000000004">
      <c r="A301">
        <v>299</v>
      </c>
      <c r="B301" t="s">
        <v>20</v>
      </c>
      <c r="C301">
        <v>23</v>
      </c>
      <c r="D301">
        <v>3</v>
      </c>
      <c r="E301" t="s">
        <v>63</v>
      </c>
      <c r="F301" t="s">
        <v>64</v>
      </c>
      <c r="G301">
        <v>22</v>
      </c>
      <c r="H301">
        <v>2</v>
      </c>
      <c r="I301">
        <v>22030000</v>
      </c>
      <c r="J301">
        <v>495</v>
      </c>
      <c r="K301">
        <v>0</v>
      </c>
      <c r="L301">
        <v>12552</v>
      </c>
      <c r="M301">
        <v>12.555313</v>
      </c>
      <c r="N301">
        <v>102.020645</v>
      </c>
      <c r="O301">
        <v>0.22</v>
      </c>
      <c r="P301">
        <v>0.06</v>
      </c>
      <c r="Q301">
        <v>0.04</v>
      </c>
      <c r="R301">
        <v>0.42</v>
      </c>
      <c r="S301">
        <v>4.2699999999999996</v>
      </c>
      <c r="T301">
        <v>10.82</v>
      </c>
      <c r="U301">
        <v>26.82</v>
      </c>
      <c r="V301">
        <v>4.8600000000000003</v>
      </c>
      <c r="W301">
        <v>7.78</v>
      </c>
      <c r="X301">
        <v>29314.680787000001</v>
      </c>
      <c r="Y301">
        <v>33567172.722199999</v>
      </c>
    </row>
    <row r="302" spans="1:25" x14ac:dyDescent="0.55000000000000004">
      <c r="A302">
        <v>300</v>
      </c>
      <c r="B302" t="s">
        <v>20</v>
      </c>
      <c r="C302">
        <v>23</v>
      </c>
      <c r="D302">
        <v>3</v>
      </c>
      <c r="E302" t="s">
        <v>63</v>
      </c>
      <c r="F302" t="s">
        <v>64</v>
      </c>
      <c r="G302">
        <v>22</v>
      </c>
      <c r="H302">
        <v>2</v>
      </c>
      <c r="I302">
        <v>22030000</v>
      </c>
      <c r="J302">
        <v>500</v>
      </c>
      <c r="K302">
        <v>0</v>
      </c>
      <c r="L302">
        <v>12672</v>
      </c>
      <c r="M302">
        <v>12.636443999999999</v>
      </c>
      <c r="N302">
        <v>102.020645</v>
      </c>
      <c r="O302">
        <v>4.21</v>
      </c>
      <c r="P302">
        <v>0.06</v>
      </c>
      <c r="Q302">
        <v>0.09</v>
      </c>
      <c r="R302">
        <v>4.38</v>
      </c>
      <c r="S302">
        <v>1.21</v>
      </c>
      <c r="T302">
        <v>2.69</v>
      </c>
      <c r="U302">
        <v>16.170000000000002</v>
      </c>
      <c r="V302">
        <v>24.790001</v>
      </c>
      <c r="W302">
        <v>7.83</v>
      </c>
      <c r="X302">
        <v>36007.398535</v>
      </c>
      <c r="Y302">
        <v>80391646.821099997</v>
      </c>
    </row>
    <row r="303" spans="1:25" x14ac:dyDescent="0.55000000000000004">
      <c r="A303">
        <v>301</v>
      </c>
      <c r="B303" t="s">
        <v>20</v>
      </c>
      <c r="C303">
        <v>23</v>
      </c>
      <c r="D303">
        <v>3</v>
      </c>
      <c r="E303" t="s">
        <v>63</v>
      </c>
      <c r="F303" t="s">
        <v>64</v>
      </c>
      <c r="G303">
        <v>22</v>
      </c>
      <c r="H303">
        <v>2</v>
      </c>
      <c r="I303">
        <v>22030000</v>
      </c>
      <c r="J303">
        <v>504</v>
      </c>
      <c r="K303">
        <v>0</v>
      </c>
      <c r="L303">
        <v>12673</v>
      </c>
      <c r="M303">
        <v>12.636443999999999</v>
      </c>
      <c r="N303">
        <v>102.10378</v>
      </c>
      <c r="O303">
        <v>2.1</v>
      </c>
      <c r="P303">
        <v>0.18</v>
      </c>
      <c r="Q303">
        <v>0</v>
      </c>
      <c r="R303">
        <v>5.64</v>
      </c>
      <c r="S303">
        <v>3.69</v>
      </c>
      <c r="T303">
        <v>4.9400000000000004</v>
      </c>
      <c r="U303">
        <v>17.719999000000001</v>
      </c>
      <c r="V303">
        <v>18.59</v>
      </c>
      <c r="W303">
        <v>21.59</v>
      </c>
      <c r="X303">
        <v>19854.332335999999</v>
      </c>
      <c r="Y303">
        <v>6049720.8241900001</v>
      </c>
    </row>
    <row r="304" spans="1:25" x14ac:dyDescent="0.55000000000000004">
      <c r="A304">
        <v>302</v>
      </c>
      <c r="B304" t="s">
        <v>20</v>
      </c>
      <c r="C304">
        <v>23</v>
      </c>
      <c r="D304">
        <v>3</v>
      </c>
      <c r="E304" t="s">
        <v>63</v>
      </c>
      <c r="F304" t="s">
        <v>64</v>
      </c>
      <c r="G304">
        <v>22</v>
      </c>
      <c r="H304">
        <v>2</v>
      </c>
      <c r="I304">
        <v>22030000</v>
      </c>
      <c r="J304">
        <v>526</v>
      </c>
      <c r="K304">
        <v>0</v>
      </c>
      <c r="L304">
        <v>12790</v>
      </c>
      <c r="M304">
        <v>12.717560000000001</v>
      </c>
      <c r="N304">
        <v>101.85438000000001</v>
      </c>
      <c r="O304">
        <v>1.83</v>
      </c>
      <c r="P304">
        <v>0.06</v>
      </c>
      <c r="Q304">
        <v>2.12</v>
      </c>
      <c r="R304">
        <v>2.09</v>
      </c>
      <c r="S304">
        <v>1.32</v>
      </c>
      <c r="T304">
        <v>10.36</v>
      </c>
      <c r="U304">
        <v>59.040000999999997</v>
      </c>
      <c r="V304">
        <v>1.53</v>
      </c>
      <c r="W304">
        <v>17.260000000000002</v>
      </c>
      <c r="X304">
        <v>7868.6377480000001</v>
      </c>
      <c r="Y304">
        <v>995435.693402</v>
      </c>
    </row>
    <row r="305" spans="1:25" x14ac:dyDescent="0.55000000000000004">
      <c r="A305">
        <v>303</v>
      </c>
      <c r="B305" t="s">
        <v>20</v>
      </c>
      <c r="C305">
        <v>23</v>
      </c>
      <c r="D305">
        <v>3</v>
      </c>
      <c r="E305" t="s">
        <v>63</v>
      </c>
      <c r="F305" t="s">
        <v>64</v>
      </c>
      <c r="G305">
        <v>22</v>
      </c>
      <c r="H305">
        <v>2</v>
      </c>
      <c r="I305">
        <v>22030000</v>
      </c>
      <c r="J305">
        <v>527</v>
      </c>
      <c r="K305">
        <v>0</v>
      </c>
      <c r="L305">
        <v>12791</v>
      </c>
      <c r="M305">
        <v>12.717560000000001</v>
      </c>
      <c r="N305">
        <v>101.93751</v>
      </c>
      <c r="O305">
        <v>4.5199999999999996</v>
      </c>
      <c r="P305">
        <v>0.09</v>
      </c>
      <c r="Q305">
        <v>0.84</v>
      </c>
      <c r="R305">
        <v>0.1</v>
      </c>
      <c r="S305">
        <v>1.0900000000000001</v>
      </c>
      <c r="T305">
        <v>3.61</v>
      </c>
      <c r="U305">
        <v>50.950001</v>
      </c>
      <c r="V305">
        <v>8.73</v>
      </c>
      <c r="W305">
        <v>5.43</v>
      </c>
      <c r="X305">
        <v>45351.492655000002</v>
      </c>
      <c r="Y305">
        <v>40549708.388300002</v>
      </c>
    </row>
    <row r="306" spans="1:25" x14ac:dyDescent="0.55000000000000004">
      <c r="A306">
        <v>304</v>
      </c>
      <c r="B306" t="s">
        <v>20</v>
      </c>
      <c r="C306">
        <v>23</v>
      </c>
      <c r="D306">
        <v>3</v>
      </c>
      <c r="E306" t="s">
        <v>63</v>
      </c>
      <c r="F306" t="s">
        <v>64</v>
      </c>
      <c r="G306">
        <v>22</v>
      </c>
      <c r="H306">
        <v>2</v>
      </c>
      <c r="I306">
        <v>22030000</v>
      </c>
      <c r="J306">
        <v>529</v>
      </c>
      <c r="K306">
        <v>0</v>
      </c>
      <c r="L306">
        <v>13031</v>
      </c>
      <c r="M306">
        <v>12.8797</v>
      </c>
      <c r="N306">
        <v>101.93751</v>
      </c>
      <c r="O306">
        <v>4.88</v>
      </c>
      <c r="P306">
        <v>0.28000000000000003</v>
      </c>
      <c r="Q306">
        <v>0.21</v>
      </c>
      <c r="R306">
        <v>18.280000999999999</v>
      </c>
      <c r="S306">
        <v>6.22</v>
      </c>
      <c r="T306">
        <v>8.4</v>
      </c>
      <c r="U306">
        <v>20.690000999999999</v>
      </c>
      <c r="V306">
        <v>4.8</v>
      </c>
      <c r="W306">
        <v>2.16</v>
      </c>
      <c r="X306">
        <v>37645.964198000001</v>
      </c>
      <c r="Y306">
        <v>74857200.967700005</v>
      </c>
    </row>
    <row r="307" spans="1:25" x14ac:dyDescent="0.55000000000000004">
      <c r="A307">
        <v>305</v>
      </c>
      <c r="B307" t="s">
        <v>20</v>
      </c>
      <c r="C307">
        <v>23</v>
      </c>
      <c r="D307">
        <v>3</v>
      </c>
      <c r="E307" t="s">
        <v>63</v>
      </c>
      <c r="F307" t="s">
        <v>64</v>
      </c>
      <c r="G307">
        <v>22</v>
      </c>
      <c r="H307">
        <v>2</v>
      </c>
      <c r="I307">
        <v>22030000</v>
      </c>
      <c r="J307">
        <v>530</v>
      </c>
      <c r="K307">
        <v>0</v>
      </c>
      <c r="L307">
        <v>13030</v>
      </c>
      <c r="M307">
        <v>12.8797</v>
      </c>
      <c r="N307">
        <v>101.85438000000001</v>
      </c>
      <c r="O307">
        <v>12.93</v>
      </c>
      <c r="P307">
        <v>0</v>
      </c>
      <c r="Q307">
        <v>1.68</v>
      </c>
      <c r="R307">
        <v>3.16</v>
      </c>
      <c r="S307">
        <v>16.399999999999999</v>
      </c>
      <c r="T307">
        <v>7.56</v>
      </c>
      <c r="U307">
        <v>7.14</v>
      </c>
      <c r="V307">
        <v>2.63</v>
      </c>
      <c r="W307">
        <v>1.61</v>
      </c>
      <c r="X307">
        <v>22468.549604</v>
      </c>
      <c r="Y307">
        <v>14026623.7349</v>
      </c>
    </row>
    <row r="308" spans="1:25" x14ac:dyDescent="0.55000000000000004">
      <c r="A308">
        <v>306</v>
      </c>
      <c r="B308" t="s">
        <v>20</v>
      </c>
      <c r="C308">
        <v>23</v>
      </c>
      <c r="D308">
        <v>3</v>
      </c>
      <c r="E308" t="s">
        <v>63</v>
      </c>
      <c r="F308" t="s">
        <v>64</v>
      </c>
      <c r="G308">
        <v>22</v>
      </c>
      <c r="H308">
        <v>2</v>
      </c>
      <c r="I308">
        <v>22030000</v>
      </c>
      <c r="J308">
        <v>531</v>
      </c>
      <c r="K308">
        <v>0</v>
      </c>
      <c r="L308">
        <v>12911</v>
      </c>
      <c r="M308">
        <v>12.798636999999999</v>
      </c>
      <c r="N308">
        <v>101.93751</v>
      </c>
      <c r="O308">
        <v>4.22</v>
      </c>
      <c r="P308">
        <v>0.03</v>
      </c>
      <c r="Q308">
        <v>0.87</v>
      </c>
      <c r="R308">
        <v>0.99</v>
      </c>
      <c r="S308">
        <v>12.38</v>
      </c>
      <c r="T308">
        <v>16.290001</v>
      </c>
      <c r="U308">
        <v>26.01</v>
      </c>
      <c r="V308">
        <v>17.510000000000002</v>
      </c>
      <c r="W308">
        <v>7.22</v>
      </c>
      <c r="X308">
        <v>36103.159719000003</v>
      </c>
      <c r="Y308">
        <v>65730132.907200001</v>
      </c>
    </row>
    <row r="309" spans="1:25" x14ac:dyDescent="0.55000000000000004">
      <c r="A309">
        <v>307</v>
      </c>
      <c r="B309" t="s">
        <v>20</v>
      </c>
      <c r="C309">
        <v>23</v>
      </c>
      <c r="D309">
        <v>3</v>
      </c>
      <c r="E309" t="s">
        <v>63</v>
      </c>
      <c r="F309" t="s">
        <v>64</v>
      </c>
      <c r="G309">
        <v>22</v>
      </c>
      <c r="H309">
        <v>2</v>
      </c>
      <c r="I309">
        <v>22030000</v>
      </c>
      <c r="J309">
        <v>532</v>
      </c>
      <c r="K309">
        <v>0</v>
      </c>
      <c r="L309">
        <v>13151</v>
      </c>
      <c r="M309">
        <v>12.960724000000001</v>
      </c>
      <c r="N309">
        <v>101.93751</v>
      </c>
      <c r="O309">
        <v>2.78</v>
      </c>
      <c r="P309">
        <v>0.1</v>
      </c>
      <c r="Q309">
        <v>0.03</v>
      </c>
      <c r="R309">
        <v>0.99</v>
      </c>
      <c r="S309">
        <v>8.31</v>
      </c>
      <c r="T309">
        <v>10.87</v>
      </c>
      <c r="U309">
        <v>31.02</v>
      </c>
      <c r="V309">
        <v>12.54</v>
      </c>
      <c r="W309">
        <v>0.53</v>
      </c>
      <c r="X309">
        <v>9703.7135400000006</v>
      </c>
      <c r="Y309">
        <v>1452641.5518100001</v>
      </c>
    </row>
    <row r="310" spans="1:25" x14ac:dyDescent="0.55000000000000004">
      <c r="A310">
        <v>308</v>
      </c>
      <c r="B310" t="s">
        <v>20</v>
      </c>
      <c r="C310">
        <v>23</v>
      </c>
      <c r="D310">
        <v>3</v>
      </c>
      <c r="E310" t="s">
        <v>63</v>
      </c>
      <c r="F310" t="s">
        <v>64</v>
      </c>
      <c r="G310">
        <v>22</v>
      </c>
      <c r="H310">
        <v>2</v>
      </c>
      <c r="I310">
        <v>22030000</v>
      </c>
      <c r="J310">
        <v>533</v>
      </c>
      <c r="K310">
        <v>0</v>
      </c>
      <c r="L310">
        <v>13150</v>
      </c>
      <c r="M310">
        <v>12.960724000000001</v>
      </c>
      <c r="N310">
        <v>101.85438000000001</v>
      </c>
      <c r="O310">
        <v>6.98</v>
      </c>
      <c r="P310">
        <v>0</v>
      </c>
      <c r="Q310">
        <v>0.1</v>
      </c>
      <c r="R310">
        <v>0.31</v>
      </c>
      <c r="S310">
        <v>24.43</v>
      </c>
      <c r="T310">
        <v>7.07</v>
      </c>
      <c r="U310">
        <v>17.829999999999998</v>
      </c>
      <c r="V310">
        <v>11.15</v>
      </c>
      <c r="W310">
        <v>5.12</v>
      </c>
      <c r="X310">
        <v>2034.3576129999999</v>
      </c>
      <c r="Y310">
        <v>119154.834057</v>
      </c>
    </row>
    <row r="311" spans="1:25" x14ac:dyDescent="0.55000000000000004">
      <c r="A311">
        <v>309</v>
      </c>
      <c r="B311" t="s">
        <v>20</v>
      </c>
      <c r="C311">
        <v>23</v>
      </c>
      <c r="D311">
        <v>3</v>
      </c>
      <c r="E311" t="s">
        <v>63</v>
      </c>
      <c r="F311" t="s">
        <v>64</v>
      </c>
      <c r="G311">
        <v>22</v>
      </c>
      <c r="H311">
        <v>2</v>
      </c>
      <c r="I311">
        <v>22030000</v>
      </c>
      <c r="J311">
        <v>536</v>
      </c>
      <c r="K311">
        <v>0</v>
      </c>
      <c r="L311">
        <v>12792</v>
      </c>
      <c r="M311">
        <v>12.717560000000001</v>
      </c>
      <c r="N311">
        <v>102.020645</v>
      </c>
      <c r="O311">
        <v>2.5299999999999998</v>
      </c>
      <c r="P311">
        <v>0.01</v>
      </c>
      <c r="Q311">
        <v>0.04</v>
      </c>
      <c r="R311">
        <v>7.0000000000000007E-2</v>
      </c>
      <c r="S311">
        <v>0.21</v>
      </c>
      <c r="T311">
        <v>10.35</v>
      </c>
      <c r="U311">
        <v>33.630001</v>
      </c>
      <c r="V311">
        <v>6.38</v>
      </c>
      <c r="W311">
        <v>9.89</v>
      </c>
      <c r="X311">
        <v>36034.590254000002</v>
      </c>
      <c r="Y311">
        <v>81154904.200900003</v>
      </c>
    </row>
    <row r="312" spans="1:25" x14ac:dyDescent="0.55000000000000004">
      <c r="A312">
        <v>310</v>
      </c>
      <c r="B312" t="s">
        <v>20</v>
      </c>
      <c r="C312">
        <v>23</v>
      </c>
      <c r="D312">
        <v>3</v>
      </c>
      <c r="E312" t="s">
        <v>63</v>
      </c>
      <c r="F312" t="s">
        <v>64</v>
      </c>
      <c r="G312">
        <v>22</v>
      </c>
      <c r="H312">
        <v>2</v>
      </c>
      <c r="I312">
        <v>22030000</v>
      </c>
      <c r="J312">
        <v>537</v>
      </c>
      <c r="K312">
        <v>0</v>
      </c>
      <c r="L312">
        <v>12912</v>
      </c>
      <c r="M312">
        <v>12.798636999999999</v>
      </c>
      <c r="N312">
        <v>102.020645</v>
      </c>
      <c r="O312">
        <v>18.739999999999998</v>
      </c>
      <c r="P312">
        <v>0</v>
      </c>
      <c r="Q312">
        <v>0.13</v>
      </c>
      <c r="R312">
        <v>2.2999999999999998</v>
      </c>
      <c r="S312">
        <v>2.15</v>
      </c>
      <c r="T312">
        <v>3.68</v>
      </c>
      <c r="U312">
        <v>17.959999</v>
      </c>
      <c r="V312">
        <v>0.03</v>
      </c>
      <c r="W312">
        <v>9.61</v>
      </c>
      <c r="X312">
        <v>39059.368558000002</v>
      </c>
      <c r="Y312">
        <v>61802367.298699997</v>
      </c>
    </row>
    <row r="313" spans="1:25" x14ac:dyDescent="0.55000000000000004">
      <c r="A313">
        <v>311</v>
      </c>
      <c r="B313" t="s">
        <v>20</v>
      </c>
      <c r="C313">
        <v>23</v>
      </c>
      <c r="D313">
        <v>3</v>
      </c>
      <c r="E313" t="s">
        <v>63</v>
      </c>
      <c r="F313" t="s">
        <v>64</v>
      </c>
      <c r="G313">
        <v>22</v>
      </c>
      <c r="H313">
        <v>2</v>
      </c>
      <c r="I313">
        <v>22030000</v>
      </c>
      <c r="J313">
        <v>538</v>
      </c>
      <c r="K313">
        <v>0</v>
      </c>
      <c r="L313">
        <v>12793</v>
      </c>
      <c r="M313">
        <v>12.717560000000001</v>
      </c>
      <c r="N313">
        <v>102.10378</v>
      </c>
      <c r="O313">
        <v>23.540001</v>
      </c>
      <c r="P313">
        <v>0.01</v>
      </c>
      <c r="Q313">
        <v>0.01</v>
      </c>
      <c r="R313">
        <v>2.27</v>
      </c>
      <c r="S313">
        <v>0.73</v>
      </c>
      <c r="T313">
        <v>7.64</v>
      </c>
      <c r="U313">
        <v>4.29</v>
      </c>
      <c r="V313">
        <v>0.47</v>
      </c>
      <c r="W313">
        <v>4.49</v>
      </c>
      <c r="X313">
        <v>22606.878099000001</v>
      </c>
      <c r="Y313">
        <v>11616766.0547</v>
      </c>
    </row>
    <row r="314" spans="1:25" x14ac:dyDescent="0.55000000000000004">
      <c r="A314">
        <v>312</v>
      </c>
      <c r="B314" t="s">
        <v>20</v>
      </c>
      <c r="C314">
        <v>23</v>
      </c>
      <c r="D314">
        <v>3</v>
      </c>
      <c r="E314" t="s">
        <v>63</v>
      </c>
      <c r="F314" t="s">
        <v>64</v>
      </c>
      <c r="G314">
        <v>22</v>
      </c>
      <c r="H314">
        <v>2</v>
      </c>
      <c r="I314">
        <v>22030000</v>
      </c>
      <c r="J314">
        <v>539</v>
      </c>
      <c r="K314">
        <v>0</v>
      </c>
      <c r="L314">
        <v>12913</v>
      </c>
      <c r="M314">
        <v>12.798636999999999</v>
      </c>
      <c r="N314">
        <v>102.10378</v>
      </c>
      <c r="O314">
        <v>75.379997000000003</v>
      </c>
      <c r="P314">
        <v>0.02</v>
      </c>
      <c r="Q314">
        <v>0.08</v>
      </c>
      <c r="R314">
        <v>0.06</v>
      </c>
      <c r="S314">
        <v>18.940000999999999</v>
      </c>
      <c r="T314">
        <v>4.8</v>
      </c>
      <c r="U314">
        <v>6.71</v>
      </c>
      <c r="V314">
        <v>2.0299999999999998</v>
      </c>
      <c r="W314">
        <v>4.7300000000000004</v>
      </c>
      <c r="X314">
        <v>10058.393029000001</v>
      </c>
      <c r="Y314">
        <v>3588335.5656300001</v>
      </c>
    </row>
    <row r="315" spans="1:25" x14ac:dyDescent="0.55000000000000004">
      <c r="A315">
        <v>313</v>
      </c>
      <c r="B315" t="s">
        <v>20</v>
      </c>
      <c r="C315">
        <v>23</v>
      </c>
      <c r="D315">
        <v>3</v>
      </c>
      <c r="E315" t="s">
        <v>63</v>
      </c>
      <c r="F315" t="s">
        <v>64</v>
      </c>
      <c r="G315">
        <v>22</v>
      </c>
      <c r="H315">
        <v>2</v>
      </c>
      <c r="I315">
        <v>22030000</v>
      </c>
      <c r="J315">
        <v>541</v>
      </c>
      <c r="K315">
        <v>0</v>
      </c>
      <c r="L315">
        <v>13032</v>
      </c>
      <c r="M315">
        <v>12.8797</v>
      </c>
      <c r="N315">
        <v>102.020645</v>
      </c>
      <c r="O315">
        <v>5.07</v>
      </c>
      <c r="P315">
        <v>0.16</v>
      </c>
      <c r="Q315">
        <v>0.04</v>
      </c>
      <c r="R315">
        <v>10.94</v>
      </c>
      <c r="S315">
        <v>8.61</v>
      </c>
      <c r="T315">
        <v>30.18</v>
      </c>
      <c r="U315">
        <v>32.630001</v>
      </c>
      <c r="V315">
        <v>6.16</v>
      </c>
      <c r="W315">
        <v>1.35</v>
      </c>
      <c r="X315">
        <v>27026.878364</v>
      </c>
      <c r="Y315">
        <v>31067811.8587</v>
      </c>
    </row>
    <row r="316" spans="1:25" x14ac:dyDescent="0.55000000000000004">
      <c r="A316">
        <v>314</v>
      </c>
      <c r="B316" t="s">
        <v>20</v>
      </c>
      <c r="C316">
        <v>23</v>
      </c>
      <c r="D316">
        <v>3</v>
      </c>
      <c r="E316" t="s">
        <v>63</v>
      </c>
      <c r="F316" t="s">
        <v>64</v>
      </c>
      <c r="G316">
        <v>22</v>
      </c>
      <c r="H316">
        <v>2</v>
      </c>
      <c r="I316">
        <v>22030000</v>
      </c>
      <c r="J316">
        <v>543</v>
      </c>
      <c r="K316">
        <v>0</v>
      </c>
      <c r="L316">
        <v>13152</v>
      </c>
      <c r="M316">
        <v>12.960724000000001</v>
      </c>
      <c r="N316">
        <v>102.020645</v>
      </c>
      <c r="O316">
        <v>20.99</v>
      </c>
      <c r="P316">
        <v>0.1</v>
      </c>
      <c r="Q316">
        <v>0.25</v>
      </c>
      <c r="R316">
        <v>4.74</v>
      </c>
      <c r="S316">
        <v>11.07</v>
      </c>
      <c r="T316">
        <v>12.76</v>
      </c>
      <c r="U316">
        <v>29.83</v>
      </c>
      <c r="V316">
        <v>0.27</v>
      </c>
      <c r="W316">
        <v>4.87</v>
      </c>
      <c r="X316">
        <v>2087.5466719999999</v>
      </c>
      <c r="Y316">
        <v>125021.81660000001</v>
      </c>
    </row>
    <row r="317" spans="1:25" x14ac:dyDescent="0.55000000000000004">
      <c r="A317">
        <v>315</v>
      </c>
      <c r="B317" t="s">
        <v>20</v>
      </c>
      <c r="C317">
        <v>24</v>
      </c>
      <c r="D317">
        <v>4</v>
      </c>
      <c r="E317" t="s">
        <v>65</v>
      </c>
      <c r="F317" t="s">
        <v>66</v>
      </c>
      <c r="G317">
        <v>22</v>
      </c>
      <c r="H317">
        <v>2</v>
      </c>
      <c r="I317">
        <v>22040000</v>
      </c>
      <c r="J317">
        <v>549</v>
      </c>
      <c r="K317">
        <v>0</v>
      </c>
      <c r="L317">
        <v>13035</v>
      </c>
      <c r="M317">
        <v>12.8797</v>
      </c>
      <c r="N317">
        <v>102.27006</v>
      </c>
      <c r="O317">
        <v>0.81</v>
      </c>
      <c r="P317">
        <v>1.24</v>
      </c>
      <c r="Q317">
        <v>0.99</v>
      </c>
      <c r="R317">
        <v>1.3</v>
      </c>
      <c r="S317">
        <v>71.360000999999997</v>
      </c>
      <c r="T317">
        <v>6.36</v>
      </c>
      <c r="U317">
        <v>5.38</v>
      </c>
      <c r="V317">
        <v>7.0000000000000007E-2</v>
      </c>
      <c r="W317">
        <v>7.0000000000000007E-2</v>
      </c>
      <c r="X317">
        <v>37230.297052000002</v>
      </c>
      <c r="Y317">
        <v>68270971.156000003</v>
      </c>
    </row>
    <row r="318" spans="1:25" x14ac:dyDescent="0.55000000000000004">
      <c r="A318">
        <v>316</v>
      </c>
      <c r="B318" t="s">
        <v>20</v>
      </c>
      <c r="C318">
        <v>24</v>
      </c>
      <c r="D318">
        <v>4</v>
      </c>
      <c r="E318" t="s">
        <v>65</v>
      </c>
      <c r="F318" t="s">
        <v>66</v>
      </c>
      <c r="G318">
        <v>22</v>
      </c>
      <c r="H318">
        <v>2</v>
      </c>
      <c r="I318">
        <v>22040000</v>
      </c>
      <c r="J318">
        <v>550</v>
      </c>
      <c r="K318">
        <v>0</v>
      </c>
      <c r="L318">
        <v>13034</v>
      </c>
      <c r="M318">
        <v>12.8797</v>
      </c>
      <c r="N318">
        <v>102.18692</v>
      </c>
      <c r="O318">
        <v>3.97</v>
      </c>
      <c r="P318">
        <v>0.87</v>
      </c>
      <c r="Q318">
        <v>0.89</v>
      </c>
      <c r="R318">
        <v>1.5</v>
      </c>
      <c r="S318">
        <v>8.24</v>
      </c>
      <c r="T318">
        <v>11.89</v>
      </c>
      <c r="U318">
        <v>8.85</v>
      </c>
      <c r="V318">
        <v>0.01</v>
      </c>
      <c r="W318">
        <v>0</v>
      </c>
      <c r="X318">
        <v>6682.0225989999999</v>
      </c>
      <c r="Y318">
        <v>1536342.6836399999</v>
      </c>
    </row>
    <row r="319" spans="1:25" x14ac:dyDescent="0.55000000000000004">
      <c r="A319">
        <v>317</v>
      </c>
      <c r="B319" t="s">
        <v>20</v>
      </c>
      <c r="C319">
        <v>24</v>
      </c>
      <c r="D319">
        <v>4</v>
      </c>
      <c r="E319" t="s">
        <v>65</v>
      </c>
      <c r="F319" t="s">
        <v>66</v>
      </c>
      <c r="G319">
        <v>22</v>
      </c>
      <c r="H319">
        <v>2</v>
      </c>
      <c r="I319">
        <v>22040000</v>
      </c>
      <c r="J319">
        <v>551</v>
      </c>
      <c r="K319">
        <v>0</v>
      </c>
      <c r="L319">
        <v>12915</v>
      </c>
      <c r="M319">
        <v>12.798636999999999</v>
      </c>
      <c r="N319">
        <v>102.27006</v>
      </c>
      <c r="O319">
        <v>4.82</v>
      </c>
      <c r="P319">
        <v>0.61</v>
      </c>
      <c r="Q319">
        <v>0.27</v>
      </c>
      <c r="R319">
        <v>0.69</v>
      </c>
      <c r="S319">
        <v>13.46</v>
      </c>
      <c r="T319">
        <v>27.059999000000001</v>
      </c>
      <c r="U319">
        <v>5.92</v>
      </c>
      <c r="V319">
        <v>2.88</v>
      </c>
      <c r="W319">
        <v>7.0000000000000007E-2</v>
      </c>
      <c r="X319">
        <v>15658.934192999999</v>
      </c>
      <c r="Y319">
        <v>5649040.3679200001</v>
      </c>
    </row>
    <row r="320" spans="1:25" x14ac:dyDescent="0.55000000000000004">
      <c r="A320">
        <v>318</v>
      </c>
      <c r="B320" t="s">
        <v>20</v>
      </c>
      <c r="C320">
        <v>24</v>
      </c>
      <c r="D320">
        <v>4</v>
      </c>
      <c r="E320" t="s">
        <v>65</v>
      </c>
      <c r="F320" t="s">
        <v>66</v>
      </c>
      <c r="G320">
        <v>22</v>
      </c>
      <c r="H320">
        <v>2</v>
      </c>
      <c r="I320">
        <v>22040000</v>
      </c>
      <c r="J320">
        <v>552</v>
      </c>
      <c r="K320">
        <v>0</v>
      </c>
      <c r="L320">
        <v>12796</v>
      </c>
      <c r="M320">
        <v>12.717560000000001</v>
      </c>
      <c r="N320">
        <v>102.35319</v>
      </c>
      <c r="O320">
        <v>1.5</v>
      </c>
      <c r="P320">
        <v>0.03</v>
      </c>
      <c r="Q320">
        <v>2.89</v>
      </c>
      <c r="R320">
        <v>6.88</v>
      </c>
      <c r="S320">
        <v>3.84</v>
      </c>
      <c r="T320">
        <v>22.870000999999998</v>
      </c>
      <c r="U320">
        <v>28.59</v>
      </c>
      <c r="V320">
        <v>0.43</v>
      </c>
      <c r="W320">
        <v>18.829999999999998</v>
      </c>
      <c r="X320">
        <v>1361.2176710000001</v>
      </c>
      <c r="Y320">
        <v>83186.164495000005</v>
      </c>
    </row>
    <row r="321" spans="1:25" x14ac:dyDescent="0.55000000000000004">
      <c r="A321">
        <v>319</v>
      </c>
      <c r="B321" t="s">
        <v>20</v>
      </c>
      <c r="C321">
        <v>24</v>
      </c>
      <c r="D321">
        <v>4</v>
      </c>
      <c r="E321" t="s">
        <v>65</v>
      </c>
      <c r="F321" t="s">
        <v>66</v>
      </c>
      <c r="G321">
        <v>22</v>
      </c>
      <c r="H321">
        <v>2</v>
      </c>
      <c r="I321">
        <v>22040000</v>
      </c>
      <c r="J321">
        <v>553</v>
      </c>
      <c r="K321">
        <v>0</v>
      </c>
      <c r="L321">
        <v>13155</v>
      </c>
      <c r="M321">
        <v>12.960724000000001</v>
      </c>
      <c r="N321">
        <v>102.27006</v>
      </c>
      <c r="O321">
        <v>14.19</v>
      </c>
      <c r="P321">
        <v>0.32</v>
      </c>
      <c r="Q321">
        <v>0.17</v>
      </c>
      <c r="R321">
        <v>1.51</v>
      </c>
      <c r="S321">
        <v>23.01</v>
      </c>
      <c r="T321">
        <v>19.59</v>
      </c>
      <c r="U321">
        <v>28.280000999999999</v>
      </c>
      <c r="V321">
        <v>1.72</v>
      </c>
      <c r="W321">
        <v>0.57999999999999996</v>
      </c>
      <c r="X321">
        <v>36007.977927</v>
      </c>
      <c r="Y321">
        <v>81035077.190200001</v>
      </c>
    </row>
    <row r="322" spans="1:25" x14ac:dyDescent="0.55000000000000004">
      <c r="A322">
        <v>320</v>
      </c>
      <c r="B322" t="s">
        <v>20</v>
      </c>
      <c r="C322">
        <v>24</v>
      </c>
      <c r="D322">
        <v>4</v>
      </c>
      <c r="E322" t="s">
        <v>65</v>
      </c>
      <c r="F322" t="s">
        <v>66</v>
      </c>
      <c r="G322">
        <v>22</v>
      </c>
      <c r="H322">
        <v>2</v>
      </c>
      <c r="I322">
        <v>22040000</v>
      </c>
      <c r="J322">
        <v>554</v>
      </c>
      <c r="K322">
        <v>0</v>
      </c>
      <c r="L322">
        <v>13154</v>
      </c>
      <c r="M322">
        <v>12.960724000000001</v>
      </c>
      <c r="N322">
        <v>102.18692</v>
      </c>
      <c r="O322">
        <v>29.07</v>
      </c>
      <c r="P322">
        <v>0.36</v>
      </c>
      <c r="Q322">
        <v>1.88</v>
      </c>
      <c r="R322">
        <v>12.74</v>
      </c>
      <c r="S322">
        <v>16.209999</v>
      </c>
      <c r="T322">
        <v>8.4499999999999993</v>
      </c>
      <c r="U322">
        <v>15.15</v>
      </c>
      <c r="V322">
        <v>0.65</v>
      </c>
      <c r="W322">
        <v>0.06</v>
      </c>
      <c r="X322">
        <v>28253.830687999998</v>
      </c>
      <c r="Y322">
        <v>40874253.722800002</v>
      </c>
    </row>
    <row r="323" spans="1:25" x14ac:dyDescent="0.55000000000000004">
      <c r="A323">
        <v>321</v>
      </c>
      <c r="B323" t="s">
        <v>20</v>
      </c>
      <c r="C323">
        <v>24</v>
      </c>
      <c r="D323">
        <v>4</v>
      </c>
      <c r="E323" t="s">
        <v>65</v>
      </c>
      <c r="F323" t="s">
        <v>66</v>
      </c>
      <c r="G323">
        <v>22</v>
      </c>
      <c r="H323">
        <v>2</v>
      </c>
      <c r="I323">
        <v>22040000</v>
      </c>
      <c r="J323">
        <v>555</v>
      </c>
      <c r="K323">
        <v>0</v>
      </c>
      <c r="L323">
        <v>12916</v>
      </c>
      <c r="M323">
        <v>12.798636999999999</v>
      </c>
      <c r="N323">
        <v>102.35319</v>
      </c>
      <c r="O323">
        <v>15.27</v>
      </c>
      <c r="P323">
        <v>0.14000000000000001</v>
      </c>
      <c r="Q323">
        <v>0.05</v>
      </c>
      <c r="R323">
        <v>0.55000000000000004</v>
      </c>
      <c r="S323">
        <v>11.51</v>
      </c>
      <c r="T323">
        <v>6.64</v>
      </c>
      <c r="U323">
        <v>3.02</v>
      </c>
      <c r="V323">
        <v>0.74</v>
      </c>
      <c r="W323">
        <v>1.8</v>
      </c>
      <c r="X323">
        <v>36653.508671000003</v>
      </c>
      <c r="Y323">
        <v>41889104.096299998</v>
      </c>
    </row>
    <row r="324" spans="1:25" x14ac:dyDescent="0.55000000000000004">
      <c r="A324">
        <v>322</v>
      </c>
      <c r="B324" t="s">
        <v>20</v>
      </c>
      <c r="C324">
        <v>24</v>
      </c>
      <c r="D324">
        <v>4</v>
      </c>
      <c r="E324" t="s">
        <v>65</v>
      </c>
      <c r="F324" t="s">
        <v>66</v>
      </c>
      <c r="G324">
        <v>22</v>
      </c>
      <c r="H324">
        <v>2</v>
      </c>
      <c r="I324">
        <v>22040000</v>
      </c>
      <c r="J324">
        <v>556</v>
      </c>
      <c r="K324">
        <v>0</v>
      </c>
      <c r="L324">
        <v>13275</v>
      </c>
      <c r="M324">
        <v>13.041733000000001</v>
      </c>
      <c r="N324">
        <v>102.27006</v>
      </c>
      <c r="O324">
        <v>2.2799999999999998</v>
      </c>
      <c r="P324">
        <v>1.69</v>
      </c>
      <c r="Q324">
        <v>0</v>
      </c>
      <c r="R324">
        <v>1.2</v>
      </c>
      <c r="S324">
        <v>36.389999000000003</v>
      </c>
      <c r="T324">
        <v>50.959999000000003</v>
      </c>
      <c r="U324">
        <v>35.709999000000003</v>
      </c>
      <c r="V324">
        <v>14.72</v>
      </c>
      <c r="W324">
        <v>1.43</v>
      </c>
      <c r="X324">
        <v>27326.276416000001</v>
      </c>
      <c r="Y324">
        <v>40060779.946999997</v>
      </c>
    </row>
    <row r="325" spans="1:25" x14ac:dyDescent="0.55000000000000004">
      <c r="A325">
        <v>323</v>
      </c>
      <c r="B325" t="s">
        <v>20</v>
      </c>
      <c r="C325">
        <v>24</v>
      </c>
      <c r="D325">
        <v>4</v>
      </c>
      <c r="E325" t="s">
        <v>65</v>
      </c>
      <c r="F325" t="s">
        <v>66</v>
      </c>
      <c r="G325">
        <v>22</v>
      </c>
      <c r="H325">
        <v>2</v>
      </c>
      <c r="I325">
        <v>22040000</v>
      </c>
      <c r="J325">
        <v>557</v>
      </c>
      <c r="K325">
        <v>0</v>
      </c>
      <c r="L325">
        <v>13274</v>
      </c>
      <c r="M325">
        <v>13.041733000000001</v>
      </c>
      <c r="N325">
        <v>102.18692</v>
      </c>
      <c r="O325">
        <v>8.1300000000000008</v>
      </c>
      <c r="P325">
        <v>1.0900000000000001</v>
      </c>
      <c r="Q325">
        <v>0.05</v>
      </c>
      <c r="R325">
        <v>0.33</v>
      </c>
      <c r="S325">
        <v>29.030000999999999</v>
      </c>
      <c r="T325">
        <v>28.51</v>
      </c>
      <c r="U325">
        <v>42.150002000000001</v>
      </c>
      <c r="V325">
        <v>7.27</v>
      </c>
      <c r="W325">
        <v>0.23</v>
      </c>
      <c r="X325">
        <v>25759.769778000002</v>
      </c>
      <c r="Y325">
        <v>34254352.851999998</v>
      </c>
    </row>
    <row r="326" spans="1:25" x14ac:dyDescent="0.55000000000000004">
      <c r="A326">
        <v>324</v>
      </c>
      <c r="B326" t="s">
        <v>20</v>
      </c>
      <c r="C326">
        <v>24</v>
      </c>
      <c r="D326">
        <v>4</v>
      </c>
      <c r="E326" t="s">
        <v>65</v>
      </c>
      <c r="F326" t="s">
        <v>66</v>
      </c>
      <c r="G326">
        <v>22</v>
      </c>
      <c r="H326">
        <v>2</v>
      </c>
      <c r="I326">
        <v>22040000</v>
      </c>
      <c r="J326">
        <v>558</v>
      </c>
      <c r="K326">
        <v>0</v>
      </c>
      <c r="L326">
        <v>12797</v>
      </c>
      <c r="M326">
        <v>12.717560000000001</v>
      </c>
      <c r="N326">
        <v>102.436325</v>
      </c>
      <c r="O326">
        <v>21.59</v>
      </c>
      <c r="P326">
        <v>0.49</v>
      </c>
      <c r="Q326">
        <v>0.68</v>
      </c>
      <c r="R326">
        <v>11.2</v>
      </c>
      <c r="S326">
        <v>4.28</v>
      </c>
      <c r="T326">
        <v>28.68</v>
      </c>
      <c r="U326">
        <v>9.84</v>
      </c>
      <c r="V326">
        <v>0.69</v>
      </c>
      <c r="W326">
        <v>16.379999000000002</v>
      </c>
      <c r="X326">
        <v>3900.8828830000002</v>
      </c>
      <c r="Y326">
        <v>271329.609681</v>
      </c>
    </row>
    <row r="327" spans="1:25" x14ac:dyDescent="0.55000000000000004">
      <c r="A327">
        <v>325</v>
      </c>
      <c r="B327" t="s">
        <v>20</v>
      </c>
      <c r="C327">
        <v>24</v>
      </c>
      <c r="D327">
        <v>4</v>
      </c>
      <c r="E327" t="s">
        <v>65</v>
      </c>
      <c r="F327" t="s">
        <v>66</v>
      </c>
      <c r="G327">
        <v>22</v>
      </c>
      <c r="H327">
        <v>2</v>
      </c>
      <c r="I327">
        <v>22040000</v>
      </c>
      <c r="J327">
        <v>559</v>
      </c>
      <c r="K327">
        <v>0</v>
      </c>
      <c r="L327">
        <v>12917</v>
      </c>
      <c r="M327">
        <v>12.798636999999999</v>
      </c>
      <c r="N327">
        <v>102.436325</v>
      </c>
      <c r="O327">
        <v>19.09</v>
      </c>
      <c r="P327">
        <v>0.15</v>
      </c>
      <c r="Q327">
        <v>0.37</v>
      </c>
      <c r="R327">
        <v>0.73</v>
      </c>
      <c r="S327">
        <v>11.93</v>
      </c>
      <c r="T327">
        <v>13.45</v>
      </c>
      <c r="U327">
        <v>1.87</v>
      </c>
      <c r="V327">
        <v>0.92</v>
      </c>
      <c r="W327">
        <v>0.34</v>
      </c>
      <c r="X327">
        <v>39268.492746000004</v>
      </c>
      <c r="Y327">
        <v>76525951.361900002</v>
      </c>
    </row>
    <row r="328" spans="1:25" x14ac:dyDescent="0.55000000000000004">
      <c r="A328">
        <v>326</v>
      </c>
      <c r="B328" t="s">
        <v>20</v>
      </c>
      <c r="C328">
        <v>24</v>
      </c>
      <c r="D328">
        <v>4</v>
      </c>
      <c r="E328" t="s">
        <v>65</v>
      </c>
      <c r="F328" t="s">
        <v>66</v>
      </c>
      <c r="G328">
        <v>22</v>
      </c>
      <c r="H328">
        <v>2</v>
      </c>
      <c r="I328">
        <v>22040000</v>
      </c>
      <c r="J328">
        <v>560</v>
      </c>
      <c r="K328">
        <v>0</v>
      </c>
      <c r="L328">
        <v>12798</v>
      </c>
      <c r="M328">
        <v>12.717560000000001</v>
      </c>
      <c r="N328">
        <v>102.51946</v>
      </c>
      <c r="O328">
        <v>34.57</v>
      </c>
      <c r="P328">
        <v>0.61</v>
      </c>
      <c r="Q328">
        <v>0.37</v>
      </c>
      <c r="R328">
        <v>21.92</v>
      </c>
      <c r="S328">
        <v>10.58</v>
      </c>
      <c r="T328">
        <v>50.459999000000003</v>
      </c>
      <c r="U328">
        <v>0.32</v>
      </c>
      <c r="V328">
        <v>3.26</v>
      </c>
      <c r="W328">
        <v>0.93</v>
      </c>
      <c r="X328">
        <v>10994.426957</v>
      </c>
      <c r="Y328">
        <v>1800901.70682</v>
      </c>
    </row>
    <row r="329" spans="1:25" x14ac:dyDescent="0.55000000000000004">
      <c r="A329">
        <v>327</v>
      </c>
      <c r="B329" t="s">
        <v>20</v>
      </c>
      <c r="C329">
        <v>24</v>
      </c>
      <c r="D329">
        <v>4</v>
      </c>
      <c r="E329" t="s">
        <v>65</v>
      </c>
      <c r="F329" t="s">
        <v>66</v>
      </c>
      <c r="G329">
        <v>22</v>
      </c>
      <c r="H329">
        <v>2</v>
      </c>
      <c r="I329">
        <v>22040000</v>
      </c>
      <c r="J329">
        <v>561</v>
      </c>
      <c r="K329">
        <v>0</v>
      </c>
      <c r="L329">
        <v>13036</v>
      </c>
      <c r="M329">
        <v>12.8797</v>
      </c>
      <c r="N329">
        <v>102.35319</v>
      </c>
      <c r="O329">
        <v>0.39</v>
      </c>
      <c r="P329">
        <v>0.53</v>
      </c>
      <c r="Q329">
        <v>0.31</v>
      </c>
      <c r="R329">
        <v>0.84</v>
      </c>
      <c r="S329">
        <v>12.97</v>
      </c>
      <c r="T329">
        <v>5.78</v>
      </c>
      <c r="U329">
        <v>1.88</v>
      </c>
      <c r="V329">
        <v>0.26</v>
      </c>
      <c r="W329">
        <v>0.56999999999999995</v>
      </c>
      <c r="X329">
        <v>36022.056334000001</v>
      </c>
      <c r="Y329">
        <v>81098464.780100003</v>
      </c>
    </row>
    <row r="330" spans="1:25" x14ac:dyDescent="0.55000000000000004">
      <c r="A330">
        <v>328</v>
      </c>
      <c r="B330" t="s">
        <v>20</v>
      </c>
      <c r="C330">
        <v>24</v>
      </c>
      <c r="D330">
        <v>4</v>
      </c>
      <c r="E330" t="s">
        <v>65</v>
      </c>
      <c r="F330" t="s">
        <v>66</v>
      </c>
      <c r="G330">
        <v>22</v>
      </c>
      <c r="H330">
        <v>2</v>
      </c>
      <c r="I330">
        <v>22040000</v>
      </c>
      <c r="J330">
        <v>562</v>
      </c>
      <c r="K330">
        <v>0</v>
      </c>
      <c r="L330">
        <v>13157</v>
      </c>
      <c r="M330">
        <v>12.960724000000001</v>
      </c>
      <c r="N330">
        <v>102.436325</v>
      </c>
      <c r="O330">
        <v>1.1000000000000001</v>
      </c>
      <c r="P330">
        <v>0</v>
      </c>
      <c r="Q330">
        <v>0</v>
      </c>
      <c r="R330">
        <v>0</v>
      </c>
      <c r="S330">
        <v>70.410004000000001</v>
      </c>
      <c r="T330">
        <v>12.38</v>
      </c>
      <c r="U330">
        <v>7.33</v>
      </c>
      <c r="V330">
        <v>1.6</v>
      </c>
      <c r="W330">
        <v>2.29</v>
      </c>
      <c r="X330">
        <v>36013.829049</v>
      </c>
      <c r="Y330">
        <v>81061414.938099995</v>
      </c>
    </row>
    <row r="331" spans="1:25" x14ac:dyDescent="0.55000000000000004">
      <c r="A331">
        <v>329</v>
      </c>
      <c r="B331" t="s">
        <v>20</v>
      </c>
      <c r="C331">
        <v>24</v>
      </c>
      <c r="D331">
        <v>4</v>
      </c>
      <c r="E331" t="s">
        <v>65</v>
      </c>
      <c r="F331" t="s">
        <v>66</v>
      </c>
      <c r="G331">
        <v>22</v>
      </c>
      <c r="H331">
        <v>2</v>
      </c>
      <c r="I331">
        <v>22040000</v>
      </c>
      <c r="J331">
        <v>563</v>
      </c>
      <c r="K331">
        <v>0</v>
      </c>
      <c r="L331">
        <v>13156</v>
      </c>
      <c r="M331">
        <v>12.960724000000001</v>
      </c>
      <c r="N331">
        <v>102.35319</v>
      </c>
      <c r="O331">
        <v>0.75</v>
      </c>
      <c r="P331">
        <v>0.02</v>
      </c>
      <c r="Q331">
        <v>0.02</v>
      </c>
      <c r="R331">
        <v>0.11</v>
      </c>
      <c r="S331">
        <v>13.01</v>
      </c>
      <c r="T331">
        <v>27.5</v>
      </c>
      <c r="U331">
        <v>25.73</v>
      </c>
      <c r="V331">
        <v>1.74</v>
      </c>
      <c r="W331">
        <v>1.81</v>
      </c>
      <c r="X331">
        <v>36010.323850000001</v>
      </c>
      <c r="Y331">
        <v>81045644.183500007</v>
      </c>
    </row>
    <row r="332" spans="1:25" x14ac:dyDescent="0.55000000000000004">
      <c r="A332">
        <v>330</v>
      </c>
      <c r="B332" t="s">
        <v>20</v>
      </c>
      <c r="C332">
        <v>24</v>
      </c>
      <c r="D332">
        <v>4</v>
      </c>
      <c r="E332" t="s">
        <v>65</v>
      </c>
      <c r="F332" t="s">
        <v>66</v>
      </c>
      <c r="G332">
        <v>22</v>
      </c>
      <c r="H332">
        <v>2</v>
      </c>
      <c r="I332">
        <v>22040000</v>
      </c>
      <c r="J332">
        <v>564</v>
      </c>
      <c r="K332">
        <v>0</v>
      </c>
      <c r="L332">
        <v>13037</v>
      </c>
      <c r="M332">
        <v>12.8797</v>
      </c>
      <c r="N332">
        <v>102.436325</v>
      </c>
      <c r="O332">
        <v>1.32</v>
      </c>
      <c r="P332">
        <v>0.05</v>
      </c>
      <c r="Q332">
        <v>0.03</v>
      </c>
      <c r="R332">
        <v>0.04</v>
      </c>
      <c r="S332">
        <v>50.459999000000003</v>
      </c>
      <c r="T332">
        <v>21.82</v>
      </c>
      <c r="U332">
        <v>5.01</v>
      </c>
      <c r="V332">
        <v>0.27</v>
      </c>
      <c r="W332">
        <v>4.5999999999999996</v>
      </c>
      <c r="X332">
        <v>36025.564615000003</v>
      </c>
      <c r="Y332">
        <v>81114254.558899999</v>
      </c>
    </row>
    <row r="333" spans="1:25" x14ac:dyDescent="0.55000000000000004">
      <c r="A333">
        <v>331</v>
      </c>
      <c r="B333" t="s">
        <v>20</v>
      </c>
      <c r="C333">
        <v>24</v>
      </c>
      <c r="D333">
        <v>4</v>
      </c>
      <c r="E333" t="s">
        <v>65</v>
      </c>
      <c r="F333" t="s">
        <v>66</v>
      </c>
      <c r="G333">
        <v>22</v>
      </c>
      <c r="H333">
        <v>2</v>
      </c>
      <c r="I333">
        <v>22040000</v>
      </c>
      <c r="J333">
        <v>565</v>
      </c>
      <c r="K333">
        <v>0</v>
      </c>
      <c r="L333">
        <v>12918</v>
      </c>
      <c r="M333">
        <v>12.798636999999999</v>
      </c>
      <c r="N333">
        <v>102.51946</v>
      </c>
      <c r="O333">
        <v>7.42</v>
      </c>
      <c r="P333">
        <v>0.06</v>
      </c>
      <c r="Q333">
        <v>0.02</v>
      </c>
      <c r="R333">
        <v>1.42</v>
      </c>
      <c r="S333">
        <v>13.61</v>
      </c>
      <c r="T333">
        <v>45.48</v>
      </c>
      <c r="U333">
        <v>3.18</v>
      </c>
      <c r="V333">
        <v>10.33</v>
      </c>
      <c r="W333">
        <v>1.1000000000000001</v>
      </c>
      <c r="X333">
        <v>30157.614643000001</v>
      </c>
      <c r="Y333">
        <v>48088329.523900002</v>
      </c>
    </row>
    <row r="334" spans="1:25" x14ac:dyDescent="0.55000000000000004">
      <c r="A334">
        <v>332</v>
      </c>
      <c r="B334" t="s">
        <v>20</v>
      </c>
      <c r="C334">
        <v>24</v>
      </c>
      <c r="D334">
        <v>4</v>
      </c>
      <c r="E334" t="s">
        <v>65</v>
      </c>
      <c r="F334" t="s">
        <v>66</v>
      </c>
      <c r="G334">
        <v>22</v>
      </c>
      <c r="H334">
        <v>2</v>
      </c>
      <c r="I334">
        <v>22040000</v>
      </c>
      <c r="J334">
        <v>566</v>
      </c>
      <c r="K334">
        <v>0</v>
      </c>
      <c r="L334">
        <v>13038</v>
      </c>
      <c r="M334">
        <v>12.8797</v>
      </c>
      <c r="N334">
        <v>102.51946</v>
      </c>
      <c r="O334">
        <v>1.24</v>
      </c>
      <c r="P334">
        <v>1.57</v>
      </c>
      <c r="Q334">
        <v>0</v>
      </c>
      <c r="R334">
        <v>0</v>
      </c>
      <c r="S334">
        <v>27.77</v>
      </c>
      <c r="T334">
        <v>18.190000999999999</v>
      </c>
      <c r="U334">
        <v>12.21</v>
      </c>
      <c r="V334">
        <v>1.42</v>
      </c>
      <c r="W334">
        <v>2.76</v>
      </c>
      <c r="X334">
        <v>27562.928629000002</v>
      </c>
      <c r="Y334">
        <v>26068460.230599999</v>
      </c>
    </row>
    <row r="335" spans="1:25" x14ac:dyDescent="0.55000000000000004">
      <c r="A335">
        <v>333</v>
      </c>
      <c r="B335" t="s">
        <v>20</v>
      </c>
      <c r="C335">
        <v>24</v>
      </c>
      <c r="D335">
        <v>4</v>
      </c>
      <c r="E335" t="s">
        <v>65</v>
      </c>
      <c r="F335" t="s">
        <v>66</v>
      </c>
      <c r="G335">
        <v>22</v>
      </c>
      <c r="H335">
        <v>2</v>
      </c>
      <c r="I335">
        <v>22040000</v>
      </c>
      <c r="J335">
        <v>567</v>
      </c>
      <c r="K335">
        <v>0</v>
      </c>
      <c r="L335">
        <v>13277</v>
      </c>
      <c r="M335">
        <v>13.041733000000001</v>
      </c>
      <c r="N335">
        <v>102.436325</v>
      </c>
      <c r="O335">
        <v>10.94</v>
      </c>
      <c r="P335">
        <v>5.81</v>
      </c>
      <c r="Q335">
        <v>0</v>
      </c>
      <c r="R335">
        <v>0.19</v>
      </c>
      <c r="S335">
        <v>5.07</v>
      </c>
      <c r="T335">
        <v>14.99</v>
      </c>
      <c r="U335">
        <v>12.84</v>
      </c>
      <c r="V335">
        <v>3.26</v>
      </c>
      <c r="W335">
        <v>0.36</v>
      </c>
      <c r="X335">
        <v>34453.88538</v>
      </c>
      <c r="Y335">
        <v>76899424.330699995</v>
      </c>
    </row>
    <row r="336" spans="1:25" x14ac:dyDescent="0.55000000000000004">
      <c r="A336">
        <v>334</v>
      </c>
      <c r="B336" t="s">
        <v>20</v>
      </c>
      <c r="C336">
        <v>24</v>
      </c>
      <c r="D336">
        <v>4</v>
      </c>
      <c r="E336" t="s">
        <v>65</v>
      </c>
      <c r="F336" t="s">
        <v>66</v>
      </c>
      <c r="G336">
        <v>22</v>
      </c>
      <c r="H336">
        <v>2</v>
      </c>
      <c r="I336">
        <v>22040000</v>
      </c>
      <c r="J336">
        <v>568</v>
      </c>
      <c r="K336">
        <v>0</v>
      </c>
      <c r="L336">
        <v>13276</v>
      </c>
      <c r="M336">
        <v>13.041733000000001</v>
      </c>
      <c r="N336">
        <v>102.35319</v>
      </c>
      <c r="O336">
        <v>6.72</v>
      </c>
      <c r="P336">
        <v>6.95</v>
      </c>
      <c r="Q336">
        <v>0</v>
      </c>
      <c r="R336">
        <v>10.3</v>
      </c>
      <c r="S336">
        <v>7.3</v>
      </c>
      <c r="T336">
        <v>15.32</v>
      </c>
      <c r="U336">
        <v>34.790000999999997</v>
      </c>
      <c r="V336">
        <v>15.33</v>
      </c>
      <c r="W336">
        <v>0.42</v>
      </c>
      <c r="X336">
        <v>34928.030598999998</v>
      </c>
      <c r="Y336">
        <v>62576417.949500002</v>
      </c>
    </row>
    <row r="337" spans="1:25" x14ac:dyDescent="0.55000000000000004">
      <c r="A337">
        <v>335</v>
      </c>
      <c r="B337" t="s">
        <v>20</v>
      </c>
      <c r="C337">
        <v>24</v>
      </c>
      <c r="D337">
        <v>4</v>
      </c>
      <c r="E337" t="s">
        <v>65</v>
      </c>
      <c r="F337" t="s">
        <v>66</v>
      </c>
      <c r="G337">
        <v>22</v>
      </c>
      <c r="H337">
        <v>2</v>
      </c>
      <c r="I337">
        <v>22040000</v>
      </c>
      <c r="J337">
        <v>620</v>
      </c>
      <c r="K337">
        <v>0</v>
      </c>
      <c r="L337">
        <v>13278</v>
      </c>
      <c r="M337">
        <v>13.041733000000001</v>
      </c>
      <c r="N337">
        <v>102.51946</v>
      </c>
      <c r="O337">
        <v>24.1</v>
      </c>
      <c r="P337">
        <v>1.47</v>
      </c>
      <c r="Q337">
        <v>0</v>
      </c>
      <c r="R337">
        <v>0</v>
      </c>
      <c r="S337">
        <v>17.700001</v>
      </c>
      <c r="T337">
        <v>5.66</v>
      </c>
      <c r="U337">
        <v>12.59</v>
      </c>
      <c r="V337">
        <v>1.48</v>
      </c>
      <c r="W337">
        <v>0.31</v>
      </c>
      <c r="X337">
        <v>18956.159198000001</v>
      </c>
      <c r="Y337">
        <v>8299340.3327700002</v>
      </c>
    </row>
    <row r="338" spans="1:25" x14ac:dyDescent="0.55000000000000004">
      <c r="A338">
        <v>336</v>
      </c>
      <c r="B338" t="s">
        <v>20</v>
      </c>
      <c r="C338">
        <v>24</v>
      </c>
      <c r="D338">
        <v>4</v>
      </c>
      <c r="E338" t="s">
        <v>65</v>
      </c>
      <c r="F338" t="s">
        <v>66</v>
      </c>
      <c r="G338">
        <v>22</v>
      </c>
      <c r="H338">
        <v>2</v>
      </c>
      <c r="I338">
        <v>22040000</v>
      </c>
      <c r="J338">
        <v>621</v>
      </c>
      <c r="K338">
        <v>0</v>
      </c>
      <c r="L338">
        <v>13158</v>
      </c>
      <c r="M338">
        <v>12.960724000000001</v>
      </c>
      <c r="N338">
        <v>102.51946</v>
      </c>
      <c r="O338">
        <v>0.04</v>
      </c>
      <c r="P338">
        <v>2.16</v>
      </c>
      <c r="Q338">
        <v>0</v>
      </c>
      <c r="R338">
        <v>0</v>
      </c>
      <c r="S338">
        <v>54.150002000000001</v>
      </c>
      <c r="T338">
        <v>2.8</v>
      </c>
      <c r="U338">
        <v>12.11</v>
      </c>
      <c r="V338">
        <v>2.42</v>
      </c>
      <c r="W338">
        <v>1.77</v>
      </c>
      <c r="X338">
        <v>34125.949954000003</v>
      </c>
      <c r="Y338">
        <v>18144283.083799999</v>
      </c>
    </row>
    <row r="339" spans="1:25" x14ac:dyDescent="0.55000000000000004">
      <c r="A339">
        <v>337</v>
      </c>
      <c r="B339" t="s">
        <v>20</v>
      </c>
      <c r="C339">
        <v>24</v>
      </c>
      <c r="D339">
        <v>4</v>
      </c>
      <c r="E339" t="s">
        <v>65</v>
      </c>
      <c r="F339" t="s">
        <v>66</v>
      </c>
      <c r="G339">
        <v>22</v>
      </c>
      <c r="H339">
        <v>2</v>
      </c>
      <c r="I339">
        <v>22040000</v>
      </c>
      <c r="J339">
        <v>994</v>
      </c>
      <c r="K339">
        <v>0</v>
      </c>
      <c r="L339">
        <v>13396</v>
      </c>
      <c r="M339">
        <v>13.122719</v>
      </c>
      <c r="N339">
        <v>102.35319</v>
      </c>
      <c r="O339">
        <v>18.91</v>
      </c>
      <c r="P339">
        <v>8.7200000000000006</v>
      </c>
      <c r="Q339">
        <v>0</v>
      </c>
      <c r="R339">
        <v>0.27</v>
      </c>
      <c r="S339">
        <v>35.200001</v>
      </c>
      <c r="T339">
        <v>6.6</v>
      </c>
      <c r="U339">
        <v>15.72</v>
      </c>
      <c r="V339">
        <v>14.57</v>
      </c>
      <c r="W339">
        <v>2.44</v>
      </c>
      <c r="X339">
        <v>29883.764080000001</v>
      </c>
      <c r="Y339">
        <v>35921010.137100004</v>
      </c>
    </row>
    <row r="340" spans="1:25" x14ac:dyDescent="0.55000000000000004">
      <c r="A340">
        <v>338</v>
      </c>
      <c r="B340" t="s">
        <v>20</v>
      </c>
      <c r="C340">
        <v>24</v>
      </c>
      <c r="D340">
        <v>4</v>
      </c>
      <c r="E340" t="s">
        <v>65</v>
      </c>
      <c r="F340" t="s">
        <v>66</v>
      </c>
      <c r="G340">
        <v>22</v>
      </c>
      <c r="H340">
        <v>2</v>
      </c>
      <c r="I340">
        <v>22040000</v>
      </c>
      <c r="J340">
        <v>1003</v>
      </c>
      <c r="K340">
        <v>0</v>
      </c>
      <c r="L340">
        <v>13397</v>
      </c>
      <c r="M340">
        <v>13.122719</v>
      </c>
      <c r="N340">
        <v>102.436325</v>
      </c>
      <c r="O340">
        <v>56.459999000000003</v>
      </c>
      <c r="P340">
        <v>6.86</v>
      </c>
      <c r="Q340">
        <v>0</v>
      </c>
      <c r="R340">
        <v>1.96</v>
      </c>
      <c r="S340">
        <v>1.64</v>
      </c>
      <c r="T340">
        <v>4.45</v>
      </c>
      <c r="U340">
        <v>15.14</v>
      </c>
      <c r="V340">
        <v>10.38</v>
      </c>
      <c r="W340">
        <v>7.0000000000000007E-2</v>
      </c>
      <c r="X340">
        <v>30819.896765000001</v>
      </c>
      <c r="Y340">
        <v>24722230.444200002</v>
      </c>
    </row>
    <row r="341" spans="1:25" x14ac:dyDescent="0.55000000000000004">
      <c r="A341">
        <v>339</v>
      </c>
      <c r="B341" t="s">
        <v>20</v>
      </c>
      <c r="C341">
        <v>25</v>
      </c>
      <c r="D341">
        <v>5</v>
      </c>
      <c r="E341" t="s">
        <v>67</v>
      </c>
      <c r="F341" t="s">
        <v>68</v>
      </c>
      <c r="G341">
        <v>22</v>
      </c>
      <c r="H341">
        <v>2</v>
      </c>
      <c r="I341">
        <v>22050000</v>
      </c>
      <c r="J341">
        <v>503</v>
      </c>
      <c r="K341">
        <v>0</v>
      </c>
      <c r="L341">
        <v>12674</v>
      </c>
      <c r="M341">
        <v>12.636443999999999</v>
      </c>
      <c r="N341">
        <v>102.18692</v>
      </c>
      <c r="O341">
        <v>1.7</v>
      </c>
      <c r="P341">
        <v>11.62</v>
      </c>
      <c r="Q341">
        <v>0.92</v>
      </c>
      <c r="R341">
        <v>3.09</v>
      </c>
      <c r="S341">
        <v>3.71</v>
      </c>
      <c r="T341">
        <v>1.9</v>
      </c>
      <c r="U341">
        <v>12.01</v>
      </c>
      <c r="V341">
        <v>4.4000000000000004</v>
      </c>
      <c r="W341">
        <v>3.28</v>
      </c>
      <c r="X341">
        <v>33963.193156000001</v>
      </c>
      <c r="Y341">
        <v>60019110.088</v>
      </c>
    </row>
    <row r="342" spans="1:25" x14ac:dyDescent="0.55000000000000004">
      <c r="A342">
        <v>340</v>
      </c>
      <c r="B342" t="s">
        <v>20</v>
      </c>
      <c r="C342">
        <v>25</v>
      </c>
      <c r="D342">
        <v>5</v>
      </c>
      <c r="E342" t="s">
        <v>67</v>
      </c>
      <c r="F342" t="s">
        <v>68</v>
      </c>
      <c r="G342">
        <v>22</v>
      </c>
      <c r="H342">
        <v>2</v>
      </c>
      <c r="I342">
        <v>22050000</v>
      </c>
      <c r="J342">
        <v>504</v>
      </c>
      <c r="K342">
        <v>0</v>
      </c>
      <c r="L342">
        <v>12673</v>
      </c>
      <c r="M342">
        <v>12.636443999999999</v>
      </c>
      <c r="N342">
        <v>102.10378</v>
      </c>
      <c r="O342">
        <v>2.1</v>
      </c>
      <c r="P342">
        <v>0.18</v>
      </c>
      <c r="Q342">
        <v>0</v>
      </c>
      <c r="R342">
        <v>5.64</v>
      </c>
      <c r="S342">
        <v>3.69</v>
      </c>
      <c r="T342">
        <v>4.9400000000000004</v>
      </c>
      <c r="U342">
        <v>17.719999000000001</v>
      </c>
      <c r="V342">
        <v>18.59</v>
      </c>
      <c r="W342">
        <v>21.59</v>
      </c>
      <c r="X342">
        <v>11814.467181</v>
      </c>
      <c r="Y342">
        <v>1422344.7281899999</v>
      </c>
    </row>
    <row r="343" spans="1:25" x14ac:dyDescent="0.55000000000000004">
      <c r="A343">
        <v>341</v>
      </c>
      <c r="B343" t="s">
        <v>20</v>
      </c>
      <c r="C343">
        <v>25</v>
      </c>
      <c r="D343">
        <v>5</v>
      </c>
      <c r="E343" t="s">
        <v>67</v>
      </c>
      <c r="F343" t="s">
        <v>68</v>
      </c>
      <c r="G343">
        <v>22</v>
      </c>
      <c r="H343">
        <v>2</v>
      </c>
      <c r="I343">
        <v>22050000</v>
      </c>
      <c r="J343">
        <v>505</v>
      </c>
      <c r="K343">
        <v>0</v>
      </c>
      <c r="L343">
        <v>12554</v>
      </c>
      <c r="M343">
        <v>12.555313</v>
      </c>
      <c r="N343">
        <v>102.18692</v>
      </c>
      <c r="O343">
        <v>2.08</v>
      </c>
      <c r="P343">
        <v>0.11</v>
      </c>
      <c r="Q343">
        <v>0.01</v>
      </c>
      <c r="R343">
        <v>3.34</v>
      </c>
      <c r="S343">
        <v>0.43</v>
      </c>
      <c r="T343">
        <v>1.39</v>
      </c>
      <c r="U343">
        <v>12.93</v>
      </c>
      <c r="V343">
        <v>9.9700000000000006</v>
      </c>
      <c r="W343">
        <v>8.17</v>
      </c>
      <c r="X343">
        <v>3019.619029</v>
      </c>
      <c r="Y343">
        <v>492495.23459299997</v>
      </c>
    </row>
    <row r="344" spans="1:25" x14ac:dyDescent="0.55000000000000004">
      <c r="A344">
        <v>342</v>
      </c>
      <c r="B344" t="s">
        <v>20</v>
      </c>
      <c r="C344">
        <v>25</v>
      </c>
      <c r="D344">
        <v>5</v>
      </c>
      <c r="E344" t="s">
        <v>67</v>
      </c>
      <c r="F344" t="s">
        <v>68</v>
      </c>
      <c r="G344">
        <v>22</v>
      </c>
      <c r="H344">
        <v>2</v>
      </c>
      <c r="I344">
        <v>22050000</v>
      </c>
      <c r="J344">
        <v>511</v>
      </c>
      <c r="K344">
        <v>0</v>
      </c>
      <c r="L344">
        <v>12675</v>
      </c>
      <c r="M344">
        <v>12.636443999999999</v>
      </c>
      <c r="N344">
        <v>102.27006</v>
      </c>
      <c r="O344">
        <v>22.74</v>
      </c>
      <c r="P344">
        <v>0.09</v>
      </c>
      <c r="Q344">
        <v>0.17</v>
      </c>
      <c r="R344">
        <v>0.82</v>
      </c>
      <c r="S344">
        <v>1.5</v>
      </c>
      <c r="T344">
        <v>2.41</v>
      </c>
      <c r="U344">
        <v>8.68</v>
      </c>
      <c r="V344">
        <v>4.07</v>
      </c>
      <c r="W344">
        <v>5.54</v>
      </c>
      <c r="X344">
        <v>30655.405836999998</v>
      </c>
      <c r="Y344">
        <v>36796130.346199997</v>
      </c>
    </row>
    <row r="345" spans="1:25" x14ac:dyDescent="0.55000000000000004">
      <c r="A345">
        <v>343</v>
      </c>
      <c r="B345" t="s">
        <v>20</v>
      </c>
      <c r="C345">
        <v>25</v>
      </c>
      <c r="D345">
        <v>5</v>
      </c>
      <c r="E345" t="s">
        <v>67</v>
      </c>
      <c r="F345" t="s">
        <v>68</v>
      </c>
      <c r="G345">
        <v>22</v>
      </c>
      <c r="H345">
        <v>2</v>
      </c>
      <c r="I345">
        <v>22050000</v>
      </c>
      <c r="J345">
        <v>538</v>
      </c>
      <c r="K345">
        <v>0</v>
      </c>
      <c r="L345">
        <v>12793</v>
      </c>
      <c r="M345">
        <v>12.717560000000001</v>
      </c>
      <c r="N345">
        <v>102.10378</v>
      </c>
      <c r="O345">
        <v>23.540001</v>
      </c>
      <c r="P345">
        <v>0.01</v>
      </c>
      <c r="Q345">
        <v>0.01</v>
      </c>
      <c r="R345">
        <v>2.27</v>
      </c>
      <c r="S345">
        <v>0.73</v>
      </c>
      <c r="T345">
        <v>7.64</v>
      </c>
      <c r="U345">
        <v>4.29</v>
      </c>
      <c r="V345">
        <v>0.47</v>
      </c>
      <c r="W345">
        <v>4.49</v>
      </c>
      <c r="X345">
        <v>24254.188429000002</v>
      </c>
      <c r="Y345">
        <v>21328113.107299998</v>
      </c>
    </row>
    <row r="346" spans="1:25" x14ac:dyDescent="0.55000000000000004">
      <c r="A346">
        <v>344</v>
      </c>
      <c r="B346" t="s">
        <v>20</v>
      </c>
      <c r="C346">
        <v>25</v>
      </c>
      <c r="D346">
        <v>5</v>
      </c>
      <c r="E346" t="s">
        <v>67</v>
      </c>
      <c r="F346" t="s">
        <v>68</v>
      </c>
      <c r="G346">
        <v>22</v>
      </c>
      <c r="H346">
        <v>2</v>
      </c>
      <c r="I346">
        <v>22050000</v>
      </c>
      <c r="J346">
        <v>539</v>
      </c>
      <c r="K346">
        <v>0</v>
      </c>
      <c r="L346">
        <v>12913</v>
      </c>
      <c r="M346">
        <v>12.798636999999999</v>
      </c>
      <c r="N346">
        <v>102.10378</v>
      </c>
      <c r="O346">
        <v>75.379997000000003</v>
      </c>
      <c r="P346">
        <v>0.02</v>
      </c>
      <c r="Q346">
        <v>0.08</v>
      </c>
      <c r="R346">
        <v>0.06</v>
      </c>
      <c r="S346">
        <v>18.940000999999999</v>
      </c>
      <c r="T346">
        <v>4.8</v>
      </c>
      <c r="U346">
        <v>6.71</v>
      </c>
      <c r="V346">
        <v>2.0299999999999998</v>
      </c>
      <c r="W346">
        <v>4.7300000000000004</v>
      </c>
      <c r="X346">
        <v>9502.3994989999992</v>
      </c>
      <c r="Y346">
        <v>5583885.7351399995</v>
      </c>
    </row>
    <row r="347" spans="1:25" x14ac:dyDescent="0.55000000000000004">
      <c r="A347">
        <v>345</v>
      </c>
      <c r="B347" t="s">
        <v>20</v>
      </c>
      <c r="C347">
        <v>25</v>
      </c>
      <c r="D347">
        <v>5</v>
      </c>
      <c r="E347" t="s">
        <v>67</v>
      </c>
      <c r="F347" t="s">
        <v>68</v>
      </c>
      <c r="G347">
        <v>22</v>
      </c>
      <c r="H347">
        <v>2</v>
      </c>
      <c r="I347">
        <v>22050000</v>
      </c>
      <c r="J347">
        <v>540</v>
      </c>
      <c r="K347">
        <v>0</v>
      </c>
      <c r="L347">
        <v>12794</v>
      </c>
      <c r="M347">
        <v>12.717560000000001</v>
      </c>
      <c r="N347">
        <v>102.18692</v>
      </c>
      <c r="O347">
        <v>13.23</v>
      </c>
      <c r="P347">
        <v>0.28999999999999998</v>
      </c>
      <c r="Q347">
        <v>0.18</v>
      </c>
      <c r="R347">
        <v>5.19</v>
      </c>
      <c r="S347">
        <v>10.76</v>
      </c>
      <c r="T347">
        <v>7.9</v>
      </c>
      <c r="U347">
        <v>9.48</v>
      </c>
      <c r="V347">
        <v>0.23</v>
      </c>
      <c r="W347">
        <v>6.29</v>
      </c>
      <c r="X347">
        <v>36041.107451000003</v>
      </c>
      <c r="Y347">
        <v>81184246.467700005</v>
      </c>
    </row>
    <row r="348" spans="1:25" x14ac:dyDescent="0.55000000000000004">
      <c r="A348">
        <v>346</v>
      </c>
      <c r="B348" t="s">
        <v>20</v>
      </c>
      <c r="C348">
        <v>25</v>
      </c>
      <c r="D348">
        <v>5</v>
      </c>
      <c r="E348" t="s">
        <v>67</v>
      </c>
      <c r="F348" t="s">
        <v>68</v>
      </c>
      <c r="G348">
        <v>22</v>
      </c>
      <c r="H348">
        <v>2</v>
      </c>
      <c r="I348">
        <v>22050000</v>
      </c>
      <c r="J348">
        <v>545</v>
      </c>
      <c r="K348">
        <v>0</v>
      </c>
      <c r="L348">
        <v>12914</v>
      </c>
      <c r="M348">
        <v>12.798636999999999</v>
      </c>
      <c r="N348">
        <v>102.18692</v>
      </c>
      <c r="O348">
        <v>32.5</v>
      </c>
      <c r="P348">
        <v>0.41</v>
      </c>
      <c r="Q348">
        <v>0.22</v>
      </c>
      <c r="R348">
        <v>0.19</v>
      </c>
      <c r="S348">
        <v>39.840000000000003</v>
      </c>
      <c r="T348">
        <v>12.78</v>
      </c>
      <c r="U348">
        <v>1.88</v>
      </c>
      <c r="V348">
        <v>0.03</v>
      </c>
      <c r="W348">
        <v>1.53</v>
      </c>
      <c r="X348">
        <v>33290.610956999997</v>
      </c>
      <c r="Y348">
        <v>57664129.934299998</v>
      </c>
    </row>
    <row r="349" spans="1:25" x14ac:dyDescent="0.55000000000000004">
      <c r="A349">
        <v>347</v>
      </c>
      <c r="B349" t="s">
        <v>20</v>
      </c>
      <c r="C349">
        <v>25</v>
      </c>
      <c r="D349">
        <v>5</v>
      </c>
      <c r="E349" t="s">
        <v>67</v>
      </c>
      <c r="F349" t="s">
        <v>68</v>
      </c>
      <c r="G349">
        <v>22</v>
      </c>
      <c r="H349">
        <v>2</v>
      </c>
      <c r="I349">
        <v>22050000</v>
      </c>
      <c r="J349">
        <v>548</v>
      </c>
      <c r="K349">
        <v>0</v>
      </c>
      <c r="L349">
        <v>12795</v>
      </c>
      <c r="M349">
        <v>12.717560000000001</v>
      </c>
      <c r="N349">
        <v>102.27006</v>
      </c>
      <c r="O349">
        <v>0.82</v>
      </c>
      <c r="P349">
        <v>3.1</v>
      </c>
      <c r="Q349">
        <v>15.02</v>
      </c>
      <c r="R349">
        <v>0.74</v>
      </c>
      <c r="S349">
        <v>9.0299999999999994</v>
      </c>
      <c r="T349">
        <v>23.219999000000001</v>
      </c>
      <c r="U349">
        <v>5.01</v>
      </c>
      <c r="V349">
        <v>2.96</v>
      </c>
      <c r="W349">
        <v>2.23</v>
      </c>
      <c r="X349">
        <v>40328.707944000002</v>
      </c>
      <c r="Y349">
        <v>65825677.303599998</v>
      </c>
    </row>
    <row r="350" spans="1:25" x14ac:dyDescent="0.55000000000000004">
      <c r="A350">
        <v>348</v>
      </c>
      <c r="B350" t="s">
        <v>20</v>
      </c>
      <c r="C350">
        <v>25</v>
      </c>
      <c r="D350">
        <v>5</v>
      </c>
      <c r="E350" t="s">
        <v>67</v>
      </c>
      <c r="F350" t="s">
        <v>68</v>
      </c>
      <c r="G350">
        <v>22</v>
      </c>
      <c r="H350">
        <v>2</v>
      </c>
      <c r="I350">
        <v>22050000</v>
      </c>
      <c r="J350">
        <v>549</v>
      </c>
      <c r="K350">
        <v>0</v>
      </c>
      <c r="L350">
        <v>13035</v>
      </c>
      <c r="M350">
        <v>12.8797</v>
      </c>
      <c r="N350">
        <v>102.27006</v>
      </c>
      <c r="O350">
        <v>0.81</v>
      </c>
      <c r="P350">
        <v>1.24</v>
      </c>
      <c r="Q350">
        <v>0.99</v>
      </c>
      <c r="R350">
        <v>1.3</v>
      </c>
      <c r="S350">
        <v>71.360000999999997</v>
      </c>
      <c r="T350">
        <v>6.36</v>
      </c>
      <c r="U350">
        <v>5.38</v>
      </c>
      <c r="V350">
        <v>7.0000000000000007E-2</v>
      </c>
      <c r="W350">
        <v>7.0000000000000007E-2</v>
      </c>
      <c r="X350">
        <v>21198.172626</v>
      </c>
      <c r="Y350">
        <v>11994975.8873</v>
      </c>
    </row>
    <row r="351" spans="1:25" x14ac:dyDescent="0.55000000000000004">
      <c r="A351">
        <v>349</v>
      </c>
      <c r="B351" t="s">
        <v>20</v>
      </c>
      <c r="C351">
        <v>25</v>
      </c>
      <c r="D351">
        <v>5</v>
      </c>
      <c r="E351" t="s">
        <v>67</v>
      </c>
      <c r="F351" t="s">
        <v>68</v>
      </c>
      <c r="G351">
        <v>22</v>
      </c>
      <c r="H351">
        <v>2</v>
      </c>
      <c r="I351">
        <v>22050000</v>
      </c>
      <c r="J351">
        <v>550</v>
      </c>
      <c r="K351">
        <v>0</v>
      </c>
      <c r="L351">
        <v>13034</v>
      </c>
      <c r="M351">
        <v>12.8797</v>
      </c>
      <c r="N351">
        <v>102.18692</v>
      </c>
      <c r="O351">
        <v>3.97</v>
      </c>
      <c r="P351">
        <v>0.87</v>
      </c>
      <c r="Q351">
        <v>0.89</v>
      </c>
      <c r="R351">
        <v>1.5</v>
      </c>
      <c r="S351">
        <v>8.24</v>
      </c>
      <c r="T351">
        <v>11.89</v>
      </c>
      <c r="U351">
        <v>8.85</v>
      </c>
      <c r="V351">
        <v>0.01</v>
      </c>
      <c r="W351">
        <v>0</v>
      </c>
      <c r="X351">
        <v>15937.872135</v>
      </c>
      <c r="Y351">
        <v>15128641.290200001</v>
      </c>
    </row>
    <row r="352" spans="1:25" x14ac:dyDescent="0.55000000000000004">
      <c r="A352">
        <v>350</v>
      </c>
      <c r="B352" t="s">
        <v>20</v>
      </c>
      <c r="C352">
        <v>25</v>
      </c>
      <c r="D352">
        <v>5</v>
      </c>
      <c r="E352" t="s">
        <v>67</v>
      </c>
      <c r="F352" t="s">
        <v>68</v>
      </c>
      <c r="G352">
        <v>22</v>
      </c>
      <c r="H352">
        <v>2</v>
      </c>
      <c r="I352">
        <v>22050000</v>
      </c>
      <c r="J352">
        <v>551</v>
      </c>
      <c r="K352">
        <v>0</v>
      </c>
      <c r="L352">
        <v>12915</v>
      </c>
      <c r="M352">
        <v>12.798636999999999</v>
      </c>
      <c r="N352">
        <v>102.27006</v>
      </c>
      <c r="O352">
        <v>4.82</v>
      </c>
      <c r="P352">
        <v>0.61</v>
      </c>
      <c r="Q352">
        <v>0.27</v>
      </c>
      <c r="R352">
        <v>0.69</v>
      </c>
      <c r="S352">
        <v>13.46</v>
      </c>
      <c r="T352">
        <v>27.059999000000001</v>
      </c>
      <c r="U352">
        <v>5.92</v>
      </c>
      <c r="V352">
        <v>2.88</v>
      </c>
      <c r="W352">
        <v>7.0000000000000007E-2</v>
      </c>
      <c r="X352">
        <v>38618.126157999999</v>
      </c>
      <c r="Y352">
        <v>75491012.780499995</v>
      </c>
    </row>
    <row r="353" spans="1:25" x14ac:dyDescent="0.55000000000000004">
      <c r="A353">
        <v>351</v>
      </c>
      <c r="B353" t="s">
        <v>20</v>
      </c>
      <c r="C353">
        <v>25</v>
      </c>
      <c r="D353">
        <v>5</v>
      </c>
      <c r="E353" t="s">
        <v>67</v>
      </c>
      <c r="F353" t="s">
        <v>68</v>
      </c>
      <c r="G353">
        <v>22</v>
      </c>
      <c r="H353">
        <v>2</v>
      </c>
      <c r="I353">
        <v>22050000</v>
      </c>
      <c r="J353">
        <v>552</v>
      </c>
      <c r="K353">
        <v>0</v>
      </c>
      <c r="L353">
        <v>12796</v>
      </c>
      <c r="M353">
        <v>12.717560000000001</v>
      </c>
      <c r="N353">
        <v>102.35319</v>
      </c>
      <c r="O353">
        <v>1.5</v>
      </c>
      <c r="P353">
        <v>0.03</v>
      </c>
      <c r="Q353">
        <v>2.89</v>
      </c>
      <c r="R353">
        <v>6.88</v>
      </c>
      <c r="S353">
        <v>3.84</v>
      </c>
      <c r="T353">
        <v>22.870000999999998</v>
      </c>
      <c r="U353">
        <v>28.59</v>
      </c>
      <c r="V353">
        <v>0.43</v>
      </c>
      <c r="W353">
        <v>18.829999999999998</v>
      </c>
      <c r="X353">
        <v>13383.233155</v>
      </c>
      <c r="Y353">
        <v>6278517.8653499996</v>
      </c>
    </row>
    <row r="354" spans="1:25" x14ac:dyDescent="0.55000000000000004">
      <c r="A354">
        <v>352</v>
      </c>
      <c r="B354" t="s">
        <v>20</v>
      </c>
      <c r="C354">
        <v>25</v>
      </c>
      <c r="D354">
        <v>5</v>
      </c>
      <c r="E354" t="s">
        <v>67</v>
      </c>
      <c r="F354" t="s">
        <v>68</v>
      </c>
      <c r="G354">
        <v>22</v>
      </c>
      <c r="H354">
        <v>2</v>
      </c>
      <c r="I354">
        <v>22050000</v>
      </c>
      <c r="J354">
        <v>555</v>
      </c>
      <c r="K354">
        <v>0</v>
      </c>
      <c r="L354">
        <v>12916</v>
      </c>
      <c r="M354">
        <v>12.798636999999999</v>
      </c>
      <c r="N354">
        <v>102.35319</v>
      </c>
      <c r="O354">
        <v>15.27</v>
      </c>
      <c r="P354">
        <v>0.14000000000000001</v>
      </c>
      <c r="Q354">
        <v>0.05</v>
      </c>
      <c r="R354">
        <v>0.55000000000000004</v>
      </c>
      <c r="S354">
        <v>11.51</v>
      </c>
      <c r="T354">
        <v>6.64</v>
      </c>
      <c r="U354">
        <v>3.02</v>
      </c>
      <c r="V354">
        <v>0.74</v>
      </c>
      <c r="W354">
        <v>1.8</v>
      </c>
      <c r="X354">
        <v>15101.951483000001</v>
      </c>
      <c r="Y354">
        <v>6388114.7769799996</v>
      </c>
    </row>
    <row r="355" spans="1:25" x14ac:dyDescent="0.55000000000000004">
      <c r="A355">
        <v>353</v>
      </c>
      <c r="B355" t="s">
        <v>20</v>
      </c>
      <c r="C355">
        <v>26</v>
      </c>
      <c r="D355">
        <v>6</v>
      </c>
      <c r="E355" t="s">
        <v>69</v>
      </c>
      <c r="F355" t="s">
        <v>70</v>
      </c>
      <c r="G355">
        <v>22</v>
      </c>
      <c r="H355">
        <v>2</v>
      </c>
      <c r="I355">
        <v>22060000</v>
      </c>
      <c r="J355">
        <v>488</v>
      </c>
      <c r="K355">
        <v>0</v>
      </c>
      <c r="L355">
        <v>12432</v>
      </c>
      <c r="M355">
        <v>12.474159</v>
      </c>
      <c r="N355">
        <v>102.020645</v>
      </c>
      <c r="O355">
        <v>0.43</v>
      </c>
      <c r="P355">
        <v>0.01</v>
      </c>
      <c r="Q355">
        <v>0.12</v>
      </c>
      <c r="R355">
        <v>0.96</v>
      </c>
      <c r="S355">
        <v>3.77</v>
      </c>
      <c r="T355">
        <v>0.85</v>
      </c>
      <c r="U355">
        <v>38.389999000000003</v>
      </c>
      <c r="V355">
        <v>0.98</v>
      </c>
      <c r="W355">
        <v>9.01</v>
      </c>
      <c r="X355">
        <v>22874.485966</v>
      </c>
      <c r="Y355">
        <v>10880687.9888</v>
      </c>
    </row>
    <row r="356" spans="1:25" x14ac:dyDescent="0.55000000000000004">
      <c r="A356">
        <v>354</v>
      </c>
      <c r="B356" t="s">
        <v>20</v>
      </c>
      <c r="C356">
        <v>26</v>
      </c>
      <c r="D356">
        <v>6</v>
      </c>
      <c r="E356" t="s">
        <v>69</v>
      </c>
      <c r="F356" t="s">
        <v>70</v>
      </c>
      <c r="G356">
        <v>22</v>
      </c>
      <c r="H356">
        <v>2</v>
      </c>
      <c r="I356">
        <v>22060000</v>
      </c>
      <c r="J356">
        <v>493</v>
      </c>
      <c r="K356">
        <v>0</v>
      </c>
      <c r="L356">
        <v>12551</v>
      </c>
      <c r="M356">
        <v>12.555313</v>
      </c>
      <c r="N356">
        <v>101.93751</v>
      </c>
      <c r="O356">
        <v>0</v>
      </c>
      <c r="P356">
        <v>0.1</v>
      </c>
      <c r="Q356">
        <v>0.15</v>
      </c>
      <c r="R356">
        <v>0.51</v>
      </c>
      <c r="S356">
        <v>5.3</v>
      </c>
      <c r="T356">
        <v>0.35</v>
      </c>
      <c r="U356">
        <v>25.440000999999999</v>
      </c>
      <c r="V356">
        <v>6.76</v>
      </c>
      <c r="W356">
        <v>1.2</v>
      </c>
      <c r="X356">
        <v>1660.310064</v>
      </c>
      <c r="Y356">
        <v>161732.13571999999</v>
      </c>
    </row>
    <row r="357" spans="1:25" x14ac:dyDescent="0.55000000000000004">
      <c r="A357">
        <v>355</v>
      </c>
      <c r="B357" t="s">
        <v>20</v>
      </c>
      <c r="C357">
        <v>26</v>
      </c>
      <c r="D357">
        <v>6</v>
      </c>
      <c r="E357" t="s">
        <v>69</v>
      </c>
      <c r="F357" t="s">
        <v>70</v>
      </c>
      <c r="G357">
        <v>22</v>
      </c>
      <c r="H357">
        <v>2</v>
      </c>
      <c r="I357">
        <v>22060000</v>
      </c>
      <c r="J357">
        <v>495</v>
      </c>
      <c r="K357">
        <v>0</v>
      </c>
      <c r="L357">
        <v>12552</v>
      </c>
      <c r="M357">
        <v>12.555313</v>
      </c>
      <c r="N357">
        <v>102.020645</v>
      </c>
      <c r="O357">
        <v>0.22</v>
      </c>
      <c r="P357">
        <v>0.06</v>
      </c>
      <c r="Q357">
        <v>0.04</v>
      </c>
      <c r="R357">
        <v>0.42</v>
      </c>
      <c r="S357">
        <v>4.2699999999999996</v>
      </c>
      <c r="T357">
        <v>10.82</v>
      </c>
      <c r="U357">
        <v>26.82</v>
      </c>
      <c r="V357">
        <v>4.8600000000000003</v>
      </c>
      <c r="W357">
        <v>7.78</v>
      </c>
      <c r="X357">
        <v>23635.266455000001</v>
      </c>
      <c r="Y357">
        <v>17728171.7425</v>
      </c>
    </row>
    <row r="358" spans="1:25" x14ac:dyDescent="0.55000000000000004">
      <c r="A358">
        <v>356</v>
      </c>
      <c r="B358" t="s">
        <v>20</v>
      </c>
      <c r="C358">
        <v>26</v>
      </c>
      <c r="D358">
        <v>6</v>
      </c>
      <c r="E358" t="s">
        <v>69</v>
      </c>
      <c r="F358" t="s">
        <v>70</v>
      </c>
      <c r="G358">
        <v>22</v>
      </c>
      <c r="H358">
        <v>2</v>
      </c>
      <c r="I358">
        <v>22060000</v>
      </c>
      <c r="J358">
        <v>497</v>
      </c>
      <c r="K358">
        <v>0</v>
      </c>
      <c r="L358">
        <v>12314</v>
      </c>
      <c r="M358">
        <v>12.392967000000001</v>
      </c>
      <c r="N358">
        <v>102.18692</v>
      </c>
      <c r="O358">
        <v>1.04</v>
      </c>
      <c r="P358">
        <v>0.05</v>
      </c>
      <c r="Q358">
        <v>0</v>
      </c>
      <c r="R358">
        <v>0.35</v>
      </c>
      <c r="S358">
        <v>11.34</v>
      </c>
      <c r="T358">
        <v>7.0000000000000007E-2</v>
      </c>
      <c r="U358">
        <v>9.34</v>
      </c>
      <c r="V358">
        <v>4.3099999999999996</v>
      </c>
      <c r="W358">
        <v>12.96</v>
      </c>
      <c r="X358">
        <v>30016.546439999998</v>
      </c>
      <c r="Y358">
        <v>42793391.384999998</v>
      </c>
    </row>
    <row r="359" spans="1:25" x14ac:dyDescent="0.55000000000000004">
      <c r="A359">
        <v>357</v>
      </c>
      <c r="B359" t="s">
        <v>20</v>
      </c>
      <c r="C359">
        <v>26</v>
      </c>
      <c r="D359">
        <v>6</v>
      </c>
      <c r="E359" t="s">
        <v>69</v>
      </c>
      <c r="F359" t="s">
        <v>70</v>
      </c>
      <c r="G359">
        <v>22</v>
      </c>
      <c r="H359">
        <v>2</v>
      </c>
      <c r="I359">
        <v>22060000</v>
      </c>
      <c r="J359">
        <v>498</v>
      </c>
      <c r="K359">
        <v>0</v>
      </c>
      <c r="L359">
        <v>12313</v>
      </c>
      <c r="M359">
        <v>12.392967000000001</v>
      </c>
      <c r="N359">
        <v>102.10378</v>
      </c>
      <c r="O359">
        <v>0.73</v>
      </c>
      <c r="P359">
        <v>0.01</v>
      </c>
      <c r="Q359">
        <v>0.44</v>
      </c>
      <c r="R359">
        <v>4.88</v>
      </c>
      <c r="S359">
        <v>31.780000999999999</v>
      </c>
      <c r="T359">
        <v>0.68</v>
      </c>
      <c r="U359">
        <v>9.6</v>
      </c>
      <c r="V359">
        <v>7.3</v>
      </c>
      <c r="W359">
        <v>13.51</v>
      </c>
      <c r="X359">
        <v>17222.685122999999</v>
      </c>
      <c r="Y359">
        <v>6909575.9212300004</v>
      </c>
    </row>
    <row r="360" spans="1:25" x14ac:dyDescent="0.55000000000000004">
      <c r="A360">
        <v>358</v>
      </c>
      <c r="B360" t="s">
        <v>20</v>
      </c>
      <c r="C360">
        <v>26</v>
      </c>
      <c r="D360">
        <v>6</v>
      </c>
      <c r="E360" t="s">
        <v>69</v>
      </c>
      <c r="F360" t="s">
        <v>70</v>
      </c>
      <c r="G360">
        <v>22</v>
      </c>
      <c r="H360">
        <v>2</v>
      </c>
      <c r="I360">
        <v>22060000</v>
      </c>
      <c r="J360">
        <v>499</v>
      </c>
      <c r="K360">
        <v>0</v>
      </c>
      <c r="L360">
        <v>12434</v>
      </c>
      <c r="M360">
        <v>12.474159</v>
      </c>
      <c r="N360">
        <v>102.18692</v>
      </c>
      <c r="O360">
        <v>4.21</v>
      </c>
      <c r="P360">
        <v>0.06</v>
      </c>
      <c r="Q360">
        <v>0.16</v>
      </c>
      <c r="R360">
        <v>0.14000000000000001</v>
      </c>
      <c r="S360">
        <v>0.92</v>
      </c>
      <c r="T360">
        <v>5.78</v>
      </c>
      <c r="U360">
        <v>10.24</v>
      </c>
      <c r="V360">
        <v>4.34</v>
      </c>
      <c r="W360">
        <v>4.9800000000000004</v>
      </c>
      <c r="X360">
        <v>37740.113841999999</v>
      </c>
      <c r="Y360">
        <v>18074435.067499999</v>
      </c>
    </row>
    <row r="361" spans="1:25" x14ac:dyDescent="0.55000000000000004">
      <c r="A361">
        <v>359</v>
      </c>
      <c r="B361" t="s">
        <v>20</v>
      </c>
      <c r="C361">
        <v>26</v>
      </c>
      <c r="D361">
        <v>6</v>
      </c>
      <c r="E361" t="s">
        <v>69</v>
      </c>
      <c r="F361" t="s">
        <v>70</v>
      </c>
      <c r="G361">
        <v>22</v>
      </c>
      <c r="H361">
        <v>2</v>
      </c>
      <c r="I361">
        <v>22060000</v>
      </c>
      <c r="J361">
        <v>501</v>
      </c>
      <c r="K361">
        <v>0</v>
      </c>
      <c r="L361">
        <v>12553</v>
      </c>
      <c r="M361">
        <v>12.555313</v>
      </c>
      <c r="N361">
        <v>102.10378</v>
      </c>
      <c r="O361">
        <v>0.03</v>
      </c>
      <c r="P361">
        <v>0</v>
      </c>
      <c r="Q361">
        <v>0.05</v>
      </c>
      <c r="R361">
        <v>3.67</v>
      </c>
      <c r="S361">
        <v>7.96</v>
      </c>
      <c r="T361">
        <v>10</v>
      </c>
      <c r="U361">
        <v>26.879999000000002</v>
      </c>
      <c r="V361">
        <v>5.94</v>
      </c>
      <c r="W361">
        <v>2.73</v>
      </c>
      <c r="X361">
        <v>22187.778308000001</v>
      </c>
      <c r="Y361">
        <v>7820397.5852399999</v>
      </c>
    </row>
    <row r="362" spans="1:25" x14ac:dyDescent="0.55000000000000004">
      <c r="A362">
        <v>360</v>
      </c>
      <c r="B362" t="s">
        <v>20</v>
      </c>
      <c r="C362">
        <v>26</v>
      </c>
      <c r="D362">
        <v>6</v>
      </c>
      <c r="E362" t="s">
        <v>69</v>
      </c>
      <c r="F362" t="s">
        <v>70</v>
      </c>
      <c r="G362">
        <v>22</v>
      </c>
      <c r="H362">
        <v>2</v>
      </c>
      <c r="I362">
        <v>22060000</v>
      </c>
      <c r="J362">
        <v>502</v>
      </c>
      <c r="K362">
        <v>0</v>
      </c>
      <c r="L362">
        <v>12433</v>
      </c>
      <c r="M362">
        <v>12.474159</v>
      </c>
      <c r="N362">
        <v>102.10378</v>
      </c>
      <c r="O362">
        <v>0.08</v>
      </c>
      <c r="P362">
        <v>0.26</v>
      </c>
      <c r="Q362">
        <v>0.13</v>
      </c>
      <c r="R362">
        <v>0.52</v>
      </c>
      <c r="S362">
        <v>35.990001999999997</v>
      </c>
      <c r="T362">
        <v>0.97</v>
      </c>
      <c r="U362">
        <v>13.03</v>
      </c>
      <c r="V362">
        <v>5.34</v>
      </c>
      <c r="W362">
        <v>7.63</v>
      </c>
      <c r="X362">
        <v>34708.52347</v>
      </c>
      <c r="Y362">
        <v>62142164.267499998</v>
      </c>
    </row>
    <row r="363" spans="1:25" x14ac:dyDescent="0.55000000000000004">
      <c r="A363">
        <v>361</v>
      </c>
      <c r="B363" t="s">
        <v>20</v>
      </c>
      <c r="C363">
        <v>26</v>
      </c>
      <c r="D363">
        <v>6</v>
      </c>
      <c r="E363" t="s">
        <v>69</v>
      </c>
      <c r="F363" t="s">
        <v>70</v>
      </c>
      <c r="G363">
        <v>22</v>
      </c>
      <c r="H363">
        <v>2</v>
      </c>
      <c r="I363">
        <v>22060000</v>
      </c>
      <c r="J363">
        <v>505</v>
      </c>
      <c r="K363">
        <v>0</v>
      </c>
      <c r="L363">
        <v>12554</v>
      </c>
      <c r="M363">
        <v>12.555313</v>
      </c>
      <c r="N363">
        <v>102.18692</v>
      </c>
      <c r="O363">
        <v>2.08</v>
      </c>
      <c r="P363">
        <v>0.11</v>
      </c>
      <c r="Q363">
        <v>0.01</v>
      </c>
      <c r="R363">
        <v>3.34</v>
      </c>
      <c r="S363">
        <v>0.43</v>
      </c>
      <c r="T363">
        <v>1.39</v>
      </c>
      <c r="U363">
        <v>12.93</v>
      </c>
      <c r="V363">
        <v>9.9700000000000006</v>
      </c>
      <c r="W363">
        <v>8.17</v>
      </c>
      <c r="X363">
        <v>12410.257693</v>
      </c>
      <c r="Y363">
        <v>4859002.0340999998</v>
      </c>
    </row>
    <row r="364" spans="1:25" x14ac:dyDescent="0.55000000000000004">
      <c r="A364">
        <v>362</v>
      </c>
      <c r="B364" t="s">
        <v>20</v>
      </c>
      <c r="C364">
        <v>27</v>
      </c>
      <c r="D364">
        <v>7</v>
      </c>
      <c r="E364" t="s">
        <v>71</v>
      </c>
      <c r="F364" t="s">
        <v>72</v>
      </c>
      <c r="G364">
        <v>22</v>
      </c>
      <c r="H364">
        <v>2</v>
      </c>
      <c r="I364">
        <v>22070000</v>
      </c>
      <c r="J364">
        <v>556</v>
      </c>
      <c r="K364">
        <v>0</v>
      </c>
      <c r="L364">
        <v>13275</v>
      </c>
      <c r="M364">
        <v>13.041733000000001</v>
      </c>
      <c r="N364">
        <v>102.27006</v>
      </c>
      <c r="O364">
        <v>2.2799999999999998</v>
      </c>
      <c r="P364">
        <v>1.69</v>
      </c>
      <c r="Q364">
        <v>0</v>
      </c>
      <c r="R364">
        <v>1.2</v>
      </c>
      <c r="S364">
        <v>36.389999000000003</v>
      </c>
      <c r="T364">
        <v>50.959999000000003</v>
      </c>
      <c r="U364">
        <v>35.709999000000003</v>
      </c>
      <c r="V364">
        <v>14.72</v>
      </c>
      <c r="W364">
        <v>1.43</v>
      </c>
      <c r="X364">
        <v>26856.217199999999</v>
      </c>
      <c r="Y364">
        <v>40929356.501699999</v>
      </c>
    </row>
    <row r="365" spans="1:25" x14ac:dyDescent="0.55000000000000004">
      <c r="A365">
        <v>363</v>
      </c>
      <c r="B365" t="s">
        <v>20</v>
      </c>
      <c r="C365">
        <v>27</v>
      </c>
      <c r="D365">
        <v>7</v>
      </c>
      <c r="E365" t="s">
        <v>71</v>
      </c>
      <c r="F365" t="s">
        <v>72</v>
      </c>
      <c r="G365">
        <v>22</v>
      </c>
      <c r="H365">
        <v>2</v>
      </c>
      <c r="I365">
        <v>22070000</v>
      </c>
      <c r="J365">
        <v>557</v>
      </c>
      <c r="K365">
        <v>0</v>
      </c>
      <c r="L365">
        <v>13274</v>
      </c>
      <c r="M365">
        <v>13.041733000000001</v>
      </c>
      <c r="N365">
        <v>102.18692</v>
      </c>
      <c r="O365">
        <v>8.1300000000000008</v>
      </c>
      <c r="P365">
        <v>1.0900000000000001</v>
      </c>
      <c r="Q365">
        <v>0.05</v>
      </c>
      <c r="R365">
        <v>0.33</v>
      </c>
      <c r="S365">
        <v>29.030000999999999</v>
      </c>
      <c r="T365">
        <v>28.51</v>
      </c>
      <c r="U365">
        <v>42.150002000000001</v>
      </c>
      <c r="V365">
        <v>7.27</v>
      </c>
      <c r="W365">
        <v>0.23</v>
      </c>
      <c r="X365">
        <v>23433.405351000001</v>
      </c>
      <c r="Y365">
        <v>29178251.414500002</v>
      </c>
    </row>
    <row r="366" spans="1:25" x14ac:dyDescent="0.55000000000000004">
      <c r="A366">
        <v>364</v>
      </c>
      <c r="B366" t="s">
        <v>20</v>
      </c>
      <c r="C366">
        <v>27</v>
      </c>
      <c r="D366">
        <v>7</v>
      </c>
      <c r="E366" t="s">
        <v>71</v>
      </c>
      <c r="F366" t="s">
        <v>72</v>
      </c>
      <c r="G366">
        <v>22</v>
      </c>
      <c r="H366">
        <v>2</v>
      </c>
      <c r="I366">
        <v>22070000</v>
      </c>
      <c r="J366">
        <v>568</v>
      </c>
      <c r="K366">
        <v>0</v>
      </c>
      <c r="L366">
        <v>13276</v>
      </c>
      <c r="M366">
        <v>13.041733000000001</v>
      </c>
      <c r="N366">
        <v>102.35319</v>
      </c>
      <c r="O366">
        <v>6.72</v>
      </c>
      <c r="P366">
        <v>6.95</v>
      </c>
      <c r="Q366">
        <v>0</v>
      </c>
      <c r="R366">
        <v>10.3</v>
      </c>
      <c r="S366">
        <v>7.3</v>
      </c>
      <c r="T366">
        <v>15.32</v>
      </c>
      <c r="U366">
        <v>34.790000999999997</v>
      </c>
      <c r="V366">
        <v>15.33</v>
      </c>
      <c r="W366">
        <v>0.42</v>
      </c>
      <c r="X366">
        <v>17593.862159</v>
      </c>
      <c r="Y366">
        <v>18424271.067000002</v>
      </c>
    </row>
    <row r="367" spans="1:25" x14ac:dyDescent="0.55000000000000004">
      <c r="A367">
        <v>365</v>
      </c>
      <c r="B367" t="s">
        <v>20</v>
      </c>
      <c r="C367">
        <v>27</v>
      </c>
      <c r="D367">
        <v>7</v>
      </c>
      <c r="E367" t="s">
        <v>71</v>
      </c>
      <c r="F367" t="s">
        <v>72</v>
      </c>
      <c r="G367">
        <v>22</v>
      </c>
      <c r="H367">
        <v>2</v>
      </c>
      <c r="I367">
        <v>22070000</v>
      </c>
      <c r="J367">
        <v>973</v>
      </c>
      <c r="K367">
        <v>0</v>
      </c>
      <c r="L367">
        <v>13392</v>
      </c>
      <c r="M367">
        <v>13.122719</v>
      </c>
      <c r="N367">
        <v>102.020645</v>
      </c>
      <c r="O367">
        <v>32.450001</v>
      </c>
      <c r="P367">
        <v>0.73</v>
      </c>
      <c r="Q367">
        <v>2.83</v>
      </c>
      <c r="R367">
        <v>6.51</v>
      </c>
      <c r="S367">
        <v>2.12</v>
      </c>
      <c r="T367">
        <v>24.84</v>
      </c>
      <c r="U367">
        <v>4.51</v>
      </c>
      <c r="V367">
        <v>3.87</v>
      </c>
      <c r="W367">
        <v>0</v>
      </c>
      <c r="X367">
        <v>3096.5952010000001</v>
      </c>
      <c r="Y367">
        <v>353510.65728400002</v>
      </c>
    </row>
    <row r="368" spans="1:25" x14ac:dyDescent="0.55000000000000004">
      <c r="A368">
        <v>366</v>
      </c>
      <c r="B368" t="s">
        <v>20</v>
      </c>
      <c r="C368">
        <v>27</v>
      </c>
      <c r="D368">
        <v>7</v>
      </c>
      <c r="E368" t="s">
        <v>71</v>
      </c>
      <c r="F368" t="s">
        <v>72</v>
      </c>
      <c r="G368">
        <v>22</v>
      </c>
      <c r="H368">
        <v>2</v>
      </c>
      <c r="I368">
        <v>22070000</v>
      </c>
      <c r="J368">
        <v>974</v>
      </c>
      <c r="K368">
        <v>0</v>
      </c>
      <c r="L368">
        <v>13632</v>
      </c>
      <c r="M368">
        <v>13.284592</v>
      </c>
      <c r="N368">
        <v>102.020645</v>
      </c>
      <c r="O368">
        <v>6.81</v>
      </c>
      <c r="P368">
        <v>0.03</v>
      </c>
      <c r="Q368">
        <v>6.53</v>
      </c>
      <c r="R368">
        <v>1.18</v>
      </c>
      <c r="S368">
        <v>9.5399999999999991</v>
      </c>
      <c r="T368">
        <v>11.76</v>
      </c>
      <c r="U368">
        <v>20.98</v>
      </c>
      <c r="V368">
        <v>0.01</v>
      </c>
      <c r="W368">
        <v>0.21</v>
      </c>
      <c r="X368">
        <v>388.08841799999999</v>
      </c>
      <c r="Y368">
        <v>6456.4665160000004</v>
      </c>
    </row>
    <row r="369" spans="1:25" x14ac:dyDescent="0.55000000000000004">
      <c r="A369">
        <v>367</v>
      </c>
      <c r="B369" t="s">
        <v>20</v>
      </c>
      <c r="C369">
        <v>27</v>
      </c>
      <c r="D369">
        <v>7</v>
      </c>
      <c r="E369" t="s">
        <v>71</v>
      </c>
      <c r="F369" t="s">
        <v>72</v>
      </c>
      <c r="G369">
        <v>22</v>
      </c>
      <c r="H369">
        <v>2</v>
      </c>
      <c r="I369">
        <v>22070000</v>
      </c>
      <c r="J369">
        <v>976</v>
      </c>
      <c r="K369">
        <v>0</v>
      </c>
      <c r="L369">
        <v>13512</v>
      </c>
      <c r="M369">
        <v>13.203666999999999</v>
      </c>
      <c r="N369">
        <v>102.020645</v>
      </c>
      <c r="O369">
        <v>18.82</v>
      </c>
      <c r="P369">
        <v>0.95</v>
      </c>
      <c r="Q369">
        <v>2.11</v>
      </c>
      <c r="R369">
        <v>11.88</v>
      </c>
      <c r="S369">
        <v>42.34</v>
      </c>
      <c r="T369">
        <v>30.379999000000002</v>
      </c>
      <c r="U369">
        <v>12.91</v>
      </c>
      <c r="V369">
        <v>0.02</v>
      </c>
      <c r="W369">
        <v>0.01</v>
      </c>
      <c r="X369">
        <v>26028.325228000002</v>
      </c>
      <c r="Y369">
        <v>25214520.427200001</v>
      </c>
    </row>
    <row r="370" spans="1:25" x14ac:dyDescent="0.55000000000000004">
      <c r="A370">
        <v>368</v>
      </c>
      <c r="B370" t="s">
        <v>20</v>
      </c>
      <c r="C370">
        <v>27</v>
      </c>
      <c r="D370">
        <v>7</v>
      </c>
      <c r="E370" t="s">
        <v>71</v>
      </c>
      <c r="F370" t="s">
        <v>72</v>
      </c>
      <c r="G370">
        <v>22</v>
      </c>
      <c r="H370">
        <v>2</v>
      </c>
      <c r="I370">
        <v>22070000</v>
      </c>
      <c r="J370">
        <v>977</v>
      </c>
      <c r="K370">
        <v>0</v>
      </c>
      <c r="L370">
        <v>13393</v>
      </c>
      <c r="M370">
        <v>13.122719</v>
      </c>
      <c r="N370">
        <v>102.10378</v>
      </c>
      <c r="O370">
        <v>6.24</v>
      </c>
      <c r="P370">
        <v>0.79</v>
      </c>
      <c r="Q370">
        <v>0.17</v>
      </c>
      <c r="R370">
        <v>7.01</v>
      </c>
      <c r="S370">
        <v>14.65</v>
      </c>
      <c r="T370">
        <v>8.4499999999999993</v>
      </c>
      <c r="U370">
        <v>6.72</v>
      </c>
      <c r="V370">
        <v>12.45</v>
      </c>
      <c r="W370">
        <v>0</v>
      </c>
      <c r="X370">
        <v>16889.423018000001</v>
      </c>
      <c r="Y370">
        <v>9961480.8711900003</v>
      </c>
    </row>
    <row r="371" spans="1:25" x14ac:dyDescent="0.55000000000000004">
      <c r="A371">
        <v>369</v>
      </c>
      <c r="B371" t="s">
        <v>20</v>
      </c>
      <c r="C371">
        <v>27</v>
      </c>
      <c r="D371">
        <v>7</v>
      </c>
      <c r="E371" t="s">
        <v>71</v>
      </c>
      <c r="F371" t="s">
        <v>72</v>
      </c>
      <c r="G371">
        <v>22</v>
      </c>
      <c r="H371">
        <v>2</v>
      </c>
      <c r="I371">
        <v>22070000</v>
      </c>
      <c r="J371">
        <v>978</v>
      </c>
      <c r="K371">
        <v>0</v>
      </c>
      <c r="L371">
        <v>13514</v>
      </c>
      <c r="M371">
        <v>13.203666999999999</v>
      </c>
      <c r="N371">
        <v>102.18692</v>
      </c>
      <c r="O371">
        <v>10.75</v>
      </c>
      <c r="P371">
        <v>0.68</v>
      </c>
      <c r="Q371">
        <v>0</v>
      </c>
      <c r="R371">
        <v>2.85</v>
      </c>
      <c r="S371">
        <v>11.93</v>
      </c>
      <c r="T371">
        <v>4.16</v>
      </c>
      <c r="U371">
        <v>12.1</v>
      </c>
      <c r="V371">
        <v>5.13</v>
      </c>
      <c r="W371">
        <v>0.25</v>
      </c>
      <c r="X371">
        <v>35971.084664000002</v>
      </c>
      <c r="Y371">
        <v>80869094.420300007</v>
      </c>
    </row>
    <row r="372" spans="1:25" x14ac:dyDescent="0.55000000000000004">
      <c r="A372">
        <v>370</v>
      </c>
      <c r="B372" t="s">
        <v>20</v>
      </c>
      <c r="C372">
        <v>27</v>
      </c>
      <c r="D372">
        <v>7</v>
      </c>
      <c r="E372" t="s">
        <v>71</v>
      </c>
      <c r="F372" t="s">
        <v>72</v>
      </c>
      <c r="G372">
        <v>22</v>
      </c>
      <c r="H372">
        <v>2</v>
      </c>
      <c r="I372">
        <v>22070000</v>
      </c>
      <c r="J372">
        <v>979</v>
      </c>
      <c r="K372">
        <v>0</v>
      </c>
      <c r="L372">
        <v>13394</v>
      </c>
      <c r="M372">
        <v>13.122719</v>
      </c>
      <c r="N372">
        <v>102.18692</v>
      </c>
      <c r="O372">
        <v>0.48</v>
      </c>
      <c r="P372">
        <v>4.17</v>
      </c>
      <c r="Q372">
        <v>0</v>
      </c>
      <c r="R372">
        <v>0.59</v>
      </c>
      <c r="S372">
        <v>6.95</v>
      </c>
      <c r="T372">
        <v>8.07</v>
      </c>
      <c r="U372">
        <v>15.8</v>
      </c>
      <c r="V372">
        <v>37.080002</v>
      </c>
      <c r="W372">
        <v>0.06</v>
      </c>
      <c r="X372">
        <v>36198.156610999999</v>
      </c>
      <c r="Y372">
        <v>78955188.008399993</v>
      </c>
    </row>
    <row r="373" spans="1:25" x14ac:dyDescent="0.55000000000000004">
      <c r="A373">
        <v>371</v>
      </c>
      <c r="B373" t="s">
        <v>20</v>
      </c>
      <c r="C373">
        <v>27</v>
      </c>
      <c r="D373">
        <v>7</v>
      </c>
      <c r="E373" t="s">
        <v>71</v>
      </c>
      <c r="F373" t="s">
        <v>72</v>
      </c>
      <c r="G373">
        <v>22</v>
      </c>
      <c r="H373">
        <v>2</v>
      </c>
      <c r="I373">
        <v>22070000</v>
      </c>
      <c r="J373">
        <v>980</v>
      </c>
      <c r="K373">
        <v>0</v>
      </c>
      <c r="L373">
        <v>13513</v>
      </c>
      <c r="M373">
        <v>13.203666999999999</v>
      </c>
      <c r="N373">
        <v>102.10378</v>
      </c>
      <c r="O373">
        <v>11.68</v>
      </c>
      <c r="P373">
        <v>0.09</v>
      </c>
      <c r="Q373">
        <v>0.06</v>
      </c>
      <c r="R373">
        <v>21.67</v>
      </c>
      <c r="S373">
        <v>62.639999000000003</v>
      </c>
      <c r="T373">
        <v>8.43</v>
      </c>
      <c r="U373">
        <v>9.08</v>
      </c>
      <c r="V373">
        <v>0.7</v>
      </c>
      <c r="W373">
        <v>0.09</v>
      </c>
      <c r="X373">
        <v>40099.456850000002</v>
      </c>
      <c r="Y373">
        <v>55881720.926899999</v>
      </c>
    </row>
    <row r="374" spans="1:25" x14ac:dyDescent="0.55000000000000004">
      <c r="A374">
        <v>372</v>
      </c>
      <c r="B374" t="s">
        <v>20</v>
      </c>
      <c r="C374">
        <v>27</v>
      </c>
      <c r="D374">
        <v>7</v>
      </c>
      <c r="E374" t="s">
        <v>71</v>
      </c>
      <c r="F374" t="s">
        <v>72</v>
      </c>
      <c r="G374">
        <v>22</v>
      </c>
      <c r="H374">
        <v>2</v>
      </c>
      <c r="I374">
        <v>22070000</v>
      </c>
      <c r="J374">
        <v>981</v>
      </c>
      <c r="K374">
        <v>0</v>
      </c>
      <c r="L374">
        <v>13633</v>
      </c>
      <c r="M374">
        <v>13.284592</v>
      </c>
      <c r="N374">
        <v>102.10378</v>
      </c>
      <c r="O374">
        <v>27.459999</v>
      </c>
      <c r="P374">
        <v>0.4</v>
      </c>
      <c r="Q374">
        <v>7.92</v>
      </c>
      <c r="R374">
        <v>1.1499999999999999</v>
      </c>
      <c r="S374">
        <v>18.549999</v>
      </c>
      <c r="T374">
        <v>7.41</v>
      </c>
      <c r="U374">
        <v>64.010002</v>
      </c>
      <c r="V374">
        <v>0.44</v>
      </c>
      <c r="W374">
        <v>1.59</v>
      </c>
      <c r="X374">
        <v>35419.06338</v>
      </c>
      <c r="Y374">
        <v>35173160.053099997</v>
      </c>
    </row>
    <row r="375" spans="1:25" x14ac:dyDescent="0.55000000000000004">
      <c r="A375">
        <v>373</v>
      </c>
      <c r="B375" t="s">
        <v>20</v>
      </c>
      <c r="C375">
        <v>27</v>
      </c>
      <c r="D375">
        <v>7</v>
      </c>
      <c r="E375" t="s">
        <v>71</v>
      </c>
      <c r="F375" t="s">
        <v>72</v>
      </c>
      <c r="G375">
        <v>22</v>
      </c>
      <c r="H375">
        <v>2</v>
      </c>
      <c r="I375">
        <v>22070000</v>
      </c>
      <c r="J375">
        <v>988</v>
      </c>
      <c r="K375">
        <v>0</v>
      </c>
      <c r="L375">
        <v>13634</v>
      </c>
      <c r="M375">
        <v>13.284592</v>
      </c>
      <c r="N375">
        <v>102.18692</v>
      </c>
      <c r="O375">
        <v>36.889999000000003</v>
      </c>
      <c r="P375">
        <v>5.94</v>
      </c>
      <c r="Q375">
        <v>1.1200000000000001</v>
      </c>
      <c r="R375">
        <v>1.1499999999999999</v>
      </c>
      <c r="S375">
        <v>1.56</v>
      </c>
      <c r="T375">
        <v>10.98</v>
      </c>
      <c r="U375">
        <v>47.57</v>
      </c>
      <c r="V375">
        <v>0.25</v>
      </c>
      <c r="W375">
        <v>2.2599999999999998</v>
      </c>
      <c r="X375">
        <v>34891.30586</v>
      </c>
      <c r="Y375">
        <v>49872357.370300002</v>
      </c>
    </row>
    <row r="376" spans="1:25" x14ac:dyDescent="0.55000000000000004">
      <c r="A376">
        <v>374</v>
      </c>
      <c r="B376" t="s">
        <v>20</v>
      </c>
      <c r="C376">
        <v>27</v>
      </c>
      <c r="D376">
        <v>7</v>
      </c>
      <c r="E376" t="s">
        <v>71</v>
      </c>
      <c r="F376" t="s">
        <v>72</v>
      </c>
      <c r="G376">
        <v>22</v>
      </c>
      <c r="H376">
        <v>2</v>
      </c>
      <c r="I376">
        <v>22070000</v>
      </c>
      <c r="J376">
        <v>989</v>
      </c>
      <c r="K376">
        <v>0</v>
      </c>
      <c r="L376">
        <v>13753</v>
      </c>
      <c r="M376">
        <v>13.365479000000001</v>
      </c>
      <c r="N376">
        <v>102.10378</v>
      </c>
      <c r="O376">
        <v>18.84</v>
      </c>
      <c r="P376">
        <v>0.75</v>
      </c>
      <c r="Q376">
        <v>11.6</v>
      </c>
      <c r="R376">
        <v>8.9499999999999993</v>
      </c>
      <c r="S376">
        <v>7.21</v>
      </c>
      <c r="T376">
        <v>9.4</v>
      </c>
      <c r="U376">
        <v>33.549999</v>
      </c>
      <c r="V376">
        <v>0.01</v>
      </c>
      <c r="W376">
        <v>7.0000000000000007E-2</v>
      </c>
      <c r="X376">
        <v>6016.7326149999999</v>
      </c>
      <c r="Y376">
        <v>1245520.3162</v>
      </c>
    </row>
    <row r="377" spans="1:25" x14ac:dyDescent="0.55000000000000004">
      <c r="A377">
        <v>375</v>
      </c>
      <c r="B377" t="s">
        <v>20</v>
      </c>
      <c r="C377">
        <v>27</v>
      </c>
      <c r="D377">
        <v>7</v>
      </c>
      <c r="E377" t="s">
        <v>71</v>
      </c>
      <c r="F377" t="s">
        <v>72</v>
      </c>
      <c r="G377">
        <v>22</v>
      </c>
      <c r="H377">
        <v>2</v>
      </c>
      <c r="I377">
        <v>22070000</v>
      </c>
      <c r="J377">
        <v>993</v>
      </c>
      <c r="K377">
        <v>0</v>
      </c>
      <c r="L377">
        <v>13395</v>
      </c>
      <c r="M377">
        <v>13.122719</v>
      </c>
      <c r="N377">
        <v>102.27006</v>
      </c>
      <c r="O377">
        <v>6.78</v>
      </c>
      <c r="P377">
        <v>19.030000999999999</v>
      </c>
      <c r="Q377">
        <v>0</v>
      </c>
      <c r="R377">
        <v>0.01</v>
      </c>
      <c r="S377">
        <v>59.889999000000003</v>
      </c>
      <c r="T377">
        <v>7.68</v>
      </c>
      <c r="U377">
        <v>10.220000000000001</v>
      </c>
      <c r="V377">
        <v>31.959999</v>
      </c>
      <c r="W377">
        <v>0.17</v>
      </c>
      <c r="X377">
        <v>35985.413585000002</v>
      </c>
      <c r="Y377">
        <v>80933561.377000004</v>
      </c>
    </row>
    <row r="378" spans="1:25" x14ac:dyDescent="0.55000000000000004">
      <c r="A378">
        <v>376</v>
      </c>
      <c r="B378" t="s">
        <v>20</v>
      </c>
      <c r="C378">
        <v>27</v>
      </c>
      <c r="D378">
        <v>7</v>
      </c>
      <c r="E378" t="s">
        <v>71</v>
      </c>
      <c r="F378" t="s">
        <v>72</v>
      </c>
      <c r="G378">
        <v>22</v>
      </c>
      <c r="H378">
        <v>2</v>
      </c>
      <c r="I378">
        <v>22070000</v>
      </c>
      <c r="J378">
        <v>994</v>
      </c>
      <c r="K378">
        <v>0</v>
      </c>
      <c r="L378">
        <v>13396</v>
      </c>
      <c r="M378">
        <v>13.122719</v>
      </c>
      <c r="N378">
        <v>102.35319</v>
      </c>
      <c r="O378">
        <v>18.91</v>
      </c>
      <c r="P378">
        <v>8.7200000000000006</v>
      </c>
      <c r="Q378">
        <v>0</v>
      </c>
      <c r="R378">
        <v>0.27</v>
      </c>
      <c r="S378">
        <v>35.200001</v>
      </c>
      <c r="T378">
        <v>6.6</v>
      </c>
      <c r="U378">
        <v>15.72</v>
      </c>
      <c r="V378">
        <v>14.57</v>
      </c>
      <c r="W378">
        <v>2.44</v>
      </c>
      <c r="X378">
        <v>40260.846060999997</v>
      </c>
      <c r="Y378">
        <v>45023087.830499999</v>
      </c>
    </row>
    <row r="379" spans="1:25" x14ac:dyDescent="0.55000000000000004">
      <c r="A379">
        <v>377</v>
      </c>
      <c r="B379" t="s">
        <v>20</v>
      </c>
      <c r="C379">
        <v>27</v>
      </c>
      <c r="D379">
        <v>7</v>
      </c>
      <c r="E379" t="s">
        <v>71</v>
      </c>
      <c r="F379" t="s">
        <v>72</v>
      </c>
      <c r="G379">
        <v>22</v>
      </c>
      <c r="H379">
        <v>2</v>
      </c>
      <c r="I379">
        <v>22070000</v>
      </c>
      <c r="J379">
        <v>995</v>
      </c>
      <c r="K379">
        <v>0</v>
      </c>
      <c r="L379">
        <v>13636</v>
      </c>
      <c r="M379">
        <v>13.284592</v>
      </c>
      <c r="N379">
        <v>102.35319</v>
      </c>
      <c r="O379">
        <v>21.219999000000001</v>
      </c>
      <c r="P379">
        <v>3.05</v>
      </c>
      <c r="Q379">
        <v>0.28999999999999998</v>
      </c>
      <c r="R379">
        <v>11.82</v>
      </c>
      <c r="S379">
        <v>11.98</v>
      </c>
      <c r="T379">
        <v>19.41</v>
      </c>
      <c r="U379">
        <v>3.67</v>
      </c>
      <c r="V379">
        <v>0.71</v>
      </c>
      <c r="W379">
        <v>0.08</v>
      </c>
      <c r="X379">
        <v>26450.713024000001</v>
      </c>
      <c r="Y379">
        <v>33065629.607000001</v>
      </c>
    </row>
    <row r="380" spans="1:25" x14ac:dyDescent="0.55000000000000004">
      <c r="A380">
        <v>378</v>
      </c>
      <c r="B380" t="s">
        <v>20</v>
      </c>
      <c r="C380">
        <v>27</v>
      </c>
      <c r="D380">
        <v>7</v>
      </c>
      <c r="E380" t="s">
        <v>71</v>
      </c>
      <c r="F380" t="s">
        <v>72</v>
      </c>
      <c r="G380">
        <v>22</v>
      </c>
      <c r="H380">
        <v>2</v>
      </c>
      <c r="I380">
        <v>22070000</v>
      </c>
      <c r="J380">
        <v>996</v>
      </c>
      <c r="K380">
        <v>0</v>
      </c>
      <c r="L380">
        <v>13515</v>
      </c>
      <c r="M380">
        <v>13.203666999999999</v>
      </c>
      <c r="N380">
        <v>102.27006</v>
      </c>
      <c r="O380">
        <v>19.309999000000001</v>
      </c>
      <c r="P380">
        <v>10.29</v>
      </c>
      <c r="Q380">
        <v>0</v>
      </c>
      <c r="R380">
        <v>0</v>
      </c>
      <c r="S380">
        <v>20.860001</v>
      </c>
      <c r="T380">
        <v>26.75</v>
      </c>
      <c r="U380">
        <v>13.4</v>
      </c>
      <c r="V380">
        <v>10.65</v>
      </c>
      <c r="W380">
        <v>0.13</v>
      </c>
      <c r="X380">
        <v>35972.807544000003</v>
      </c>
      <c r="Y380">
        <v>80876856.8345</v>
      </c>
    </row>
    <row r="381" spans="1:25" x14ac:dyDescent="0.55000000000000004">
      <c r="A381">
        <v>379</v>
      </c>
      <c r="B381" t="s">
        <v>20</v>
      </c>
      <c r="C381">
        <v>27</v>
      </c>
      <c r="D381">
        <v>7</v>
      </c>
      <c r="E381" t="s">
        <v>71</v>
      </c>
      <c r="F381" t="s">
        <v>72</v>
      </c>
      <c r="G381">
        <v>22</v>
      </c>
      <c r="H381">
        <v>2</v>
      </c>
      <c r="I381">
        <v>22070000</v>
      </c>
      <c r="J381">
        <v>997</v>
      </c>
      <c r="K381">
        <v>0</v>
      </c>
      <c r="L381">
        <v>13516</v>
      </c>
      <c r="M381">
        <v>13.203666999999999</v>
      </c>
      <c r="N381">
        <v>102.35319</v>
      </c>
      <c r="O381">
        <v>16.440000999999999</v>
      </c>
      <c r="P381">
        <v>2.2200000000000002</v>
      </c>
      <c r="Q381">
        <v>0.49</v>
      </c>
      <c r="R381">
        <v>0.67</v>
      </c>
      <c r="S381">
        <v>15.57</v>
      </c>
      <c r="T381">
        <v>10.81</v>
      </c>
      <c r="U381">
        <v>5.7</v>
      </c>
      <c r="V381">
        <v>17.790001</v>
      </c>
      <c r="W381">
        <v>0.05</v>
      </c>
      <c r="X381">
        <v>34924.655118000002</v>
      </c>
      <c r="Y381">
        <v>73019698.943800002</v>
      </c>
    </row>
    <row r="382" spans="1:25" x14ac:dyDescent="0.55000000000000004">
      <c r="A382">
        <v>380</v>
      </c>
      <c r="B382" t="s">
        <v>20</v>
      </c>
      <c r="C382">
        <v>27</v>
      </c>
      <c r="D382">
        <v>7</v>
      </c>
      <c r="E382" t="s">
        <v>71</v>
      </c>
      <c r="F382" t="s">
        <v>72</v>
      </c>
      <c r="G382">
        <v>22</v>
      </c>
      <c r="H382">
        <v>2</v>
      </c>
      <c r="I382">
        <v>22070000</v>
      </c>
      <c r="J382">
        <v>1000</v>
      </c>
      <c r="K382">
        <v>0</v>
      </c>
      <c r="L382">
        <v>13635</v>
      </c>
      <c r="M382">
        <v>13.284592</v>
      </c>
      <c r="N382">
        <v>102.27006</v>
      </c>
      <c r="O382">
        <v>3.38</v>
      </c>
      <c r="P382">
        <v>44.349997999999999</v>
      </c>
      <c r="Q382">
        <v>0.14000000000000001</v>
      </c>
      <c r="R382">
        <v>0.39</v>
      </c>
      <c r="S382">
        <v>9.15</v>
      </c>
      <c r="T382">
        <v>38.68</v>
      </c>
      <c r="U382">
        <v>15.62</v>
      </c>
      <c r="V382">
        <v>0.83</v>
      </c>
      <c r="W382">
        <v>0.31</v>
      </c>
      <c r="X382">
        <v>33201.730921000002</v>
      </c>
      <c r="Y382">
        <v>22958563.5867</v>
      </c>
    </row>
    <row r="383" spans="1:25" x14ac:dyDescent="0.55000000000000004">
      <c r="A383">
        <v>381</v>
      </c>
      <c r="B383" t="s">
        <v>20</v>
      </c>
      <c r="C383">
        <v>27</v>
      </c>
      <c r="D383">
        <v>7</v>
      </c>
      <c r="E383" t="s">
        <v>71</v>
      </c>
      <c r="F383" t="s">
        <v>72</v>
      </c>
      <c r="G383">
        <v>22</v>
      </c>
      <c r="H383">
        <v>2</v>
      </c>
      <c r="I383">
        <v>22070000</v>
      </c>
      <c r="J383">
        <v>1003</v>
      </c>
      <c r="K383">
        <v>0</v>
      </c>
      <c r="L383">
        <v>13397</v>
      </c>
      <c r="M383">
        <v>13.122719</v>
      </c>
      <c r="N383">
        <v>102.436325</v>
      </c>
      <c r="O383">
        <v>56.459999000000003</v>
      </c>
      <c r="P383">
        <v>6.86</v>
      </c>
      <c r="Q383">
        <v>0</v>
      </c>
      <c r="R383">
        <v>1.96</v>
      </c>
      <c r="S383">
        <v>1.64</v>
      </c>
      <c r="T383">
        <v>4.45</v>
      </c>
      <c r="U383">
        <v>15.14</v>
      </c>
      <c r="V383">
        <v>10.38</v>
      </c>
      <c r="W383">
        <v>7.0000000000000007E-2</v>
      </c>
      <c r="X383">
        <v>1181.8400160000001</v>
      </c>
      <c r="Y383">
        <v>38205.858420999997</v>
      </c>
    </row>
    <row r="384" spans="1:25" x14ac:dyDescent="0.55000000000000004">
      <c r="A384">
        <v>382</v>
      </c>
      <c r="B384" t="s">
        <v>20</v>
      </c>
      <c r="C384">
        <v>27</v>
      </c>
      <c r="D384">
        <v>7</v>
      </c>
      <c r="E384" t="s">
        <v>71</v>
      </c>
      <c r="F384" t="s">
        <v>72</v>
      </c>
      <c r="G384">
        <v>22</v>
      </c>
      <c r="H384">
        <v>2</v>
      </c>
      <c r="I384">
        <v>22070000</v>
      </c>
      <c r="J384">
        <v>1006</v>
      </c>
      <c r="K384">
        <v>0</v>
      </c>
      <c r="L384">
        <v>13517</v>
      </c>
      <c r="M384">
        <v>13.203666999999999</v>
      </c>
      <c r="N384">
        <v>102.436325</v>
      </c>
      <c r="O384">
        <v>51.41</v>
      </c>
      <c r="P384">
        <v>1.47</v>
      </c>
      <c r="Q384">
        <v>0.09</v>
      </c>
      <c r="R384">
        <v>3.44</v>
      </c>
      <c r="S384">
        <v>4.82</v>
      </c>
      <c r="T384">
        <v>1.3</v>
      </c>
      <c r="U384">
        <v>5.2</v>
      </c>
      <c r="V384">
        <v>27.98</v>
      </c>
      <c r="W384">
        <v>0.04</v>
      </c>
      <c r="X384">
        <v>3521.59069</v>
      </c>
      <c r="Y384">
        <v>470245.23389099998</v>
      </c>
    </row>
    <row r="385" spans="1:25" x14ac:dyDescent="0.55000000000000004">
      <c r="A385">
        <v>383</v>
      </c>
      <c r="B385" t="s">
        <v>20</v>
      </c>
      <c r="C385">
        <v>28</v>
      </c>
      <c r="D385">
        <v>8</v>
      </c>
      <c r="E385" t="s">
        <v>73</v>
      </c>
      <c r="F385" t="s">
        <v>74</v>
      </c>
      <c r="G385">
        <v>22</v>
      </c>
      <c r="H385">
        <v>2</v>
      </c>
      <c r="I385">
        <v>22080000</v>
      </c>
      <c r="J385">
        <v>306</v>
      </c>
      <c r="K385">
        <v>0</v>
      </c>
      <c r="L385">
        <v>13149</v>
      </c>
      <c r="M385">
        <v>12.960724000000001</v>
      </c>
      <c r="N385">
        <v>101.77124000000001</v>
      </c>
      <c r="O385">
        <v>24.200001</v>
      </c>
      <c r="P385">
        <v>0</v>
      </c>
      <c r="Q385">
        <v>0.04</v>
      </c>
      <c r="R385">
        <v>0.35</v>
      </c>
      <c r="S385">
        <v>30.639999</v>
      </c>
      <c r="T385">
        <v>5.83</v>
      </c>
      <c r="U385">
        <v>7.29</v>
      </c>
      <c r="V385">
        <v>4.3</v>
      </c>
      <c r="W385">
        <v>0.17</v>
      </c>
      <c r="X385">
        <v>33722.518833000002</v>
      </c>
      <c r="Y385">
        <v>52334921.658100002</v>
      </c>
    </row>
    <row r="386" spans="1:25" x14ac:dyDescent="0.55000000000000004">
      <c r="A386">
        <v>384</v>
      </c>
      <c r="B386" t="s">
        <v>20</v>
      </c>
      <c r="C386">
        <v>28</v>
      </c>
      <c r="D386">
        <v>8</v>
      </c>
      <c r="E386" t="s">
        <v>73</v>
      </c>
      <c r="F386" t="s">
        <v>74</v>
      </c>
      <c r="G386">
        <v>22</v>
      </c>
      <c r="H386">
        <v>2</v>
      </c>
      <c r="I386">
        <v>22080000</v>
      </c>
      <c r="J386">
        <v>308</v>
      </c>
      <c r="K386">
        <v>0</v>
      </c>
      <c r="L386">
        <v>13029</v>
      </c>
      <c r="M386">
        <v>12.8797</v>
      </c>
      <c r="N386">
        <v>101.77124000000001</v>
      </c>
      <c r="O386">
        <v>7.76</v>
      </c>
      <c r="P386">
        <v>0</v>
      </c>
      <c r="Q386">
        <v>0.36</v>
      </c>
      <c r="R386">
        <v>7.84</v>
      </c>
      <c r="S386">
        <v>4.29</v>
      </c>
      <c r="T386">
        <v>10.71</v>
      </c>
      <c r="U386">
        <v>2.85</v>
      </c>
      <c r="V386">
        <v>10.83</v>
      </c>
      <c r="W386">
        <v>0.12</v>
      </c>
      <c r="X386">
        <v>9690.0787899999996</v>
      </c>
      <c r="Y386">
        <v>3132820.5059699998</v>
      </c>
    </row>
    <row r="387" spans="1:25" x14ac:dyDescent="0.55000000000000004">
      <c r="A387">
        <v>385</v>
      </c>
      <c r="B387" t="s">
        <v>20</v>
      </c>
      <c r="C387">
        <v>28</v>
      </c>
      <c r="D387">
        <v>8</v>
      </c>
      <c r="E387" t="s">
        <v>73</v>
      </c>
      <c r="F387" t="s">
        <v>74</v>
      </c>
      <c r="G387">
        <v>22</v>
      </c>
      <c r="H387">
        <v>2</v>
      </c>
      <c r="I387">
        <v>22080000</v>
      </c>
      <c r="J387">
        <v>309</v>
      </c>
      <c r="K387">
        <v>0</v>
      </c>
      <c r="L387">
        <v>13269</v>
      </c>
      <c r="M387">
        <v>13.041733000000001</v>
      </c>
      <c r="N387">
        <v>101.77124000000001</v>
      </c>
      <c r="O387">
        <v>27.299999</v>
      </c>
      <c r="P387">
        <v>0.04</v>
      </c>
      <c r="Q387">
        <v>0.06</v>
      </c>
      <c r="R387">
        <v>0.13</v>
      </c>
      <c r="S387">
        <v>99.449996999999996</v>
      </c>
      <c r="T387">
        <v>5.0199999999999996</v>
      </c>
      <c r="U387">
        <v>5.19</v>
      </c>
      <c r="V387">
        <v>0.5</v>
      </c>
      <c r="W387">
        <v>0</v>
      </c>
      <c r="X387">
        <v>40625.257458</v>
      </c>
      <c r="Y387">
        <v>68843617.612000003</v>
      </c>
    </row>
    <row r="388" spans="1:25" x14ac:dyDescent="0.55000000000000004">
      <c r="A388">
        <v>386</v>
      </c>
      <c r="B388" t="s">
        <v>20</v>
      </c>
      <c r="C388">
        <v>28</v>
      </c>
      <c r="D388">
        <v>8</v>
      </c>
      <c r="E388" t="s">
        <v>73</v>
      </c>
      <c r="F388" t="s">
        <v>74</v>
      </c>
      <c r="G388">
        <v>22</v>
      </c>
      <c r="H388">
        <v>2</v>
      </c>
      <c r="I388">
        <v>22080000</v>
      </c>
      <c r="J388">
        <v>310</v>
      </c>
      <c r="K388">
        <v>0</v>
      </c>
      <c r="L388">
        <v>13268</v>
      </c>
      <c r="M388">
        <v>13.041733000000001</v>
      </c>
      <c r="N388">
        <v>101.68810000000001</v>
      </c>
      <c r="O388">
        <v>29.49</v>
      </c>
      <c r="P388">
        <v>0.12</v>
      </c>
      <c r="Q388">
        <v>0.12</v>
      </c>
      <c r="R388">
        <v>7.0000000000000007E-2</v>
      </c>
      <c r="S388">
        <v>76.029999000000004</v>
      </c>
      <c r="T388">
        <v>6.3</v>
      </c>
      <c r="U388">
        <v>16.16</v>
      </c>
      <c r="V388">
        <v>0.04</v>
      </c>
      <c r="W388">
        <v>0</v>
      </c>
      <c r="X388">
        <v>17089.789316999999</v>
      </c>
      <c r="Y388">
        <v>12696718.448999999</v>
      </c>
    </row>
    <row r="389" spans="1:25" x14ac:dyDescent="0.55000000000000004">
      <c r="A389">
        <v>387</v>
      </c>
      <c r="B389" t="s">
        <v>20</v>
      </c>
      <c r="C389">
        <v>28</v>
      </c>
      <c r="D389">
        <v>8</v>
      </c>
      <c r="E389" t="s">
        <v>73</v>
      </c>
      <c r="F389" t="s">
        <v>74</v>
      </c>
      <c r="G389">
        <v>22</v>
      </c>
      <c r="H389">
        <v>2</v>
      </c>
      <c r="I389">
        <v>22080000</v>
      </c>
      <c r="J389">
        <v>528</v>
      </c>
      <c r="K389">
        <v>0</v>
      </c>
      <c r="L389">
        <v>12910</v>
      </c>
      <c r="M389">
        <v>12.798636999999999</v>
      </c>
      <c r="N389">
        <v>101.85438000000001</v>
      </c>
      <c r="O389">
        <v>2.0499999999999998</v>
      </c>
      <c r="P389">
        <v>0.02</v>
      </c>
      <c r="Q389">
        <v>6.4</v>
      </c>
      <c r="R389">
        <v>0.52</v>
      </c>
      <c r="S389">
        <v>0.75</v>
      </c>
      <c r="T389">
        <v>4.1500000000000004</v>
      </c>
      <c r="U389">
        <v>14.66</v>
      </c>
      <c r="V389">
        <v>3.73</v>
      </c>
      <c r="W389">
        <v>0.67</v>
      </c>
      <c r="X389">
        <v>10851.44975</v>
      </c>
      <c r="Y389">
        <v>1374383.50532</v>
      </c>
    </row>
    <row r="390" spans="1:25" x14ac:dyDescent="0.55000000000000004">
      <c r="A390">
        <v>388</v>
      </c>
      <c r="B390" t="s">
        <v>20</v>
      </c>
      <c r="C390">
        <v>28</v>
      </c>
      <c r="D390">
        <v>8</v>
      </c>
      <c r="E390" t="s">
        <v>73</v>
      </c>
      <c r="F390" t="s">
        <v>74</v>
      </c>
      <c r="G390">
        <v>22</v>
      </c>
      <c r="H390">
        <v>2</v>
      </c>
      <c r="I390">
        <v>22080000</v>
      </c>
      <c r="J390">
        <v>529</v>
      </c>
      <c r="K390">
        <v>0</v>
      </c>
      <c r="L390">
        <v>13031</v>
      </c>
      <c r="M390">
        <v>12.8797</v>
      </c>
      <c r="N390">
        <v>101.93751</v>
      </c>
      <c r="O390">
        <v>4.88</v>
      </c>
      <c r="P390">
        <v>0.28000000000000003</v>
      </c>
      <c r="Q390">
        <v>0.21</v>
      </c>
      <c r="R390">
        <v>18.280000999999999</v>
      </c>
      <c r="S390">
        <v>6.22</v>
      </c>
      <c r="T390">
        <v>8.4</v>
      </c>
      <c r="U390">
        <v>20.690000999999999</v>
      </c>
      <c r="V390">
        <v>4.8</v>
      </c>
      <c r="W390">
        <v>2.16</v>
      </c>
      <c r="X390">
        <v>9182.8811179999993</v>
      </c>
      <c r="Y390">
        <v>3714059.5082899998</v>
      </c>
    </row>
    <row r="391" spans="1:25" x14ac:dyDescent="0.55000000000000004">
      <c r="A391">
        <v>389</v>
      </c>
      <c r="B391" t="s">
        <v>20</v>
      </c>
      <c r="C391">
        <v>28</v>
      </c>
      <c r="D391">
        <v>8</v>
      </c>
      <c r="E391" t="s">
        <v>73</v>
      </c>
      <c r="F391" t="s">
        <v>74</v>
      </c>
      <c r="G391">
        <v>22</v>
      </c>
      <c r="H391">
        <v>2</v>
      </c>
      <c r="I391">
        <v>22080000</v>
      </c>
      <c r="J391">
        <v>530</v>
      </c>
      <c r="K391">
        <v>0</v>
      </c>
      <c r="L391">
        <v>13030</v>
      </c>
      <c r="M391">
        <v>12.8797</v>
      </c>
      <c r="N391">
        <v>101.85438000000001</v>
      </c>
      <c r="O391">
        <v>12.93</v>
      </c>
      <c r="P391">
        <v>0</v>
      </c>
      <c r="Q391">
        <v>1.68</v>
      </c>
      <c r="R391">
        <v>3.16</v>
      </c>
      <c r="S391">
        <v>16.399999999999999</v>
      </c>
      <c r="T391">
        <v>7.56</v>
      </c>
      <c r="U391">
        <v>7.14</v>
      </c>
      <c r="V391">
        <v>2.63</v>
      </c>
      <c r="W391">
        <v>1.61</v>
      </c>
      <c r="X391">
        <v>39185.275065000002</v>
      </c>
      <c r="Y391">
        <v>42294202.653300002</v>
      </c>
    </row>
    <row r="392" spans="1:25" x14ac:dyDescent="0.55000000000000004">
      <c r="A392">
        <v>390</v>
      </c>
      <c r="B392" t="s">
        <v>20</v>
      </c>
      <c r="C392">
        <v>28</v>
      </c>
      <c r="D392">
        <v>8</v>
      </c>
      <c r="E392" t="s">
        <v>73</v>
      </c>
      <c r="F392" t="s">
        <v>74</v>
      </c>
      <c r="G392">
        <v>22</v>
      </c>
      <c r="H392">
        <v>2</v>
      </c>
      <c r="I392">
        <v>22080000</v>
      </c>
      <c r="J392">
        <v>532</v>
      </c>
      <c r="K392">
        <v>0</v>
      </c>
      <c r="L392">
        <v>13151</v>
      </c>
      <c r="M392">
        <v>12.960724000000001</v>
      </c>
      <c r="N392">
        <v>101.93751</v>
      </c>
      <c r="O392">
        <v>2.78</v>
      </c>
      <c r="P392">
        <v>0.1</v>
      </c>
      <c r="Q392">
        <v>0.03</v>
      </c>
      <c r="R392">
        <v>0.99</v>
      </c>
      <c r="S392">
        <v>8.31</v>
      </c>
      <c r="T392">
        <v>10.87</v>
      </c>
      <c r="U392">
        <v>31.02</v>
      </c>
      <c r="V392">
        <v>12.54</v>
      </c>
      <c r="W392">
        <v>0.53</v>
      </c>
      <c r="X392">
        <v>38830.577120000002</v>
      </c>
      <c r="Y392">
        <v>69362564.380500004</v>
      </c>
    </row>
    <row r="393" spans="1:25" x14ac:dyDescent="0.55000000000000004">
      <c r="A393">
        <v>391</v>
      </c>
      <c r="B393" t="s">
        <v>20</v>
      </c>
      <c r="C393">
        <v>28</v>
      </c>
      <c r="D393">
        <v>8</v>
      </c>
      <c r="E393" t="s">
        <v>73</v>
      </c>
      <c r="F393" t="s">
        <v>74</v>
      </c>
      <c r="G393">
        <v>22</v>
      </c>
      <c r="H393">
        <v>2</v>
      </c>
      <c r="I393">
        <v>22080000</v>
      </c>
      <c r="J393">
        <v>533</v>
      </c>
      <c r="K393">
        <v>0</v>
      </c>
      <c r="L393">
        <v>13150</v>
      </c>
      <c r="M393">
        <v>12.960724000000001</v>
      </c>
      <c r="N393">
        <v>101.85438000000001</v>
      </c>
      <c r="O393">
        <v>6.98</v>
      </c>
      <c r="P393">
        <v>0</v>
      </c>
      <c r="Q393">
        <v>0.1</v>
      </c>
      <c r="R393">
        <v>0.31</v>
      </c>
      <c r="S393">
        <v>24.43</v>
      </c>
      <c r="T393">
        <v>7.07</v>
      </c>
      <c r="U393">
        <v>17.829999999999998</v>
      </c>
      <c r="V393">
        <v>11.15</v>
      </c>
      <c r="W393">
        <v>5.12</v>
      </c>
      <c r="X393">
        <v>35770.999787000001</v>
      </c>
      <c r="Y393">
        <v>80855831.733799994</v>
      </c>
    </row>
    <row r="394" spans="1:25" x14ac:dyDescent="0.55000000000000004">
      <c r="A394">
        <v>392</v>
      </c>
      <c r="B394" t="s">
        <v>20</v>
      </c>
      <c r="C394">
        <v>28</v>
      </c>
      <c r="D394">
        <v>8</v>
      </c>
      <c r="E394" t="s">
        <v>73</v>
      </c>
      <c r="F394" t="s">
        <v>74</v>
      </c>
      <c r="G394">
        <v>22</v>
      </c>
      <c r="H394">
        <v>2</v>
      </c>
      <c r="I394">
        <v>22080000</v>
      </c>
      <c r="J394">
        <v>534</v>
      </c>
      <c r="K394">
        <v>0</v>
      </c>
      <c r="L394">
        <v>13271</v>
      </c>
      <c r="M394">
        <v>13.041733000000001</v>
      </c>
      <c r="N394">
        <v>101.93751</v>
      </c>
      <c r="O394">
        <v>3.14</v>
      </c>
      <c r="P394">
        <v>0.04</v>
      </c>
      <c r="Q394">
        <v>0.15</v>
      </c>
      <c r="R394">
        <v>2.4</v>
      </c>
      <c r="S394">
        <v>19.049999</v>
      </c>
      <c r="T394">
        <v>7.21</v>
      </c>
      <c r="U394">
        <v>11.72</v>
      </c>
      <c r="V394">
        <v>1.61</v>
      </c>
      <c r="W394">
        <v>0.01</v>
      </c>
      <c r="X394">
        <v>35986.625491999999</v>
      </c>
      <c r="Y394">
        <v>80939031.690500006</v>
      </c>
    </row>
    <row r="395" spans="1:25" x14ac:dyDescent="0.55000000000000004">
      <c r="A395">
        <v>393</v>
      </c>
      <c r="B395" t="s">
        <v>20</v>
      </c>
      <c r="C395">
        <v>28</v>
      </c>
      <c r="D395">
        <v>8</v>
      </c>
      <c r="E395" t="s">
        <v>73</v>
      </c>
      <c r="F395" t="s">
        <v>74</v>
      </c>
      <c r="G395">
        <v>22</v>
      </c>
      <c r="H395">
        <v>2</v>
      </c>
      <c r="I395">
        <v>22080000</v>
      </c>
      <c r="J395">
        <v>535</v>
      </c>
      <c r="K395">
        <v>0</v>
      </c>
      <c r="L395">
        <v>13270</v>
      </c>
      <c r="M395">
        <v>13.041733000000001</v>
      </c>
      <c r="N395">
        <v>101.85438000000001</v>
      </c>
      <c r="O395">
        <v>5.83</v>
      </c>
      <c r="P395">
        <v>0</v>
      </c>
      <c r="Q395">
        <v>0.04</v>
      </c>
      <c r="R395">
        <v>0.03</v>
      </c>
      <c r="S395">
        <v>30.32</v>
      </c>
      <c r="T395">
        <v>8.23</v>
      </c>
      <c r="U395">
        <v>5.33</v>
      </c>
      <c r="V395">
        <v>0.94</v>
      </c>
      <c r="W395">
        <v>0</v>
      </c>
      <c r="X395">
        <v>35984.645712999998</v>
      </c>
      <c r="Y395">
        <v>80930118.694700003</v>
      </c>
    </row>
    <row r="396" spans="1:25" x14ac:dyDescent="0.55000000000000004">
      <c r="A396">
        <v>394</v>
      </c>
      <c r="B396" t="s">
        <v>20</v>
      </c>
      <c r="C396">
        <v>28</v>
      </c>
      <c r="D396">
        <v>8</v>
      </c>
      <c r="E396" t="s">
        <v>73</v>
      </c>
      <c r="F396" t="s">
        <v>74</v>
      </c>
      <c r="G396">
        <v>22</v>
      </c>
      <c r="H396">
        <v>2</v>
      </c>
      <c r="I396">
        <v>22080000</v>
      </c>
      <c r="J396">
        <v>543</v>
      </c>
      <c r="K396">
        <v>0</v>
      </c>
      <c r="L396">
        <v>13152</v>
      </c>
      <c r="M396">
        <v>12.960724000000001</v>
      </c>
      <c r="N396">
        <v>102.020645</v>
      </c>
      <c r="O396">
        <v>20.99</v>
      </c>
      <c r="P396">
        <v>0.1</v>
      </c>
      <c r="Q396">
        <v>0.25</v>
      </c>
      <c r="R396">
        <v>4.74</v>
      </c>
      <c r="S396">
        <v>11.07</v>
      </c>
      <c r="T396">
        <v>12.76</v>
      </c>
      <c r="U396">
        <v>29.83</v>
      </c>
      <c r="V396">
        <v>0.27</v>
      </c>
      <c r="W396">
        <v>4.87</v>
      </c>
      <c r="X396">
        <v>11175.77692</v>
      </c>
      <c r="Y396">
        <v>6649886.6100500003</v>
      </c>
    </row>
    <row r="397" spans="1:25" x14ac:dyDescent="0.55000000000000004">
      <c r="A397">
        <v>395</v>
      </c>
      <c r="B397" t="s">
        <v>20</v>
      </c>
      <c r="C397">
        <v>28</v>
      </c>
      <c r="D397">
        <v>8</v>
      </c>
      <c r="E397" t="s">
        <v>73</v>
      </c>
      <c r="F397" t="s">
        <v>74</v>
      </c>
      <c r="G397">
        <v>22</v>
      </c>
      <c r="H397">
        <v>2</v>
      </c>
      <c r="I397">
        <v>22080000</v>
      </c>
      <c r="J397">
        <v>547</v>
      </c>
      <c r="K397">
        <v>0</v>
      </c>
      <c r="L397">
        <v>13272</v>
      </c>
      <c r="M397">
        <v>13.041733000000001</v>
      </c>
      <c r="N397">
        <v>102.020645</v>
      </c>
      <c r="O397">
        <v>8.4</v>
      </c>
      <c r="P397">
        <v>0.3</v>
      </c>
      <c r="Q397">
        <v>0.24</v>
      </c>
      <c r="R397">
        <v>0.55000000000000004</v>
      </c>
      <c r="S397">
        <v>6.39</v>
      </c>
      <c r="T397">
        <v>35</v>
      </c>
      <c r="U397">
        <v>14.49</v>
      </c>
      <c r="V397">
        <v>2.86</v>
      </c>
      <c r="W397">
        <v>1.39</v>
      </c>
      <c r="X397">
        <v>30013.626077000001</v>
      </c>
      <c r="Y397">
        <v>38187559.433799997</v>
      </c>
    </row>
    <row r="398" spans="1:25" x14ac:dyDescent="0.55000000000000004">
      <c r="A398">
        <v>396</v>
      </c>
      <c r="B398" t="s">
        <v>20</v>
      </c>
      <c r="C398">
        <v>28</v>
      </c>
      <c r="D398">
        <v>8</v>
      </c>
      <c r="E398" t="s">
        <v>73</v>
      </c>
      <c r="F398" t="s">
        <v>74</v>
      </c>
      <c r="G398">
        <v>22</v>
      </c>
      <c r="H398">
        <v>2</v>
      </c>
      <c r="I398">
        <v>22080000</v>
      </c>
      <c r="J398">
        <v>755</v>
      </c>
      <c r="K398">
        <v>0</v>
      </c>
      <c r="L398">
        <v>13388</v>
      </c>
      <c r="M398">
        <v>13.122719</v>
      </c>
      <c r="N398">
        <v>101.68810000000001</v>
      </c>
      <c r="O398">
        <v>11.11</v>
      </c>
      <c r="P398">
        <v>0.39</v>
      </c>
      <c r="Q398">
        <v>0.03</v>
      </c>
      <c r="R398">
        <v>0.1</v>
      </c>
      <c r="S398">
        <v>15.51</v>
      </c>
      <c r="T398">
        <v>19.079999999999998</v>
      </c>
      <c r="U398">
        <v>8.93</v>
      </c>
      <c r="V398">
        <v>0.32</v>
      </c>
      <c r="W398">
        <v>0.18</v>
      </c>
      <c r="X398">
        <v>26633.131159</v>
      </c>
      <c r="Y398">
        <v>34500835.702399999</v>
      </c>
    </row>
    <row r="399" spans="1:25" x14ac:dyDescent="0.55000000000000004">
      <c r="A399">
        <v>397</v>
      </c>
      <c r="B399" t="s">
        <v>20</v>
      </c>
      <c r="C399">
        <v>28</v>
      </c>
      <c r="D399">
        <v>8</v>
      </c>
      <c r="E399" t="s">
        <v>73</v>
      </c>
      <c r="F399" t="s">
        <v>74</v>
      </c>
      <c r="G399">
        <v>22</v>
      </c>
      <c r="H399">
        <v>2</v>
      </c>
      <c r="I399">
        <v>22080000</v>
      </c>
      <c r="J399">
        <v>758</v>
      </c>
      <c r="K399">
        <v>0</v>
      </c>
      <c r="L399">
        <v>13508</v>
      </c>
      <c r="M399">
        <v>13.203666999999999</v>
      </c>
      <c r="N399">
        <v>101.68810000000001</v>
      </c>
      <c r="O399">
        <v>7.24</v>
      </c>
      <c r="P399">
        <v>0.11</v>
      </c>
      <c r="Q399">
        <v>0.27</v>
      </c>
      <c r="R399">
        <v>0.15</v>
      </c>
      <c r="S399">
        <v>34.200001</v>
      </c>
      <c r="T399">
        <v>43.549999</v>
      </c>
      <c r="U399">
        <v>12.57</v>
      </c>
      <c r="V399">
        <v>6.21</v>
      </c>
      <c r="W399">
        <v>0.05</v>
      </c>
      <c r="X399">
        <v>6980.2298769999998</v>
      </c>
      <c r="Y399">
        <v>2712330.7496699998</v>
      </c>
    </row>
    <row r="400" spans="1:25" x14ac:dyDescent="0.55000000000000004">
      <c r="A400">
        <v>398</v>
      </c>
      <c r="B400" t="s">
        <v>20</v>
      </c>
      <c r="C400">
        <v>28</v>
      </c>
      <c r="D400">
        <v>8</v>
      </c>
      <c r="E400" t="s">
        <v>73</v>
      </c>
      <c r="F400" t="s">
        <v>74</v>
      </c>
      <c r="G400">
        <v>22</v>
      </c>
      <c r="H400">
        <v>2</v>
      </c>
      <c r="I400">
        <v>22080000</v>
      </c>
      <c r="J400">
        <v>764</v>
      </c>
      <c r="K400">
        <v>0</v>
      </c>
      <c r="L400">
        <v>13389</v>
      </c>
      <c r="M400">
        <v>13.122719</v>
      </c>
      <c r="N400">
        <v>101.77124000000001</v>
      </c>
      <c r="O400">
        <v>30.610001</v>
      </c>
      <c r="P400">
        <v>0.37</v>
      </c>
      <c r="Q400">
        <v>0.33</v>
      </c>
      <c r="R400">
        <v>0.05</v>
      </c>
      <c r="S400">
        <v>48.639999000000003</v>
      </c>
      <c r="T400">
        <v>6.36</v>
      </c>
      <c r="U400">
        <v>16.02</v>
      </c>
      <c r="V400">
        <v>0.15</v>
      </c>
      <c r="W400">
        <v>0.35</v>
      </c>
      <c r="X400">
        <v>35970.724017</v>
      </c>
      <c r="Y400">
        <v>80867483.796700001</v>
      </c>
    </row>
    <row r="401" spans="1:25" x14ac:dyDescent="0.55000000000000004">
      <c r="A401">
        <v>399</v>
      </c>
      <c r="B401" t="s">
        <v>20</v>
      </c>
      <c r="C401">
        <v>28</v>
      </c>
      <c r="D401">
        <v>8</v>
      </c>
      <c r="E401" t="s">
        <v>73</v>
      </c>
      <c r="F401" t="s">
        <v>74</v>
      </c>
      <c r="G401">
        <v>22</v>
      </c>
      <c r="H401">
        <v>2</v>
      </c>
      <c r="I401">
        <v>22080000</v>
      </c>
      <c r="J401">
        <v>765</v>
      </c>
      <c r="K401">
        <v>0</v>
      </c>
      <c r="L401">
        <v>13390</v>
      </c>
      <c r="M401">
        <v>13.122719</v>
      </c>
      <c r="N401">
        <v>101.85438000000001</v>
      </c>
      <c r="O401">
        <v>3.03</v>
      </c>
      <c r="P401">
        <v>0.1</v>
      </c>
      <c r="Q401">
        <v>0.5</v>
      </c>
      <c r="R401">
        <v>2.99</v>
      </c>
      <c r="S401">
        <v>34.139999000000003</v>
      </c>
      <c r="T401">
        <v>4.88</v>
      </c>
      <c r="U401">
        <v>9.17</v>
      </c>
      <c r="V401">
        <v>7.0000000000000007E-2</v>
      </c>
      <c r="W401">
        <v>0.23</v>
      </c>
      <c r="X401">
        <v>35972.086448000002</v>
      </c>
      <c r="Y401">
        <v>80873625.279699996</v>
      </c>
    </row>
    <row r="402" spans="1:25" x14ac:dyDescent="0.55000000000000004">
      <c r="A402">
        <v>400</v>
      </c>
      <c r="B402" t="s">
        <v>20</v>
      </c>
      <c r="C402">
        <v>28</v>
      </c>
      <c r="D402">
        <v>8</v>
      </c>
      <c r="E402" t="s">
        <v>73</v>
      </c>
      <c r="F402" t="s">
        <v>74</v>
      </c>
      <c r="G402">
        <v>22</v>
      </c>
      <c r="H402">
        <v>2</v>
      </c>
      <c r="I402">
        <v>22080000</v>
      </c>
      <c r="J402">
        <v>766</v>
      </c>
      <c r="K402">
        <v>0</v>
      </c>
      <c r="L402">
        <v>13630</v>
      </c>
      <c r="M402">
        <v>13.284592</v>
      </c>
      <c r="N402">
        <v>101.85438000000001</v>
      </c>
      <c r="O402">
        <v>26.780000999999999</v>
      </c>
      <c r="P402">
        <v>0.52</v>
      </c>
      <c r="Q402">
        <v>1.69</v>
      </c>
      <c r="R402">
        <v>3.77</v>
      </c>
      <c r="S402">
        <v>2.56</v>
      </c>
      <c r="T402">
        <v>16.93</v>
      </c>
      <c r="U402">
        <v>20.25</v>
      </c>
      <c r="V402">
        <v>0.02</v>
      </c>
      <c r="W402">
        <v>0.04</v>
      </c>
      <c r="X402">
        <v>6901.5244190000003</v>
      </c>
      <c r="Y402">
        <v>869287.49815100001</v>
      </c>
    </row>
    <row r="403" spans="1:25" x14ac:dyDescent="0.55000000000000004">
      <c r="A403">
        <v>401</v>
      </c>
      <c r="B403" t="s">
        <v>20</v>
      </c>
      <c r="C403">
        <v>28</v>
      </c>
      <c r="D403">
        <v>8</v>
      </c>
      <c r="E403" t="s">
        <v>73</v>
      </c>
      <c r="F403" t="s">
        <v>74</v>
      </c>
      <c r="G403">
        <v>22</v>
      </c>
      <c r="H403">
        <v>2</v>
      </c>
      <c r="I403">
        <v>22080000</v>
      </c>
      <c r="J403">
        <v>767</v>
      </c>
      <c r="K403">
        <v>0</v>
      </c>
      <c r="L403">
        <v>13509</v>
      </c>
      <c r="M403">
        <v>13.203666999999999</v>
      </c>
      <c r="N403">
        <v>101.77124000000001</v>
      </c>
      <c r="O403">
        <v>78.720000999999996</v>
      </c>
      <c r="P403">
        <v>3.92</v>
      </c>
      <c r="Q403">
        <v>1.0900000000000001</v>
      </c>
      <c r="R403">
        <v>0.15</v>
      </c>
      <c r="S403">
        <v>52.889999000000003</v>
      </c>
      <c r="T403">
        <v>14.79</v>
      </c>
      <c r="U403">
        <v>19.59</v>
      </c>
      <c r="V403">
        <v>7.0000000000000007E-2</v>
      </c>
      <c r="W403">
        <v>0.19</v>
      </c>
      <c r="X403">
        <v>28080.667911</v>
      </c>
      <c r="Y403">
        <v>29437090.251499999</v>
      </c>
    </row>
    <row r="404" spans="1:25" x14ac:dyDescent="0.55000000000000004">
      <c r="A404">
        <v>402</v>
      </c>
      <c r="B404" t="s">
        <v>20</v>
      </c>
      <c r="C404">
        <v>28</v>
      </c>
      <c r="D404">
        <v>8</v>
      </c>
      <c r="E404" t="s">
        <v>73</v>
      </c>
      <c r="F404" t="s">
        <v>74</v>
      </c>
      <c r="G404">
        <v>22</v>
      </c>
      <c r="H404">
        <v>2</v>
      </c>
      <c r="I404">
        <v>22080000</v>
      </c>
      <c r="J404">
        <v>768</v>
      </c>
      <c r="K404">
        <v>0</v>
      </c>
      <c r="L404">
        <v>13510</v>
      </c>
      <c r="M404">
        <v>13.203666999999999</v>
      </c>
      <c r="N404">
        <v>101.85438000000001</v>
      </c>
      <c r="O404">
        <v>35.790000999999997</v>
      </c>
      <c r="P404">
        <v>0.12</v>
      </c>
      <c r="Q404">
        <v>0.45</v>
      </c>
      <c r="R404">
        <v>4.7</v>
      </c>
      <c r="S404">
        <v>27.59</v>
      </c>
      <c r="T404">
        <v>32.630001</v>
      </c>
      <c r="U404">
        <v>10.87</v>
      </c>
      <c r="V404">
        <v>0</v>
      </c>
      <c r="W404">
        <v>0.19</v>
      </c>
      <c r="X404">
        <v>39294.239638999999</v>
      </c>
      <c r="Y404">
        <v>71438080.273200005</v>
      </c>
    </row>
    <row r="405" spans="1:25" x14ac:dyDescent="0.55000000000000004">
      <c r="A405">
        <v>403</v>
      </c>
      <c r="B405" t="s">
        <v>20</v>
      </c>
      <c r="C405">
        <v>28</v>
      </c>
      <c r="D405">
        <v>8</v>
      </c>
      <c r="E405" t="s">
        <v>73</v>
      </c>
      <c r="F405" t="s">
        <v>74</v>
      </c>
      <c r="G405">
        <v>22</v>
      </c>
      <c r="H405">
        <v>2</v>
      </c>
      <c r="I405">
        <v>22080000</v>
      </c>
      <c r="J405">
        <v>972</v>
      </c>
      <c r="K405">
        <v>0</v>
      </c>
      <c r="L405">
        <v>13391</v>
      </c>
      <c r="M405">
        <v>13.122719</v>
      </c>
      <c r="N405">
        <v>101.93751</v>
      </c>
      <c r="O405">
        <v>25.370000999999998</v>
      </c>
      <c r="P405">
        <v>0.11</v>
      </c>
      <c r="Q405">
        <v>0.36</v>
      </c>
      <c r="R405">
        <v>0.13</v>
      </c>
      <c r="S405">
        <v>4.26</v>
      </c>
      <c r="T405">
        <v>6.33</v>
      </c>
      <c r="U405">
        <v>6.23</v>
      </c>
      <c r="V405">
        <v>0.71</v>
      </c>
      <c r="W405">
        <v>0.09</v>
      </c>
      <c r="X405">
        <v>35974.063853</v>
      </c>
      <c r="Y405">
        <v>80882524.541299999</v>
      </c>
    </row>
    <row r="406" spans="1:25" x14ac:dyDescent="0.55000000000000004">
      <c r="A406">
        <v>404</v>
      </c>
      <c r="B406" t="s">
        <v>20</v>
      </c>
      <c r="C406">
        <v>28</v>
      </c>
      <c r="D406">
        <v>8</v>
      </c>
      <c r="E406" t="s">
        <v>73</v>
      </c>
      <c r="F406" t="s">
        <v>74</v>
      </c>
      <c r="G406">
        <v>22</v>
      </c>
      <c r="H406">
        <v>2</v>
      </c>
      <c r="I406">
        <v>22080000</v>
      </c>
      <c r="J406">
        <v>973</v>
      </c>
      <c r="K406">
        <v>0</v>
      </c>
      <c r="L406">
        <v>13392</v>
      </c>
      <c r="M406">
        <v>13.122719</v>
      </c>
      <c r="N406">
        <v>102.020645</v>
      </c>
      <c r="O406">
        <v>32.450001</v>
      </c>
      <c r="P406">
        <v>0.73</v>
      </c>
      <c r="Q406">
        <v>2.83</v>
      </c>
      <c r="R406">
        <v>6.51</v>
      </c>
      <c r="S406">
        <v>2.12</v>
      </c>
      <c r="T406">
        <v>24.84</v>
      </c>
      <c r="U406">
        <v>4.51</v>
      </c>
      <c r="V406">
        <v>3.87</v>
      </c>
      <c r="W406">
        <v>0</v>
      </c>
      <c r="X406">
        <v>33264.710792999998</v>
      </c>
      <c r="Y406">
        <v>68564423.813899994</v>
      </c>
    </row>
    <row r="407" spans="1:25" x14ac:dyDescent="0.55000000000000004">
      <c r="A407">
        <v>405</v>
      </c>
      <c r="B407" t="s">
        <v>20</v>
      </c>
      <c r="C407">
        <v>28</v>
      </c>
      <c r="D407">
        <v>8</v>
      </c>
      <c r="E407" t="s">
        <v>73</v>
      </c>
      <c r="F407" t="s">
        <v>74</v>
      </c>
      <c r="G407">
        <v>22</v>
      </c>
      <c r="H407">
        <v>2</v>
      </c>
      <c r="I407">
        <v>22080000</v>
      </c>
      <c r="J407">
        <v>974</v>
      </c>
      <c r="K407">
        <v>0</v>
      </c>
      <c r="L407">
        <v>13632</v>
      </c>
      <c r="M407">
        <v>13.284592</v>
      </c>
      <c r="N407">
        <v>102.020645</v>
      </c>
      <c r="O407">
        <v>6.81</v>
      </c>
      <c r="P407">
        <v>0.03</v>
      </c>
      <c r="Q407">
        <v>6.53</v>
      </c>
      <c r="R407">
        <v>1.18</v>
      </c>
      <c r="S407">
        <v>9.5399999999999991</v>
      </c>
      <c r="T407">
        <v>11.76</v>
      </c>
      <c r="U407">
        <v>20.98</v>
      </c>
      <c r="V407">
        <v>0.01</v>
      </c>
      <c r="W407">
        <v>0.21</v>
      </c>
      <c r="X407">
        <v>28341.937951</v>
      </c>
      <c r="Y407">
        <v>38936633.998499997</v>
      </c>
    </row>
    <row r="408" spans="1:25" x14ac:dyDescent="0.55000000000000004">
      <c r="A408">
        <v>406</v>
      </c>
      <c r="B408" t="s">
        <v>20</v>
      </c>
      <c r="C408">
        <v>28</v>
      </c>
      <c r="D408">
        <v>8</v>
      </c>
      <c r="E408" t="s">
        <v>73</v>
      </c>
      <c r="F408" t="s">
        <v>74</v>
      </c>
      <c r="G408">
        <v>22</v>
      </c>
      <c r="H408">
        <v>2</v>
      </c>
      <c r="I408">
        <v>22080000</v>
      </c>
      <c r="J408">
        <v>975</v>
      </c>
      <c r="K408">
        <v>0</v>
      </c>
      <c r="L408">
        <v>13511</v>
      </c>
      <c r="M408">
        <v>13.203666999999999</v>
      </c>
      <c r="N408">
        <v>101.93751</v>
      </c>
      <c r="O408">
        <v>53.84</v>
      </c>
      <c r="P408">
        <v>0.16</v>
      </c>
      <c r="Q408">
        <v>1.47</v>
      </c>
      <c r="R408">
        <v>4.0999999999999996</v>
      </c>
      <c r="S408">
        <v>2.42</v>
      </c>
      <c r="T408">
        <v>32.599997999999999</v>
      </c>
      <c r="U408">
        <v>5.51</v>
      </c>
      <c r="V408">
        <v>0</v>
      </c>
      <c r="W408">
        <v>0.09</v>
      </c>
      <c r="X408">
        <v>36487.600930000001</v>
      </c>
      <c r="Y408">
        <v>80468684.548099995</v>
      </c>
    </row>
    <row r="409" spans="1:25" x14ac:dyDescent="0.55000000000000004">
      <c r="A409">
        <v>407</v>
      </c>
      <c r="B409" t="s">
        <v>20</v>
      </c>
      <c r="C409">
        <v>28</v>
      </c>
      <c r="D409">
        <v>8</v>
      </c>
      <c r="E409" t="s">
        <v>73</v>
      </c>
      <c r="F409" t="s">
        <v>74</v>
      </c>
      <c r="G409">
        <v>22</v>
      </c>
      <c r="H409">
        <v>2</v>
      </c>
      <c r="I409">
        <v>22080000</v>
      </c>
      <c r="J409">
        <v>976</v>
      </c>
      <c r="K409">
        <v>0</v>
      </c>
      <c r="L409">
        <v>13512</v>
      </c>
      <c r="M409">
        <v>13.203666999999999</v>
      </c>
      <c r="N409">
        <v>102.020645</v>
      </c>
      <c r="O409">
        <v>18.82</v>
      </c>
      <c r="P409">
        <v>0.95</v>
      </c>
      <c r="Q409">
        <v>2.11</v>
      </c>
      <c r="R409">
        <v>11.88</v>
      </c>
      <c r="S409">
        <v>42.34</v>
      </c>
      <c r="T409">
        <v>30.379999000000002</v>
      </c>
      <c r="U409">
        <v>12.91</v>
      </c>
      <c r="V409">
        <v>0.02</v>
      </c>
      <c r="W409">
        <v>0.01</v>
      </c>
      <c r="X409">
        <v>32507.983292000001</v>
      </c>
      <c r="Y409">
        <v>52465113.769699998</v>
      </c>
    </row>
    <row r="410" spans="1:25" x14ac:dyDescent="0.55000000000000004">
      <c r="A410">
        <v>408</v>
      </c>
      <c r="B410" t="s">
        <v>20</v>
      </c>
      <c r="C410">
        <v>28</v>
      </c>
      <c r="D410">
        <v>8</v>
      </c>
      <c r="E410" t="s">
        <v>73</v>
      </c>
      <c r="F410" t="s">
        <v>74</v>
      </c>
      <c r="G410">
        <v>22</v>
      </c>
      <c r="H410">
        <v>2</v>
      </c>
      <c r="I410">
        <v>22080000</v>
      </c>
      <c r="J410">
        <v>982</v>
      </c>
      <c r="K410">
        <v>0</v>
      </c>
      <c r="L410">
        <v>13752</v>
      </c>
      <c r="M410">
        <v>13.365479000000001</v>
      </c>
      <c r="N410">
        <v>102.020645</v>
      </c>
      <c r="O410">
        <v>1.91</v>
      </c>
      <c r="P410">
        <v>0.43</v>
      </c>
      <c r="Q410">
        <v>10.199999999999999</v>
      </c>
      <c r="R410">
        <v>1.77</v>
      </c>
      <c r="S410">
        <v>3.01</v>
      </c>
      <c r="T410">
        <v>8.15</v>
      </c>
      <c r="U410">
        <v>66.080001999999993</v>
      </c>
      <c r="V410">
        <v>0.05</v>
      </c>
      <c r="W410">
        <v>0.1</v>
      </c>
      <c r="X410">
        <v>4147.8135329999996</v>
      </c>
      <c r="Y410">
        <v>957327.33930700005</v>
      </c>
    </row>
    <row r="411" spans="1:25" x14ac:dyDescent="0.55000000000000004">
      <c r="A411">
        <v>409</v>
      </c>
      <c r="B411" t="s">
        <v>20</v>
      </c>
      <c r="C411">
        <v>28</v>
      </c>
      <c r="D411">
        <v>8</v>
      </c>
      <c r="E411" t="s">
        <v>73</v>
      </c>
      <c r="F411" t="s">
        <v>74</v>
      </c>
      <c r="G411">
        <v>22</v>
      </c>
      <c r="H411">
        <v>2</v>
      </c>
      <c r="I411">
        <v>22080000</v>
      </c>
      <c r="J411">
        <v>983</v>
      </c>
      <c r="K411">
        <v>0</v>
      </c>
      <c r="L411">
        <v>13751</v>
      </c>
      <c r="M411">
        <v>13.365479000000001</v>
      </c>
      <c r="N411">
        <v>101.93751</v>
      </c>
      <c r="O411">
        <v>0.75</v>
      </c>
      <c r="P411">
        <v>0.48</v>
      </c>
      <c r="Q411">
        <v>0.08</v>
      </c>
      <c r="R411">
        <v>0.51</v>
      </c>
      <c r="S411">
        <v>2.91</v>
      </c>
      <c r="T411">
        <v>5.45</v>
      </c>
      <c r="U411">
        <v>37.07</v>
      </c>
      <c r="V411">
        <v>2.42</v>
      </c>
      <c r="W411">
        <v>0</v>
      </c>
      <c r="X411">
        <v>3098.6220170000001</v>
      </c>
      <c r="Y411">
        <v>228928.58618700001</v>
      </c>
    </row>
    <row r="412" spans="1:25" x14ac:dyDescent="0.55000000000000004">
      <c r="A412">
        <v>410</v>
      </c>
      <c r="B412" t="s">
        <v>20</v>
      </c>
      <c r="C412">
        <v>28</v>
      </c>
      <c r="D412">
        <v>8</v>
      </c>
      <c r="E412" t="s">
        <v>73</v>
      </c>
      <c r="F412" t="s">
        <v>74</v>
      </c>
      <c r="G412">
        <v>22</v>
      </c>
      <c r="H412">
        <v>2</v>
      </c>
      <c r="I412">
        <v>22080000</v>
      </c>
      <c r="J412">
        <v>987</v>
      </c>
      <c r="K412">
        <v>0</v>
      </c>
      <c r="L412">
        <v>13631</v>
      </c>
      <c r="M412">
        <v>13.284592</v>
      </c>
      <c r="N412">
        <v>101.93751</v>
      </c>
      <c r="O412">
        <v>10.11</v>
      </c>
      <c r="P412">
        <v>0.08</v>
      </c>
      <c r="Q412">
        <v>0.11</v>
      </c>
      <c r="R412">
        <v>10.49</v>
      </c>
      <c r="S412">
        <v>0.94</v>
      </c>
      <c r="T412">
        <v>8.0500000000000007</v>
      </c>
      <c r="U412">
        <v>17.239999999999998</v>
      </c>
      <c r="V412">
        <v>0.01</v>
      </c>
      <c r="W412">
        <v>0.04</v>
      </c>
      <c r="X412">
        <v>35027.174468999998</v>
      </c>
      <c r="Y412">
        <v>52571658.4274</v>
      </c>
    </row>
    <row r="413" spans="1:25" x14ac:dyDescent="0.55000000000000004">
      <c r="A413">
        <v>411</v>
      </c>
      <c r="B413" t="s">
        <v>20</v>
      </c>
      <c r="C413">
        <v>29</v>
      </c>
      <c r="D413">
        <v>9</v>
      </c>
      <c r="E413" t="s">
        <v>75</v>
      </c>
      <c r="F413" t="s">
        <v>76</v>
      </c>
      <c r="G413">
        <v>22</v>
      </c>
      <c r="H413">
        <v>2</v>
      </c>
      <c r="I413">
        <v>22090000</v>
      </c>
      <c r="J413">
        <v>298</v>
      </c>
      <c r="K413">
        <v>0</v>
      </c>
      <c r="L413">
        <v>12789</v>
      </c>
      <c r="M413">
        <v>12.717560000000001</v>
      </c>
      <c r="N413">
        <v>101.77124000000001</v>
      </c>
      <c r="O413">
        <v>0.03</v>
      </c>
      <c r="P413">
        <v>0.11</v>
      </c>
      <c r="Q413">
        <v>3.72</v>
      </c>
      <c r="R413">
        <v>23.68</v>
      </c>
      <c r="S413">
        <v>1.04</v>
      </c>
      <c r="T413">
        <v>6.28</v>
      </c>
      <c r="U413">
        <v>16.579999999999998</v>
      </c>
      <c r="V413">
        <v>0.37</v>
      </c>
      <c r="W413">
        <v>9.36</v>
      </c>
      <c r="X413">
        <v>22335.751562000001</v>
      </c>
      <c r="Y413">
        <v>15269057.5118</v>
      </c>
    </row>
    <row r="414" spans="1:25" x14ac:dyDescent="0.55000000000000004">
      <c r="A414">
        <v>412</v>
      </c>
      <c r="B414" t="s">
        <v>20</v>
      </c>
      <c r="C414">
        <v>29</v>
      </c>
      <c r="D414">
        <v>9</v>
      </c>
      <c r="E414" t="s">
        <v>75</v>
      </c>
      <c r="F414" t="s">
        <v>76</v>
      </c>
      <c r="G414">
        <v>22</v>
      </c>
      <c r="H414">
        <v>2</v>
      </c>
      <c r="I414">
        <v>22090000</v>
      </c>
      <c r="J414">
        <v>491</v>
      </c>
      <c r="K414">
        <v>0</v>
      </c>
      <c r="L414">
        <v>12670</v>
      </c>
      <c r="M414">
        <v>12.636443999999999</v>
      </c>
      <c r="N414">
        <v>101.85438000000001</v>
      </c>
      <c r="O414">
        <v>0</v>
      </c>
      <c r="P414">
        <v>0.56999999999999995</v>
      </c>
      <c r="Q414">
        <v>0.32</v>
      </c>
      <c r="R414">
        <v>0.47</v>
      </c>
      <c r="S414">
        <v>1.27</v>
      </c>
      <c r="T414">
        <v>5.76</v>
      </c>
      <c r="U414">
        <v>14.1</v>
      </c>
      <c r="V414">
        <v>5.51</v>
      </c>
      <c r="W414">
        <v>0.73</v>
      </c>
      <c r="X414">
        <v>31705.187837000001</v>
      </c>
      <c r="Y414">
        <v>36446791.568000004</v>
      </c>
    </row>
    <row r="415" spans="1:25" x14ac:dyDescent="0.55000000000000004">
      <c r="A415">
        <v>413</v>
      </c>
      <c r="B415" t="s">
        <v>20</v>
      </c>
      <c r="C415">
        <v>29</v>
      </c>
      <c r="D415">
        <v>9</v>
      </c>
      <c r="E415" t="s">
        <v>75</v>
      </c>
      <c r="F415" t="s">
        <v>76</v>
      </c>
      <c r="G415">
        <v>22</v>
      </c>
      <c r="H415">
        <v>2</v>
      </c>
      <c r="I415">
        <v>22090000</v>
      </c>
      <c r="J415">
        <v>492</v>
      </c>
      <c r="K415">
        <v>0</v>
      </c>
      <c r="L415">
        <v>12550</v>
      </c>
      <c r="M415">
        <v>12.555313</v>
      </c>
      <c r="N415">
        <v>101.85438000000001</v>
      </c>
      <c r="O415">
        <v>0.01</v>
      </c>
      <c r="P415">
        <v>0.7</v>
      </c>
      <c r="Q415">
        <v>0.28999999999999998</v>
      </c>
      <c r="R415">
        <v>0.56000000000000005</v>
      </c>
      <c r="S415">
        <v>2.1</v>
      </c>
      <c r="T415">
        <v>7.39</v>
      </c>
      <c r="U415">
        <v>10.29</v>
      </c>
      <c r="V415">
        <v>1.85</v>
      </c>
      <c r="W415">
        <v>4.7</v>
      </c>
      <c r="X415">
        <v>2948.815231</v>
      </c>
      <c r="Y415">
        <v>310524.78620099998</v>
      </c>
    </row>
    <row r="416" spans="1:25" x14ac:dyDescent="0.55000000000000004">
      <c r="A416">
        <v>414</v>
      </c>
      <c r="B416" t="s">
        <v>20</v>
      </c>
      <c r="C416">
        <v>29</v>
      </c>
      <c r="D416">
        <v>9</v>
      </c>
      <c r="E416" t="s">
        <v>75</v>
      </c>
      <c r="F416" t="s">
        <v>76</v>
      </c>
      <c r="G416">
        <v>22</v>
      </c>
      <c r="H416">
        <v>2</v>
      </c>
      <c r="I416">
        <v>22090000</v>
      </c>
      <c r="J416">
        <v>494</v>
      </c>
      <c r="K416">
        <v>0</v>
      </c>
      <c r="L416">
        <v>12671</v>
      </c>
      <c r="M416">
        <v>12.636443999999999</v>
      </c>
      <c r="N416">
        <v>101.93751</v>
      </c>
      <c r="O416">
        <v>0</v>
      </c>
      <c r="P416">
        <v>1.1499999999999999</v>
      </c>
      <c r="Q416">
        <v>0.57999999999999996</v>
      </c>
      <c r="R416">
        <v>7.0000000000000007E-2</v>
      </c>
      <c r="S416">
        <v>0.32</v>
      </c>
      <c r="T416">
        <v>0.92</v>
      </c>
      <c r="U416">
        <v>14.7</v>
      </c>
      <c r="V416">
        <v>13.03</v>
      </c>
      <c r="W416">
        <v>2.2999999999999998</v>
      </c>
      <c r="X416">
        <v>25894.266925</v>
      </c>
      <c r="Y416">
        <v>10150963.274800001</v>
      </c>
    </row>
    <row r="417" spans="1:25" x14ac:dyDescent="0.55000000000000004">
      <c r="A417">
        <v>415</v>
      </c>
      <c r="B417" t="s">
        <v>20</v>
      </c>
      <c r="C417">
        <v>29</v>
      </c>
      <c r="D417">
        <v>9</v>
      </c>
      <c r="E417" t="s">
        <v>75</v>
      </c>
      <c r="F417" t="s">
        <v>76</v>
      </c>
      <c r="G417">
        <v>22</v>
      </c>
      <c r="H417">
        <v>2</v>
      </c>
      <c r="I417">
        <v>22090000</v>
      </c>
      <c r="J417">
        <v>526</v>
      </c>
      <c r="K417">
        <v>0</v>
      </c>
      <c r="L417">
        <v>12790</v>
      </c>
      <c r="M417">
        <v>12.717560000000001</v>
      </c>
      <c r="N417">
        <v>101.85438000000001</v>
      </c>
      <c r="O417">
        <v>1.83</v>
      </c>
      <c r="P417">
        <v>0.06</v>
      </c>
      <c r="Q417">
        <v>2.12</v>
      </c>
      <c r="R417">
        <v>2.09</v>
      </c>
      <c r="S417">
        <v>1.32</v>
      </c>
      <c r="T417">
        <v>10.36</v>
      </c>
      <c r="U417">
        <v>59.040000999999997</v>
      </c>
      <c r="V417">
        <v>1.53</v>
      </c>
      <c r="W417">
        <v>17.260000000000002</v>
      </c>
      <c r="X417">
        <v>35760.266575000001</v>
      </c>
      <c r="Y417">
        <v>79659577.940699995</v>
      </c>
    </row>
    <row r="418" spans="1:25" x14ac:dyDescent="0.55000000000000004">
      <c r="A418">
        <v>416</v>
      </c>
      <c r="B418" t="s">
        <v>20</v>
      </c>
      <c r="C418">
        <v>29</v>
      </c>
      <c r="D418">
        <v>9</v>
      </c>
      <c r="E418" t="s">
        <v>75</v>
      </c>
      <c r="F418" t="s">
        <v>76</v>
      </c>
      <c r="G418">
        <v>22</v>
      </c>
      <c r="H418">
        <v>2</v>
      </c>
      <c r="I418">
        <v>22090000</v>
      </c>
      <c r="J418">
        <v>527</v>
      </c>
      <c r="K418">
        <v>0</v>
      </c>
      <c r="L418">
        <v>12791</v>
      </c>
      <c r="M418">
        <v>12.717560000000001</v>
      </c>
      <c r="N418">
        <v>101.93751</v>
      </c>
      <c r="O418">
        <v>4.5199999999999996</v>
      </c>
      <c r="P418">
        <v>0.09</v>
      </c>
      <c r="Q418">
        <v>0.84</v>
      </c>
      <c r="R418">
        <v>0.1</v>
      </c>
      <c r="S418">
        <v>1.0900000000000001</v>
      </c>
      <c r="T418">
        <v>3.61</v>
      </c>
      <c r="U418">
        <v>50.950001</v>
      </c>
      <c r="V418">
        <v>8.73</v>
      </c>
      <c r="W418">
        <v>5.43</v>
      </c>
      <c r="X418">
        <v>33707.202368999999</v>
      </c>
      <c r="Y418">
        <v>40591021.082900003</v>
      </c>
    </row>
    <row r="419" spans="1:25" x14ac:dyDescent="0.55000000000000004">
      <c r="A419">
        <v>417</v>
      </c>
      <c r="B419" t="s">
        <v>20</v>
      </c>
      <c r="C419">
        <v>29</v>
      </c>
      <c r="D419">
        <v>9</v>
      </c>
      <c r="E419" t="s">
        <v>75</v>
      </c>
      <c r="F419" t="s">
        <v>76</v>
      </c>
      <c r="G419">
        <v>22</v>
      </c>
      <c r="H419">
        <v>2</v>
      </c>
      <c r="I419">
        <v>22090000</v>
      </c>
      <c r="J419">
        <v>528</v>
      </c>
      <c r="K419">
        <v>0</v>
      </c>
      <c r="L419">
        <v>12910</v>
      </c>
      <c r="M419">
        <v>12.798636999999999</v>
      </c>
      <c r="N419">
        <v>101.85438000000001</v>
      </c>
      <c r="O419">
        <v>2.0499999999999998</v>
      </c>
      <c r="P419">
        <v>0.02</v>
      </c>
      <c r="Q419">
        <v>6.4</v>
      </c>
      <c r="R419">
        <v>0.52</v>
      </c>
      <c r="S419">
        <v>0.75</v>
      </c>
      <c r="T419">
        <v>4.1500000000000004</v>
      </c>
      <c r="U419">
        <v>14.66</v>
      </c>
      <c r="V419">
        <v>3.73</v>
      </c>
      <c r="W419">
        <v>0.67</v>
      </c>
      <c r="X419">
        <v>38077.155937000003</v>
      </c>
      <c r="Y419">
        <v>69721402.852899998</v>
      </c>
    </row>
    <row r="420" spans="1:25" x14ac:dyDescent="0.55000000000000004">
      <c r="A420">
        <v>418</v>
      </c>
      <c r="B420" t="s">
        <v>20</v>
      </c>
      <c r="C420">
        <v>29</v>
      </c>
      <c r="D420">
        <v>9</v>
      </c>
      <c r="E420" t="s">
        <v>75</v>
      </c>
      <c r="F420" t="s">
        <v>76</v>
      </c>
      <c r="G420">
        <v>22</v>
      </c>
      <c r="H420">
        <v>2</v>
      </c>
      <c r="I420">
        <v>22090000</v>
      </c>
      <c r="J420">
        <v>529</v>
      </c>
      <c r="K420">
        <v>0</v>
      </c>
      <c r="L420">
        <v>13031</v>
      </c>
      <c r="M420">
        <v>12.8797</v>
      </c>
      <c r="N420">
        <v>101.93751</v>
      </c>
      <c r="O420">
        <v>4.88</v>
      </c>
      <c r="P420">
        <v>0.28000000000000003</v>
      </c>
      <c r="Q420">
        <v>0.21</v>
      </c>
      <c r="R420">
        <v>18.280000999999999</v>
      </c>
      <c r="S420">
        <v>6.22</v>
      </c>
      <c r="T420">
        <v>8.4</v>
      </c>
      <c r="U420">
        <v>20.690000999999999</v>
      </c>
      <c r="V420">
        <v>4.8</v>
      </c>
      <c r="W420">
        <v>2.16</v>
      </c>
      <c r="X420">
        <v>2430.412922</v>
      </c>
      <c r="Y420">
        <v>259345.12216100001</v>
      </c>
    </row>
    <row r="421" spans="1:25" x14ac:dyDescent="0.55000000000000004">
      <c r="A421">
        <v>419</v>
      </c>
      <c r="B421" t="s">
        <v>20</v>
      </c>
      <c r="C421">
        <v>29</v>
      </c>
      <c r="D421">
        <v>9</v>
      </c>
      <c r="E421" t="s">
        <v>75</v>
      </c>
      <c r="F421" t="s">
        <v>76</v>
      </c>
      <c r="G421">
        <v>22</v>
      </c>
      <c r="H421">
        <v>2</v>
      </c>
      <c r="I421">
        <v>22090000</v>
      </c>
      <c r="J421">
        <v>530</v>
      </c>
      <c r="K421">
        <v>0</v>
      </c>
      <c r="L421">
        <v>13030</v>
      </c>
      <c r="M421">
        <v>12.8797</v>
      </c>
      <c r="N421">
        <v>101.85438000000001</v>
      </c>
      <c r="O421">
        <v>12.93</v>
      </c>
      <c r="P421">
        <v>0</v>
      </c>
      <c r="Q421">
        <v>1.68</v>
      </c>
      <c r="R421">
        <v>3.16</v>
      </c>
      <c r="S421">
        <v>16.399999999999999</v>
      </c>
      <c r="T421">
        <v>7.56</v>
      </c>
      <c r="U421">
        <v>7.14</v>
      </c>
      <c r="V421">
        <v>2.63</v>
      </c>
      <c r="W421">
        <v>1.61</v>
      </c>
      <c r="X421">
        <v>25310.478497</v>
      </c>
      <c r="Y421">
        <v>18346702.981400002</v>
      </c>
    </row>
    <row r="422" spans="1:25" x14ac:dyDescent="0.55000000000000004">
      <c r="A422">
        <v>420</v>
      </c>
      <c r="B422" t="s">
        <v>20</v>
      </c>
      <c r="C422">
        <v>29</v>
      </c>
      <c r="D422">
        <v>9</v>
      </c>
      <c r="E422" t="s">
        <v>75</v>
      </c>
      <c r="F422" t="s">
        <v>76</v>
      </c>
      <c r="G422">
        <v>22</v>
      </c>
      <c r="H422">
        <v>2</v>
      </c>
      <c r="I422">
        <v>22090000</v>
      </c>
      <c r="J422">
        <v>531</v>
      </c>
      <c r="K422">
        <v>0</v>
      </c>
      <c r="L422">
        <v>12911</v>
      </c>
      <c r="M422">
        <v>12.798636999999999</v>
      </c>
      <c r="N422">
        <v>101.93751</v>
      </c>
      <c r="O422">
        <v>4.22</v>
      </c>
      <c r="P422">
        <v>0.03</v>
      </c>
      <c r="Q422">
        <v>0.87</v>
      </c>
      <c r="R422">
        <v>0.99</v>
      </c>
      <c r="S422">
        <v>12.38</v>
      </c>
      <c r="T422">
        <v>16.290001</v>
      </c>
      <c r="U422">
        <v>26.01</v>
      </c>
      <c r="V422">
        <v>17.510000000000002</v>
      </c>
      <c r="W422">
        <v>7.22</v>
      </c>
      <c r="X422">
        <v>27223.017205</v>
      </c>
      <c r="Y422">
        <v>15358625.025599999</v>
      </c>
    </row>
    <row r="423" spans="1:25" x14ac:dyDescent="0.55000000000000004">
      <c r="A423">
        <v>421</v>
      </c>
      <c r="B423" t="s">
        <v>20</v>
      </c>
      <c r="C423">
        <v>30</v>
      </c>
      <c r="D423">
        <v>10</v>
      </c>
      <c r="E423" t="s">
        <v>77</v>
      </c>
      <c r="F423" t="s">
        <v>78</v>
      </c>
      <c r="G423">
        <v>22</v>
      </c>
      <c r="H423">
        <v>2</v>
      </c>
      <c r="I423">
        <v>22100000</v>
      </c>
      <c r="J423">
        <v>529</v>
      </c>
      <c r="K423">
        <v>0</v>
      </c>
      <c r="L423">
        <v>13031</v>
      </c>
      <c r="M423">
        <v>12.8797</v>
      </c>
      <c r="N423">
        <v>101.93751</v>
      </c>
      <c r="O423">
        <v>4.88</v>
      </c>
      <c r="P423">
        <v>0.28000000000000003</v>
      </c>
      <c r="Q423">
        <v>0.21</v>
      </c>
      <c r="R423">
        <v>18.280000999999999</v>
      </c>
      <c r="S423">
        <v>6.22</v>
      </c>
      <c r="T423">
        <v>8.4</v>
      </c>
      <c r="U423">
        <v>20.690000999999999</v>
      </c>
      <c r="V423">
        <v>4.8</v>
      </c>
      <c r="W423">
        <v>2.16</v>
      </c>
      <c r="X423">
        <v>7273.4131299999999</v>
      </c>
      <c r="Y423">
        <v>2206046.2971199998</v>
      </c>
    </row>
    <row r="424" spans="1:25" x14ac:dyDescent="0.55000000000000004">
      <c r="A424">
        <v>422</v>
      </c>
      <c r="B424" t="s">
        <v>20</v>
      </c>
      <c r="C424">
        <v>30</v>
      </c>
      <c r="D424">
        <v>10</v>
      </c>
      <c r="E424" t="s">
        <v>77</v>
      </c>
      <c r="F424" t="s">
        <v>78</v>
      </c>
      <c r="G424">
        <v>22</v>
      </c>
      <c r="H424">
        <v>2</v>
      </c>
      <c r="I424">
        <v>22100000</v>
      </c>
      <c r="J424">
        <v>532</v>
      </c>
      <c r="K424">
        <v>0</v>
      </c>
      <c r="L424">
        <v>13151</v>
      </c>
      <c r="M424">
        <v>12.960724000000001</v>
      </c>
      <c r="N424">
        <v>101.93751</v>
      </c>
      <c r="O424">
        <v>2.78</v>
      </c>
      <c r="P424">
        <v>0.1</v>
      </c>
      <c r="Q424">
        <v>0.03</v>
      </c>
      <c r="R424">
        <v>0.99</v>
      </c>
      <c r="S424">
        <v>8.31</v>
      </c>
      <c r="T424">
        <v>10.87</v>
      </c>
      <c r="U424">
        <v>31.02</v>
      </c>
      <c r="V424">
        <v>12.54</v>
      </c>
      <c r="W424">
        <v>0.53</v>
      </c>
      <c r="X424">
        <v>19284.161098</v>
      </c>
      <c r="Y424">
        <v>10168706.0538</v>
      </c>
    </row>
    <row r="425" spans="1:25" x14ac:dyDescent="0.55000000000000004">
      <c r="A425">
        <v>423</v>
      </c>
      <c r="B425" t="s">
        <v>20</v>
      </c>
      <c r="C425">
        <v>30</v>
      </c>
      <c r="D425">
        <v>10</v>
      </c>
      <c r="E425" t="s">
        <v>77</v>
      </c>
      <c r="F425" t="s">
        <v>78</v>
      </c>
      <c r="G425">
        <v>22</v>
      </c>
      <c r="H425">
        <v>2</v>
      </c>
      <c r="I425">
        <v>22100000</v>
      </c>
      <c r="J425">
        <v>537</v>
      </c>
      <c r="K425">
        <v>0</v>
      </c>
      <c r="L425">
        <v>12912</v>
      </c>
      <c r="M425">
        <v>12.798636999999999</v>
      </c>
      <c r="N425">
        <v>102.020645</v>
      </c>
      <c r="O425">
        <v>18.739999999999998</v>
      </c>
      <c r="P425">
        <v>0</v>
      </c>
      <c r="Q425">
        <v>0.13</v>
      </c>
      <c r="R425">
        <v>2.2999999999999998</v>
      </c>
      <c r="S425">
        <v>2.15</v>
      </c>
      <c r="T425">
        <v>3.68</v>
      </c>
      <c r="U425">
        <v>17.959999</v>
      </c>
      <c r="V425">
        <v>0.03</v>
      </c>
      <c r="W425">
        <v>9.61</v>
      </c>
      <c r="X425">
        <v>25497.507418000001</v>
      </c>
      <c r="Y425">
        <v>19300548.703200001</v>
      </c>
    </row>
    <row r="426" spans="1:25" x14ac:dyDescent="0.55000000000000004">
      <c r="A426">
        <v>424</v>
      </c>
      <c r="B426" t="s">
        <v>20</v>
      </c>
      <c r="C426">
        <v>30</v>
      </c>
      <c r="D426">
        <v>10</v>
      </c>
      <c r="E426" t="s">
        <v>77</v>
      </c>
      <c r="F426" t="s">
        <v>78</v>
      </c>
      <c r="G426">
        <v>22</v>
      </c>
      <c r="H426">
        <v>2</v>
      </c>
      <c r="I426">
        <v>22100000</v>
      </c>
      <c r="J426">
        <v>538</v>
      </c>
      <c r="K426">
        <v>0</v>
      </c>
      <c r="L426">
        <v>12793</v>
      </c>
      <c r="M426">
        <v>12.717560000000001</v>
      </c>
      <c r="N426">
        <v>102.10378</v>
      </c>
      <c r="O426">
        <v>23.540001</v>
      </c>
      <c r="P426">
        <v>0.01</v>
      </c>
      <c r="Q426">
        <v>0.01</v>
      </c>
      <c r="R426">
        <v>2.27</v>
      </c>
      <c r="S426">
        <v>0.73</v>
      </c>
      <c r="T426">
        <v>7.64</v>
      </c>
      <c r="U426">
        <v>4.29</v>
      </c>
      <c r="V426">
        <v>0.47</v>
      </c>
      <c r="W426">
        <v>4.49</v>
      </c>
      <c r="X426">
        <v>16144.879851</v>
      </c>
      <c r="Y426">
        <v>9249938.5123399999</v>
      </c>
    </row>
    <row r="427" spans="1:25" x14ac:dyDescent="0.55000000000000004">
      <c r="A427">
        <v>425</v>
      </c>
      <c r="B427" t="s">
        <v>20</v>
      </c>
      <c r="C427">
        <v>30</v>
      </c>
      <c r="D427">
        <v>10</v>
      </c>
      <c r="E427" t="s">
        <v>77</v>
      </c>
      <c r="F427" t="s">
        <v>78</v>
      </c>
      <c r="G427">
        <v>22</v>
      </c>
      <c r="H427">
        <v>2</v>
      </c>
      <c r="I427">
        <v>22100000</v>
      </c>
      <c r="J427">
        <v>539</v>
      </c>
      <c r="K427">
        <v>0</v>
      </c>
      <c r="L427">
        <v>12913</v>
      </c>
      <c r="M427">
        <v>12.798636999999999</v>
      </c>
      <c r="N427">
        <v>102.10378</v>
      </c>
      <c r="O427">
        <v>75.379997000000003</v>
      </c>
      <c r="P427">
        <v>0.02</v>
      </c>
      <c r="Q427">
        <v>0.08</v>
      </c>
      <c r="R427">
        <v>0.06</v>
      </c>
      <c r="S427">
        <v>18.940000999999999</v>
      </c>
      <c r="T427">
        <v>4.8</v>
      </c>
      <c r="U427">
        <v>6.71</v>
      </c>
      <c r="V427">
        <v>2.0299999999999998</v>
      </c>
      <c r="W427">
        <v>4.7300000000000004</v>
      </c>
      <c r="X427">
        <v>38414.498392000001</v>
      </c>
      <c r="Y427">
        <v>71945183.194700003</v>
      </c>
    </row>
    <row r="428" spans="1:25" x14ac:dyDescent="0.55000000000000004">
      <c r="A428">
        <v>426</v>
      </c>
      <c r="B428" t="s">
        <v>20</v>
      </c>
      <c r="C428">
        <v>30</v>
      </c>
      <c r="D428">
        <v>10</v>
      </c>
      <c r="E428" t="s">
        <v>77</v>
      </c>
      <c r="F428" t="s">
        <v>78</v>
      </c>
      <c r="G428">
        <v>22</v>
      </c>
      <c r="H428">
        <v>2</v>
      </c>
      <c r="I428">
        <v>22100000</v>
      </c>
      <c r="J428">
        <v>541</v>
      </c>
      <c r="K428">
        <v>0</v>
      </c>
      <c r="L428">
        <v>13032</v>
      </c>
      <c r="M428">
        <v>12.8797</v>
      </c>
      <c r="N428">
        <v>102.020645</v>
      </c>
      <c r="O428">
        <v>5.07</v>
      </c>
      <c r="P428">
        <v>0.16</v>
      </c>
      <c r="Q428">
        <v>0.04</v>
      </c>
      <c r="R428">
        <v>10.94</v>
      </c>
      <c r="S428">
        <v>8.61</v>
      </c>
      <c r="T428">
        <v>30.18</v>
      </c>
      <c r="U428">
        <v>32.630001</v>
      </c>
      <c r="V428">
        <v>6.16</v>
      </c>
      <c r="W428">
        <v>1.35</v>
      </c>
      <c r="X428">
        <v>36671.610983999999</v>
      </c>
      <c r="Y428">
        <v>49982981.3891</v>
      </c>
    </row>
    <row r="429" spans="1:25" x14ac:dyDescent="0.55000000000000004">
      <c r="A429">
        <v>427</v>
      </c>
      <c r="B429" t="s">
        <v>20</v>
      </c>
      <c r="C429">
        <v>30</v>
      </c>
      <c r="D429">
        <v>10</v>
      </c>
      <c r="E429" t="s">
        <v>77</v>
      </c>
      <c r="F429" t="s">
        <v>78</v>
      </c>
      <c r="G429">
        <v>22</v>
      </c>
      <c r="H429">
        <v>2</v>
      </c>
      <c r="I429">
        <v>22100000</v>
      </c>
      <c r="J429">
        <v>542</v>
      </c>
      <c r="K429">
        <v>0</v>
      </c>
      <c r="L429">
        <v>13153</v>
      </c>
      <c r="M429">
        <v>12.960724000000001</v>
      </c>
      <c r="N429">
        <v>102.10378</v>
      </c>
      <c r="O429">
        <v>51.150002000000001</v>
      </c>
      <c r="P429">
        <v>0.79</v>
      </c>
      <c r="Q429">
        <v>7.0000000000000007E-2</v>
      </c>
      <c r="R429">
        <v>2.3199999999999998</v>
      </c>
      <c r="S429">
        <v>0.46</v>
      </c>
      <c r="T429">
        <v>50.57</v>
      </c>
      <c r="U429">
        <v>14.53</v>
      </c>
      <c r="V429">
        <v>2.1800000000000002</v>
      </c>
      <c r="W429">
        <v>2.65</v>
      </c>
      <c r="X429">
        <v>36002.961111999997</v>
      </c>
      <c r="Y429">
        <v>81012490.533999994</v>
      </c>
    </row>
    <row r="430" spans="1:25" x14ac:dyDescent="0.55000000000000004">
      <c r="A430">
        <v>428</v>
      </c>
      <c r="B430" t="s">
        <v>20</v>
      </c>
      <c r="C430">
        <v>30</v>
      </c>
      <c r="D430">
        <v>10</v>
      </c>
      <c r="E430" t="s">
        <v>77</v>
      </c>
      <c r="F430" t="s">
        <v>78</v>
      </c>
      <c r="G430">
        <v>22</v>
      </c>
      <c r="H430">
        <v>2</v>
      </c>
      <c r="I430">
        <v>22100000</v>
      </c>
      <c r="J430">
        <v>543</v>
      </c>
      <c r="K430">
        <v>0</v>
      </c>
      <c r="L430">
        <v>13152</v>
      </c>
      <c r="M430">
        <v>12.960724000000001</v>
      </c>
      <c r="N430">
        <v>102.020645</v>
      </c>
      <c r="O430">
        <v>20.99</v>
      </c>
      <c r="P430">
        <v>0.1</v>
      </c>
      <c r="Q430">
        <v>0.25</v>
      </c>
      <c r="R430">
        <v>4.74</v>
      </c>
      <c r="S430">
        <v>11.07</v>
      </c>
      <c r="T430">
        <v>12.76</v>
      </c>
      <c r="U430">
        <v>29.83</v>
      </c>
      <c r="V430">
        <v>0.27</v>
      </c>
      <c r="W430">
        <v>4.87</v>
      </c>
      <c r="X430">
        <v>37445.681692999999</v>
      </c>
      <c r="Y430">
        <v>74223128.052499995</v>
      </c>
    </row>
    <row r="431" spans="1:25" x14ac:dyDescent="0.55000000000000004">
      <c r="A431">
        <v>429</v>
      </c>
      <c r="B431" t="s">
        <v>20</v>
      </c>
      <c r="C431">
        <v>30</v>
      </c>
      <c r="D431">
        <v>10</v>
      </c>
      <c r="E431" t="s">
        <v>77</v>
      </c>
      <c r="F431" t="s">
        <v>78</v>
      </c>
      <c r="G431">
        <v>22</v>
      </c>
      <c r="H431">
        <v>2</v>
      </c>
      <c r="I431">
        <v>22100000</v>
      </c>
      <c r="J431">
        <v>544</v>
      </c>
      <c r="K431">
        <v>0</v>
      </c>
      <c r="L431">
        <v>13033</v>
      </c>
      <c r="M431">
        <v>12.8797</v>
      </c>
      <c r="N431">
        <v>102.10378</v>
      </c>
      <c r="O431">
        <v>26.620000999999998</v>
      </c>
      <c r="P431">
        <v>7.0000000000000007E-2</v>
      </c>
      <c r="Q431">
        <v>0.04</v>
      </c>
      <c r="R431">
        <v>3.13</v>
      </c>
      <c r="S431">
        <v>5.91</v>
      </c>
      <c r="T431">
        <v>57.080002</v>
      </c>
      <c r="U431">
        <v>18.84</v>
      </c>
      <c r="V431">
        <v>4.24</v>
      </c>
      <c r="W431">
        <v>5.03</v>
      </c>
      <c r="X431">
        <v>36014.685656000001</v>
      </c>
      <c r="Y431">
        <v>81065264.595200002</v>
      </c>
    </row>
    <row r="432" spans="1:25" x14ac:dyDescent="0.55000000000000004">
      <c r="A432">
        <v>430</v>
      </c>
      <c r="B432" t="s">
        <v>20</v>
      </c>
      <c r="C432">
        <v>30</v>
      </c>
      <c r="D432">
        <v>10</v>
      </c>
      <c r="E432" t="s">
        <v>77</v>
      </c>
      <c r="F432" t="s">
        <v>78</v>
      </c>
      <c r="G432">
        <v>22</v>
      </c>
      <c r="H432">
        <v>2</v>
      </c>
      <c r="I432">
        <v>22100000</v>
      </c>
      <c r="J432">
        <v>545</v>
      </c>
      <c r="K432">
        <v>0</v>
      </c>
      <c r="L432">
        <v>12914</v>
      </c>
      <c r="M432">
        <v>12.798636999999999</v>
      </c>
      <c r="N432">
        <v>102.18692</v>
      </c>
      <c r="O432">
        <v>32.5</v>
      </c>
      <c r="P432">
        <v>0.41</v>
      </c>
      <c r="Q432">
        <v>0.22</v>
      </c>
      <c r="R432">
        <v>0.19</v>
      </c>
      <c r="S432">
        <v>39.840000000000003</v>
      </c>
      <c r="T432">
        <v>12.78</v>
      </c>
      <c r="U432">
        <v>1.88</v>
      </c>
      <c r="V432">
        <v>0.03</v>
      </c>
      <c r="W432">
        <v>1.53</v>
      </c>
      <c r="X432">
        <v>20540.793313999999</v>
      </c>
      <c r="Y432">
        <v>23468093.728799999</v>
      </c>
    </row>
    <row r="433" spans="1:25" x14ac:dyDescent="0.55000000000000004">
      <c r="A433">
        <v>431</v>
      </c>
      <c r="B433" t="s">
        <v>20</v>
      </c>
      <c r="C433">
        <v>30</v>
      </c>
      <c r="D433">
        <v>10</v>
      </c>
      <c r="E433" t="s">
        <v>77</v>
      </c>
      <c r="F433" t="s">
        <v>78</v>
      </c>
      <c r="G433">
        <v>22</v>
      </c>
      <c r="H433">
        <v>2</v>
      </c>
      <c r="I433">
        <v>22100000</v>
      </c>
      <c r="J433">
        <v>546</v>
      </c>
      <c r="K433">
        <v>0</v>
      </c>
      <c r="L433">
        <v>13273</v>
      </c>
      <c r="M433">
        <v>13.041733000000001</v>
      </c>
      <c r="N433">
        <v>102.10378</v>
      </c>
      <c r="O433">
        <v>37.580002</v>
      </c>
      <c r="P433">
        <v>0.37</v>
      </c>
      <c r="Q433">
        <v>0.38</v>
      </c>
      <c r="R433">
        <v>0.68</v>
      </c>
      <c r="S433">
        <v>9.94</v>
      </c>
      <c r="T433">
        <v>44.639999000000003</v>
      </c>
      <c r="U433">
        <v>10.130000000000001</v>
      </c>
      <c r="V433">
        <v>4.0999999999999996</v>
      </c>
      <c r="W433">
        <v>0.03</v>
      </c>
      <c r="X433">
        <v>35992.974558000002</v>
      </c>
      <c r="Y433">
        <v>80967578.792699993</v>
      </c>
    </row>
    <row r="434" spans="1:25" x14ac:dyDescent="0.55000000000000004">
      <c r="A434">
        <v>432</v>
      </c>
      <c r="B434" t="s">
        <v>20</v>
      </c>
      <c r="C434">
        <v>30</v>
      </c>
      <c r="D434">
        <v>10</v>
      </c>
      <c r="E434" t="s">
        <v>77</v>
      </c>
      <c r="F434" t="s">
        <v>78</v>
      </c>
      <c r="G434">
        <v>22</v>
      </c>
      <c r="H434">
        <v>2</v>
      </c>
      <c r="I434">
        <v>22100000</v>
      </c>
      <c r="J434">
        <v>547</v>
      </c>
      <c r="K434">
        <v>0</v>
      </c>
      <c r="L434">
        <v>13272</v>
      </c>
      <c r="M434">
        <v>13.041733000000001</v>
      </c>
      <c r="N434">
        <v>102.020645</v>
      </c>
      <c r="O434">
        <v>8.4</v>
      </c>
      <c r="P434">
        <v>0.3</v>
      </c>
      <c r="Q434">
        <v>0.24</v>
      </c>
      <c r="R434">
        <v>0.55000000000000004</v>
      </c>
      <c r="S434">
        <v>6.39</v>
      </c>
      <c r="T434">
        <v>35</v>
      </c>
      <c r="U434">
        <v>14.49</v>
      </c>
      <c r="V434">
        <v>2.86</v>
      </c>
      <c r="W434">
        <v>1.39</v>
      </c>
      <c r="X434">
        <v>31178.214488000001</v>
      </c>
      <c r="Y434">
        <v>42765581.227700002</v>
      </c>
    </row>
    <row r="435" spans="1:25" x14ac:dyDescent="0.55000000000000004">
      <c r="A435">
        <v>433</v>
      </c>
      <c r="B435" t="s">
        <v>20</v>
      </c>
      <c r="C435">
        <v>30</v>
      </c>
      <c r="D435">
        <v>10</v>
      </c>
      <c r="E435" t="s">
        <v>77</v>
      </c>
      <c r="F435" t="s">
        <v>78</v>
      </c>
      <c r="G435">
        <v>22</v>
      </c>
      <c r="H435">
        <v>2</v>
      </c>
      <c r="I435">
        <v>22100000</v>
      </c>
      <c r="J435">
        <v>549</v>
      </c>
      <c r="K435">
        <v>0</v>
      </c>
      <c r="L435">
        <v>13035</v>
      </c>
      <c r="M435">
        <v>12.8797</v>
      </c>
      <c r="N435">
        <v>102.27006</v>
      </c>
      <c r="O435">
        <v>0.81</v>
      </c>
      <c r="P435">
        <v>1.24</v>
      </c>
      <c r="Q435">
        <v>0.99</v>
      </c>
      <c r="R435">
        <v>1.3</v>
      </c>
      <c r="S435">
        <v>71.360000999999997</v>
      </c>
      <c r="T435">
        <v>6.36</v>
      </c>
      <c r="U435">
        <v>5.38</v>
      </c>
      <c r="V435">
        <v>7.0000000000000007E-2</v>
      </c>
      <c r="W435">
        <v>7.0000000000000007E-2</v>
      </c>
      <c r="X435">
        <v>5262.4676479999998</v>
      </c>
      <c r="Y435">
        <v>821935.32951700001</v>
      </c>
    </row>
    <row r="436" spans="1:25" x14ac:dyDescent="0.55000000000000004">
      <c r="A436">
        <v>434</v>
      </c>
      <c r="B436" t="s">
        <v>20</v>
      </c>
      <c r="C436">
        <v>30</v>
      </c>
      <c r="D436">
        <v>10</v>
      </c>
      <c r="E436" t="s">
        <v>77</v>
      </c>
      <c r="F436" t="s">
        <v>78</v>
      </c>
      <c r="G436">
        <v>22</v>
      </c>
      <c r="H436">
        <v>2</v>
      </c>
      <c r="I436">
        <v>22100000</v>
      </c>
      <c r="J436">
        <v>550</v>
      </c>
      <c r="K436">
        <v>0</v>
      </c>
      <c r="L436">
        <v>13034</v>
      </c>
      <c r="M436">
        <v>12.8797</v>
      </c>
      <c r="N436">
        <v>102.18692</v>
      </c>
      <c r="O436">
        <v>3.97</v>
      </c>
      <c r="P436">
        <v>0.87</v>
      </c>
      <c r="Q436">
        <v>0.89</v>
      </c>
      <c r="R436">
        <v>1.5</v>
      </c>
      <c r="S436">
        <v>8.24</v>
      </c>
      <c r="T436">
        <v>11.89</v>
      </c>
      <c r="U436">
        <v>8.85</v>
      </c>
      <c r="V436">
        <v>0.01</v>
      </c>
      <c r="W436">
        <v>0</v>
      </c>
      <c r="X436">
        <v>33722.026625999999</v>
      </c>
      <c r="Y436">
        <v>64415082.213</v>
      </c>
    </row>
    <row r="437" spans="1:25" x14ac:dyDescent="0.55000000000000004">
      <c r="A437">
        <v>435</v>
      </c>
      <c r="B437" t="s">
        <v>20</v>
      </c>
      <c r="C437">
        <v>30</v>
      </c>
      <c r="D437">
        <v>10</v>
      </c>
      <c r="E437" t="s">
        <v>77</v>
      </c>
      <c r="F437" t="s">
        <v>78</v>
      </c>
      <c r="G437">
        <v>22</v>
      </c>
      <c r="H437">
        <v>2</v>
      </c>
      <c r="I437">
        <v>22100000</v>
      </c>
      <c r="J437">
        <v>554</v>
      </c>
      <c r="K437">
        <v>0</v>
      </c>
      <c r="L437">
        <v>13154</v>
      </c>
      <c r="M437">
        <v>12.960724000000001</v>
      </c>
      <c r="N437">
        <v>102.18692</v>
      </c>
      <c r="O437">
        <v>29.07</v>
      </c>
      <c r="P437">
        <v>0.36</v>
      </c>
      <c r="Q437">
        <v>1.88</v>
      </c>
      <c r="R437">
        <v>12.74</v>
      </c>
      <c r="S437">
        <v>16.209999</v>
      </c>
      <c r="T437">
        <v>8.4499999999999993</v>
      </c>
      <c r="U437">
        <v>15.15</v>
      </c>
      <c r="V437">
        <v>0.65</v>
      </c>
      <c r="W437">
        <v>0.06</v>
      </c>
      <c r="X437">
        <v>31352.038070999999</v>
      </c>
      <c r="Y437">
        <v>40153020.676899999</v>
      </c>
    </row>
    <row r="438" spans="1:25" x14ac:dyDescent="0.55000000000000004">
      <c r="A438">
        <v>436</v>
      </c>
      <c r="B438" t="s">
        <v>20</v>
      </c>
      <c r="C438">
        <v>30</v>
      </c>
      <c r="D438">
        <v>10</v>
      </c>
      <c r="E438" t="s">
        <v>77</v>
      </c>
      <c r="F438" t="s">
        <v>78</v>
      </c>
      <c r="G438">
        <v>22</v>
      </c>
      <c r="H438">
        <v>2</v>
      </c>
      <c r="I438">
        <v>22100000</v>
      </c>
      <c r="J438">
        <v>557</v>
      </c>
      <c r="K438">
        <v>0</v>
      </c>
      <c r="L438">
        <v>13274</v>
      </c>
      <c r="M438">
        <v>13.041733000000001</v>
      </c>
      <c r="N438">
        <v>102.18692</v>
      </c>
      <c r="O438">
        <v>8.1300000000000008</v>
      </c>
      <c r="P438">
        <v>1.0900000000000001</v>
      </c>
      <c r="Q438">
        <v>0.05</v>
      </c>
      <c r="R438">
        <v>0.33</v>
      </c>
      <c r="S438">
        <v>29.030000999999999</v>
      </c>
      <c r="T438">
        <v>28.51</v>
      </c>
      <c r="U438">
        <v>42.150002000000001</v>
      </c>
      <c r="V438">
        <v>7.27</v>
      </c>
      <c r="W438">
        <v>0.23</v>
      </c>
      <c r="X438">
        <v>23743.227585000001</v>
      </c>
      <c r="Y438">
        <v>17549742.0656</v>
      </c>
    </row>
    <row r="439" spans="1:25" x14ac:dyDescent="0.55000000000000004">
      <c r="A439">
        <v>437</v>
      </c>
      <c r="B439" t="s">
        <v>20</v>
      </c>
      <c r="C439">
        <v>30</v>
      </c>
      <c r="D439">
        <v>10</v>
      </c>
      <c r="E439" t="s">
        <v>77</v>
      </c>
      <c r="F439" t="s">
        <v>78</v>
      </c>
      <c r="G439">
        <v>22</v>
      </c>
      <c r="H439">
        <v>2</v>
      </c>
      <c r="I439">
        <v>22100000</v>
      </c>
      <c r="J439">
        <v>973</v>
      </c>
      <c r="K439">
        <v>0</v>
      </c>
      <c r="L439">
        <v>13392</v>
      </c>
      <c r="M439">
        <v>13.122719</v>
      </c>
      <c r="N439">
        <v>102.020645</v>
      </c>
      <c r="O439">
        <v>32.450001</v>
      </c>
      <c r="P439">
        <v>0.73</v>
      </c>
      <c r="Q439">
        <v>2.83</v>
      </c>
      <c r="R439">
        <v>6.51</v>
      </c>
      <c r="S439">
        <v>2.12</v>
      </c>
      <c r="T439">
        <v>24.84</v>
      </c>
      <c r="U439">
        <v>4.51</v>
      </c>
      <c r="V439">
        <v>3.87</v>
      </c>
      <c r="W439">
        <v>0</v>
      </c>
      <c r="X439">
        <v>25042.837030999999</v>
      </c>
      <c r="Y439">
        <v>11978681.460200001</v>
      </c>
    </row>
    <row r="440" spans="1:25" x14ac:dyDescent="0.55000000000000004">
      <c r="A440">
        <v>438</v>
      </c>
      <c r="B440" t="s">
        <v>20</v>
      </c>
      <c r="C440">
        <v>30</v>
      </c>
      <c r="D440">
        <v>10</v>
      </c>
      <c r="E440" t="s">
        <v>77</v>
      </c>
      <c r="F440" t="s">
        <v>78</v>
      </c>
      <c r="G440">
        <v>22</v>
      </c>
      <c r="H440">
        <v>2</v>
      </c>
      <c r="I440">
        <v>22100000</v>
      </c>
      <c r="J440">
        <v>976</v>
      </c>
      <c r="K440">
        <v>0</v>
      </c>
      <c r="L440">
        <v>13512</v>
      </c>
      <c r="M440">
        <v>13.203666999999999</v>
      </c>
      <c r="N440">
        <v>102.020645</v>
      </c>
      <c r="O440">
        <v>18.82</v>
      </c>
      <c r="P440">
        <v>0.95</v>
      </c>
      <c r="Q440">
        <v>2.11</v>
      </c>
      <c r="R440">
        <v>11.88</v>
      </c>
      <c r="S440">
        <v>42.34</v>
      </c>
      <c r="T440">
        <v>30.379999000000002</v>
      </c>
      <c r="U440">
        <v>12.91</v>
      </c>
      <c r="V440">
        <v>0.02</v>
      </c>
      <c r="W440">
        <v>0.01</v>
      </c>
      <c r="X440">
        <v>4871.1163399999996</v>
      </c>
      <c r="Y440">
        <v>1416617.5997500001</v>
      </c>
    </row>
    <row r="441" spans="1:25" x14ac:dyDescent="0.55000000000000004">
      <c r="A441">
        <v>439</v>
      </c>
      <c r="B441" t="s">
        <v>20</v>
      </c>
      <c r="C441">
        <v>30</v>
      </c>
      <c r="D441">
        <v>10</v>
      </c>
      <c r="E441" t="s">
        <v>77</v>
      </c>
      <c r="F441" t="s">
        <v>78</v>
      </c>
      <c r="G441">
        <v>22</v>
      </c>
      <c r="H441">
        <v>2</v>
      </c>
      <c r="I441">
        <v>22100000</v>
      </c>
      <c r="J441">
        <v>977</v>
      </c>
      <c r="K441">
        <v>0</v>
      </c>
      <c r="L441">
        <v>13393</v>
      </c>
      <c r="M441">
        <v>13.122719</v>
      </c>
      <c r="N441">
        <v>102.10378</v>
      </c>
      <c r="O441">
        <v>6.24</v>
      </c>
      <c r="P441">
        <v>0.79</v>
      </c>
      <c r="Q441">
        <v>0.17</v>
      </c>
      <c r="R441">
        <v>7.01</v>
      </c>
      <c r="S441">
        <v>14.65</v>
      </c>
      <c r="T441">
        <v>8.4499999999999993</v>
      </c>
      <c r="U441">
        <v>6.72</v>
      </c>
      <c r="V441">
        <v>12.45</v>
      </c>
      <c r="W441">
        <v>0</v>
      </c>
      <c r="X441">
        <v>41241.711610999999</v>
      </c>
      <c r="Y441">
        <v>70949555.160099998</v>
      </c>
    </row>
    <row r="442" spans="1:25" x14ac:dyDescent="0.55000000000000004">
      <c r="A442">
        <v>440</v>
      </c>
      <c r="B442" t="s">
        <v>20</v>
      </c>
      <c r="C442">
        <v>30</v>
      </c>
      <c r="D442">
        <v>10</v>
      </c>
      <c r="E442" t="s">
        <v>77</v>
      </c>
      <c r="F442" t="s">
        <v>78</v>
      </c>
      <c r="G442">
        <v>22</v>
      </c>
      <c r="H442">
        <v>2</v>
      </c>
      <c r="I442">
        <v>22100000</v>
      </c>
      <c r="J442">
        <v>979</v>
      </c>
      <c r="K442">
        <v>0</v>
      </c>
      <c r="L442">
        <v>13394</v>
      </c>
      <c r="M442">
        <v>13.122719</v>
      </c>
      <c r="N442">
        <v>102.18692</v>
      </c>
      <c r="O442">
        <v>0.48</v>
      </c>
      <c r="P442">
        <v>4.17</v>
      </c>
      <c r="Q442">
        <v>0</v>
      </c>
      <c r="R442">
        <v>0.59</v>
      </c>
      <c r="S442">
        <v>6.95</v>
      </c>
      <c r="T442">
        <v>8.07</v>
      </c>
      <c r="U442">
        <v>15.8</v>
      </c>
      <c r="V442">
        <v>37.080002</v>
      </c>
      <c r="W442">
        <v>0.06</v>
      </c>
      <c r="X442">
        <v>10610.996708000001</v>
      </c>
      <c r="Y442">
        <v>1970597.0805599999</v>
      </c>
    </row>
    <row r="443" spans="1:25" x14ac:dyDescent="0.55000000000000004">
      <c r="A443">
        <v>441</v>
      </c>
      <c r="B443" t="s">
        <v>20</v>
      </c>
      <c r="C443">
        <v>30</v>
      </c>
      <c r="D443">
        <v>10</v>
      </c>
      <c r="E443" t="s">
        <v>77</v>
      </c>
      <c r="F443" t="s">
        <v>78</v>
      </c>
      <c r="G443">
        <v>22</v>
      </c>
      <c r="H443">
        <v>2</v>
      </c>
      <c r="I443">
        <v>22100000</v>
      </c>
      <c r="J443">
        <v>980</v>
      </c>
      <c r="K443">
        <v>0</v>
      </c>
      <c r="L443">
        <v>13513</v>
      </c>
      <c r="M443">
        <v>13.203666999999999</v>
      </c>
      <c r="N443">
        <v>102.10378</v>
      </c>
      <c r="O443">
        <v>11.68</v>
      </c>
      <c r="P443">
        <v>0.09</v>
      </c>
      <c r="Q443">
        <v>0.06</v>
      </c>
      <c r="R443">
        <v>21.67</v>
      </c>
      <c r="S443">
        <v>62.639999000000003</v>
      </c>
      <c r="T443">
        <v>8.43</v>
      </c>
      <c r="U443">
        <v>9.08</v>
      </c>
      <c r="V443">
        <v>0.7</v>
      </c>
      <c r="W443">
        <v>0.09</v>
      </c>
      <c r="X443">
        <v>22714.688165</v>
      </c>
      <c r="Y443">
        <v>24972642.973499998</v>
      </c>
    </row>
    <row r="444" spans="1:25" x14ac:dyDescent="0.55000000000000004">
      <c r="A444">
        <v>442</v>
      </c>
      <c r="B444" t="s">
        <v>20</v>
      </c>
      <c r="C444">
        <v>31</v>
      </c>
      <c r="D444">
        <v>1</v>
      </c>
      <c r="E444" t="s">
        <v>79</v>
      </c>
      <c r="F444" t="s">
        <v>80</v>
      </c>
      <c r="G444">
        <v>23</v>
      </c>
      <c r="H444">
        <v>2</v>
      </c>
      <c r="I444">
        <v>23010000</v>
      </c>
      <c r="J444">
        <v>385</v>
      </c>
      <c r="K444">
        <v>0</v>
      </c>
      <c r="L444">
        <v>11838</v>
      </c>
      <c r="M444">
        <v>12.067970000000001</v>
      </c>
      <c r="N444">
        <v>102.51946</v>
      </c>
      <c r="O444">
        <v>0</v>
      </c>
      <c r="P444">
        <v>0.01</v>
      </c>
      <c r="Q444">
        <v>0</v>
      </c>
      <c r="R444">
        <v>0.41</v>
      </c>
      <c r="S444">
        <v>0.21</v>
      </c>
      <c r="T444">
        <v>0</v>
      </c>
      <c r="U444">
        <v>7.93</v>
      </c>
      <c r="V444">
        <v>8.4700000000000006</v>
      </c>
      <c r="W444">
        <v>5.07</v>
      </c>
      <c r="X444">
        <v>17152.978649000001</v>
      </c>
      <c r="Y444">
        <v>8658371.0207400005</v>
      </c>
    </row>
    <row r="445" spans="1:25" x14ac:dyDescent="0.55000000000000004">
      <c r="A445">
        <v>443</v>
      </c>
      <c r="B445" t="s">
        <v>20</v>
      </c>
      <c r="C445">
        <v>31</v>
      </c>
      <c r="D445">
        <v>1</v>
      </c>
      <c r="E445" t="s">
        <v>79</v>
      </c>
      <c r="F445" t="s">
        <v>80</v>
      </c>
      <c r="G445">
        <v>23</v>
      </c>
      <c r="H445">
        <v>2</v>
      </c>
      <c r="I445">
        <v>23010000</v>
      </c>
      <c r="J445">
        <v>388</v>
      </c>
      <c r="K445">
        <v>0</v>
      </c>
      <c r="L445">
        <v>12079</v>
      </c>
      <c r="M445">
        <v>12.230515</v>
      </c>
      <c r="N445">
        <v>102.6026</v>
      </c>
      <c r="O445">
        <v>0</v>
      </c>
      <c r="P445">
        <v>0.28999999999999998</v>
      </c>
      <c r="Q445">
        <v>0.03</v>
      </c>
      <c r="R445">
        <v>0.13</v>
      </c>
      <c r="S445">
        <v>1.5</v>
      </c>
      <c r="T445">
        <v>1.77</v>
      </c>
      <c r="U445">
        <v>10.11</v>
      </c>
      <c r="V445">
        <v>23.559999000000001</v>
      </c>
      <c r="W445">
        <v>6.83</v>
      </c>
      <c r="X445">
        <v>39844.368977999999</v>
      </c>
      <c r="Y445">
        <v>72984185.027400002</v>
      </c>
    </row>
    <row r="446" spans="1:25" x14ac:dyDescent="0.55000000000000004">
      <c r="A446">
        <v>444</v>
      </c>
      <c r="B446" t="s">
        <v>20</v>
      </c>
      <c r="C446">
        <v>31</v>
      </c>
      <c r="D446">
        <v>1</v>
      </c>
      <c r="E446" t="s">
        <v>79</v>
      </c>
      <c r="F446" t="s">
        <v>80</v>
      </c>
      <c r="G446">
        <v>23</v>
      </c>
      <c r="H446">
        <v>2</v>
      </c>
      <c r="I446">
        <v>23010000</v>
      </c>
      <c r="J446">
        <v>389</v>
      </c>
      <c r="K446">
        <v>0</v>
      </c>
      <c r="L446">
        <v>12077</v>
      </c>
      <c r="M446">
        <v>12.230515</v>
      </c>
      <c r="N446">
        <v>102.436325</v>
      </c>
      <c r="O446">
        <v>1.21</v>
      </c>
      <c r="P446">
        <v>0.01</v>
      </c>
      <c r="Q446">
        <v>0.04</v>
      </c>
      <c r="R446">
        <v>0</v>
      </c>
      <c r="S446">
        <v>0</v>
      </c>
      <c r="T446">
        <v>8.19</v>
      </c>
      <c r="U446">
        <v>7.06</v>
      </c>
      <c r="V446">
        <v>9.57</v>
      </c>
      <c r="W446">
        <v>34.560001</v>
      </c>
      <c r="X446">
        <v>32148.027221</v>
      </c>
      <c r="Y446">
        <v>49071784.037699997</v>
      </c>
    </row>
    <row r="447" spans="1:25" x14ac:dyDescent="0.55000000000000004">
      <c r="A447">
        <v>445</v>
      </c>
      <c r="B447" t="s">
        <v>20</v>
      </c>
      <c r="C447">
        <v>31</v>
      </c>
      <c r="D447">
        <v>1</v>
      </c>
      <c r="E447" t="s">
        <v>79</v>
      </c>
      <c r="F447" t="s">
        <v>80</v>
      </c>
      <c r="G447">
        <v>23</v>
      </c>
      <c r="H447">
        <v>2</v>
      </c>
      <c r="I447">
        <v>23010000</v>
      </c>
      <c r="J447">
        <v>390</v>
      </c>
      <c r="K447">
        <v>0</v>
      </c>
      <c r="L447">
        <v>11957</v>
      </c>
      <c r="M447">
        <v>12.149254000000001</v>
      </c>
      <c r="N447">
        <v>102.436325</v>
      </c>
      <c r="O447">
        <v>0.01</v>
      </c>
      <c r="P447">
        <v>0.05</v>
      </c>
      <c r="Q447">
        <v>0.11</v>
      </c>
      <c r="R447">
        <v>0.26</v>
      </c>
      <c r="S447">
        <v>0.06</v>
      </c>
      <c r="T447">
        <v>0.55000000000000004</v>
      </c>
      <c r="U447">
        <v>10.73</v>
      </c>
      <c r="V447">
        <v>5.59</v>
      </c>
      <c r="W447">
        <v>8.5500000000000007</v>
      </c>
      <c r="X447">
        <v>14184.486257</v>
      </c>
      <c r="Y447">
        <v>4786934.7160299998</v>
      </c>
    </row>
    <row r="448" spans="1:25" x14ac:dyDescent="0.55000000000000004">
      <c r="A448">
        <v>446</v>
      </c>
      <c r="B448" t="s">
        <v>20</v>
      </c>
      <c r="C448">
        <v>31</v>
      </c>
      <c r="D448">
        <v>1</v>
      </c>
      <c r="E448" t="s">
        <v>79</v>
      </c>
      <c r="F448" t="s">
        <v>80</v>
      </c>
      <c r="G448">
        <v>23</v>
      </c>
      <c r="H448">
        <v>2</v>
      </c>
      <c r="I448">
        <v>23010000</v>
      </c>
      <c r="J448">
        <v>392</v>
      </c>
      <c r="K448">
        <v>0</v>
      </c>
      <c r="L448">
        <v>12078</v>
      </c>
      <c r="M448">
        <v>12.230515</v>
      </c>
      <c r="N448">
        <v>102.51946</v>
      </c>
      <c r="O448">
        <v>4.09</v>
      </c>
      <c r="P448">
        <v>8.9700000000000006</v>
      </c>
      <c r="Q448">
        <v>0</v>
      </c>
      <c r="R448">
        <v>0.28000000000000003</v>
      </c>
      <c r="S448">
        <v>2.31</v>
      </c>
      <c r="T448">
        <v>0.12</v>
      </c>
      <c r="U448">
        <v>10.31</v>
      </c>
      <c r="V448">
        <v>4.68</v>
      </c>
      <c r="W448">
        <v>12.95</v>
      </c>
      <c r="X448">
        <v>38863.543822</v>
      </c>
      <c r="Y448">
        <v>81146122.989899993</v>
      </c>
    </row>
    <row r="449" spans="1:25" x14ac:dyDescent="0.55000000000000004">
      <c r="A449">
        <v>447</v>
      </c>
      <c r="B449" t="s">
        <v>20</v>
      </c>
      <c r="C449">
        <v>31</v>
      </c>
      <c r="D449">
        <v>1</v>
      </c>
      <c r="E449" t="s">
        <v>79</v>
      </c>
      <c r="F449" t="s">
        <v>80</v>
      </c>
      <c r="G449">
        <v>23</v>
      </c>
      <c r="H449">
        <v>2</v>
      </c>
      <c r="I449">
        <v>23010000</v>
      </c>
      <c r="J449">
        <v>393</v>
      </c>
      <c r="K449">
        <v>0</v>
      </c>
      <c r="L449">
        <v>11958</v>
      </c>
      <c r="M449">
        <v>12.149254000000001</v>
      </c>
      <c r="N449">
        <v>102.51946</v>
      </c>
      <c r="O449">
        <v>0</v>
      </c>
      <c r="P449">
        <v>1.22</v>
      </c>
      <c r="Q449">
        <v>0.01</v>
      </c>
      <c r="R449">
        <v>0.28000000000000003</v>
      </c>
      <c r="S449">
        <v>0.31</v>
      </c>
      <c r="T449">
        <v>0.6</v>
      </c>
      <c r="U449">
        <v>21.34</v>
      </c>
      <c r="V449">
        <v>5.33</v>
      </c>
      <c r="W449">
        <v>15.72</v>
      </c>
      <c r="X449">
        <v>35932.673557000002</v>
      </c>
      <c r="Y449">
        <v>67247578.410500005</v>
      </c>
    </row>
    <row r="450" spans="1:25" x14ac:dyDescent="0.55000000000000004">
      <c r="A450">
        <v>448</v>
      </c>
      <c r="B450" t="s">
        <v>20</v>
      </c>
      <c r="C450">
        <v>31</v>
      </c>
      <c r="D450">
        <v>1</v>
      </c>
      <c r="E450" t="s">
        <v>79</v>
      </c>
      <c r="F450" t="s">
        <v>80</v>
      </c>
      <c r="G450">
        <v>23</v>
      </c>
      <c r="H450">
        <v>2</v>
      </c>
      <c r="I450">
        <v>23010000</v>
      </c>
      <c r="J450">
        <v>441</v>
      </c>
      <c r="K450">
        <v>0</v>
      </c>
      <c r="L450">
        <v>11840</v>
      </c>
      <c r="M450">
        <v>12.067970000000001</v>
      </c>
      <c r="N450">
        <v>102.68574</v>
      </c>
      <c r="O450">
        <v>0</v>
      </c>
      <c r="P450">
        <v>1.1100000000000001</v>
      </c>
      <c r="Q450">
        <v>0.03</v>
      </c>
      <c r="R450">
        <v>0.48</v>
      </c>
      <c r="S450">
        <v>0.5</v>
      </c>
      <c r="T450">
        <v>43.799999</v>
      </c>
      <c r="U450">
        <v>17.84</v>
      </c>
      <c r="V450">
        <v>3.62</v>
      </c>
      <c r="W450">
        <v>13.2</v>
      </c>
      <c r="X450">
        <v>17669.977965999999</v>
      </c>
      <c r="Y450">
        <v>12760078.227299999</v>
      </c>
    </row>
    <row r="451" spans="1:25" x14ac:dyDescent="0.55000000000000004">
      <c r="A451">
        <v>449</v>
      </c>
      <c r="B451" t="s">
        <v>20</v>
      </c>
      <c r="C451">
        <v>31</v>
      </c>
      <c r="D451">
        <v>1</v>
      </c>
      <c r="E451" t="s">
        <v>79</v>
      </c>
      <c r="F451" t="s">
        <v>80</v>
      </c>
      <c r="G451">
        <v>23</v>
      </c>
      <c r="H451">
        <v>2</v>
      </c>
      <c r="I451">
        <v>23010000</v>
      </c>
      <c r="J451">
        <v>444</v>
      </c>
      <c r="K451">
        <v>0</v>
      </c>
      <c r="L451">
        <v>12080</v>
      </c>
      <c r="M451">
        <v>12.230515</v>
      </c>
      <c r="N451">
        <v>102.68574</v>
      </c>
      <c r="O451">
        <v>0.31</v>
      </c>
      <c r="P451">
        <v>0.25</v>
      </c>
      <c r="Q451">
        <v>0</v>
      </c>
      <c r="R451">
        <v>0.36</v>
      </c>
      <c r="S451">
        <v>4.05</v>
      </c>
      <c r="T451">
        <v>0.68</v>
      </c>
      <c r="U451">
        <v>8.89</v>
      </c>
      <c r="V451">
        <v>21.309999000000001</v>
      </c>
      <c r="W451">
        <v>26.17</v>
      </c>
      <c r="X451">
        <v>34291.030307000001</v>
      </c>
      <c r="Y451">
        <v>68968581.596300006</v>
      </c>
    </row>
    <row r="452" spans="1:25" x14ac:dyDescent="0.55000000000000004">
      <c r="A452">
        <v>450</v>
      </c>
      <c r="B452" t="s">
        <v>20</v>
      </c>
      <c r="C452">
        <v>31</v>
      </c>
      <c r="D452">
        <v>1</v>
      </c>
      <c r="E452" t="s">
        <v>79</v>
      </c>
      <c r="F452" t="s">
        <v>80</v>
      </c>
      <c r="G452">
        <v>23</v>
      </c>
      <c r="H452">
        <v>2</v>
      </c>
      <c r="I452">
        <v>23010000</v>
      </c>
      <c r="J452">
        <v>445</v>
      </c>
      <c r="K452">
        <v>0</v>
      </c>
      <c r="L452">
        <v>11959</v>
      </c>
      <c r="M452">
        <v>12.149254000000001</v>
      </c>
      <c r="N452">
        <v>102.6026</v>
      </c>
      <c r="O452">
        <v>0</v>
      </c>
      <c r="P452">
        <v>6.49</v>
      </c>
      <c r="Q452">
        <v>0.11</v>
      </c>
      <c r="R452">
        <v>0</v>
      </c>
      <c r="S452">
        <v>0.21</v>
      </c>
      <c r="T452">
        <v>0.67</v>
      </c>
      <c r="U452">
        <v>7.67</v>
      </c>
      <c r="V452">
        <v>4.91</v>
      </c>
      <c r="W452">
        <v>5.14</v>
      </c>
      <c r="X452">
        <v>26719.863823</v>
      </c>
      <c r="Y452">
        <v>6491042.5072699999</v>
      </c>
    </row>
    <row r="453" spans="1:25" x14ac:dyDescent="0.55000000000000004">
      <c r="A453">
        <v>451</v>
      </c>
      <c r="B453" t="s">
        <v>20</v>
      </c>
      <c r="C453">
        <v>31</v>
      </c>
      <c r="D453">
        <v>1</v>
      </c>
      <c r="E453" t="s">
        <v>79</v>
      </c>
      <c r="F453" t="s">
        <v>80</v>
      </c>
      <c r="G453">
        <v>23</v>
      </c>
      <c r="H453">
        <v>2</v>
      </c>
      <c r="I453">
        <v>23010000</v>
      </c>
      <c r="J453">
        <v>446</v>
      </c>
      <c r="K453">
        <v>0</v>
      </c>
      <c r="L453">
        <v>11839</v>
      </c>
      <c r="M453">
        <v>12.067970000000001</v>
      </c>
      <c r="N453">
        <v>102.6026</v>
      </c>
      <c r="O453">
        <v>0</v>
      </c>
      <c r="P453">
        <v>2.4</v>
      </c>
      <c r="Q453">
        <v>0.31</v>
      </c>
      <c r="R453">
        <v>0.01</v>
      </c>
      <c r="S453">
        <v>0</v>
      </c>
      <c r="T453">
        <v>2.64</v>
      </c>
      <c r="U453">
        <v>3.13</v>
      </c>
      <c r="V453">
        <v>1.42</v>
      </c>
      <c r="W453">
        <v>5.42</v>
      </c>
      <c r="X453">
        <v>15634.731051000001</v>
      </c>
      <c r="Y453">
        <v>9468142.4773999993</v>
      </c>
    </row>
    <row r="454" spans="1:25" x14ac:dyDescent="0.55000000000000004">
      <c r="A454">
        <v>452</v>
      </c>
      <c r="B454" t="s">
        <v>20</v>
      </c>
      <c r="C454">
        <v>31</v>
      </c>
      <c r="D454">
        <v>1</v>
      </c>
      <c r="E454" t="s">
        <v>79</v>
      </c>
      <c r="F454" t="s">
        <v>80</v>
      </c>
      <c r="G454">
        <v>23</v>
      </c>
      <c r="H454">
        <v>2</v>
      </c>
      <c r="I454">
        <v>23010000</v>
      </c>
      <c r="J454">
        <v>448</v>
      </c>
      <c r="K454">
        <v>0</v>
      </c>
      <c r="L454">
        <v>11960</v>
      </c>
      <c r="M454">
        <v>12.149254000000001</v>
      </c>
      <c r="N454">
        <v>102.68574</v>
      </c>
      <c r="O454">
        <v>1.21</v>
      </c>
      <c r="P454">
        <v>0.05</v>
      </c>
      <c r="Q454">
        <v>0.03</v>
      </c>
      <c r="R454">
        <v>0</v>
      </c>
      <c r="S454">
        <v>3</v>
      </c>
      <c r="T454">
        <v>1.1100000000000001</v>
      </c>
      <c r="U454">
        <v>36.299999</v>
      </c>
      <c r="V454">
        <v>9.1300000000000008</v>
      </c>
      <c r="W454">
        <v>17.75</v>
      </c>
      <c r="X454">
        <v>34597.156973999998</v>
      </c>
      <c r="Y454">
        <v>63653262.221199997</v>
      </c>
    </row>
    <row r="455" spans="1:25" x14ac:dyDescent="0.55000000000000004">
      <c r="A455">
        <v>453</v>
      </c>
      <c r="B455" t="s">
        <v>20</v>
      </c>
      <c r="C455">
        <v>31</v>
      </c>
      <c r="D455">
        <v>1</v>
      </c>
      <c r="E455" t="s">
        <v>79</v>
      </c>
      <c r="F455" t="s">
        <v>80</v>
      </c>
      <c r="G455">
        <v>23</v>
      </c>
      <c r="H455">
        <v>2</v>
      </c>
      <c r="I455">
        <v>23010000</v>
      </c>
      <c r="J455">
        <v>452</v>
      </c>
      <c r="K455">
        <v>0</v>
      </c>
      <c r="L455">
        <v>11721</v>
      </c>
      <c r="M455">
        <v>11.986656</v>
      </c>
      <c r="N455">
        <v>102.76887000000001</v>
      </c>
      <c r="O455">
        <v>0.45</v>
      </c>
      <c r="P455">
        <v>1.22</v>
      </c>
      <c r="Q455">
        <v>7.0000000000000007E-2</v>
      </c>
      <c r="R455">
        <v>0</v>
      </c>
      <c r="S455">
        <v>0.01</v>
      </c>
      <c r="T455">
        <v>0.75</v>
      </c>
      <c r="U455">
        <v>16</v>
      </c>
      <c r="V455">
        <v>36.700001</v>
      </c>
      <c r="W455">
        <v>12.85</v>
      </c>
      <c r="X455">
        <v>15664.204666</v>
      </c>
      <c r="Y455">
        <v>6846575.1327400003</v>
      </c>
    </row>
    <row r="456" spans="1:25" x14ac:dyDescent="0.55000000000000004">
      <c r="A456">
        <v>454</v>
      </c>
      <c r="B456" t="s">
        <v>20</v>
      </c>
      <c r="C456">
        <v>31</v>
      </c>
      <c r="D456">
        <v>1</v>
      </c>
      <c r="E456" t="s">
        <v>79</v>
      </c>
      <c r="F456" t="s">
        <v>80</v>
      </c>
      <c r="G456">
        <v>23</v>
      </c>
      <c r="H456">
        <v>2</v>
      </c>
      <c r="I456">
        <v>23010000</v>
      </c>
      <c r="J456">
        <v>455</v>
      </c>
      <c r="K456">
        <v>0</v>
      </c>
      <c r="L456">
        <v>11961</v>
      </c>
      <c r="M456">
        <v>12.149254000000001</v>
      </c>
      <c r="N456">
        <v>102.76887000000001</v>
      </c>
      <c r="O456">
        <v>7.94</v>
      </c>
      <c r="P456">
        <v>0.23</v>
      </c>
      <c r="Q456">
        <v>0</v>
      </c>
      <c r="R456">
        <v>0.42</v>
      </c>
      <c r="S456">
        <v>5.61</v>
      </c>
      <c r="T456">
        <v>2.36</v>
      </c>
      <c r="U456">
        <v>82.510002</v>
      </c>
      <c r="V456">
        <v>18.52</v>
      </c>
      <c r="W456">
        <v>25.32</v>
      </c>
      <c r="X456">
        <v>6236.8113469999998</v>
      </c>
      <c r="Y456">
        <v>1445173.14334</v>
      </c>
    </row>
    <row r="457" spans="1:25" x14ac:dyDescent="0.55000000000000004">
      <c r="A457">
        <v>455</v>
      </c>
      <c r="B457" t="s">
        <v>20</v>
      </c>
      <c r="C457">
        <v>31</v>
      </c>
      <c r="D457">
        <v>1</v>
      </c>
      <c r="E457" t="s">
        <v>79</v>
      </c>
      <c r="F457" t="s">
        <v>80</v>
      </c>
      <c r="G457">
        <v>23</v>
      </c>
      <c r="H457">
        <v>2</v>
      </c>
      <c r="I457">
        <v>23010000</v>
      </c>
      <c r="J457">
        <v>456</v>
      </c>
      <c r="K457">
        <v>0</v>
      </c>
      <c r="L457">
        <v>11841</v>
      </c>
      <c r="M457">
        <v>12.067970000000001</v>
      </c>
      <c r="N457">
        <v>102.76887000000001</v>
      </c>
      <c r="O457">
        <v>3.44</v>
      </c>
      <c r="P457">
        <v>0.93</v>
      </c>
      <c r="Q457">
        <v>0.12</v>
      </c>
      <c r="R457">
        <v>1</v>
      </c>
      <c r="S457">
        <v>1.43</v>
      </c>
      <c r="T457">
        <v>3.79</v>
      </c>
      <c r="U457">
        <v>60.02</v>
      </c>
      <c r="V457">
        <v>41.73</v>
      </c>
      <c r="W457">
        <v>22.059999000000001</v>
      </c>
      <c r="X457">
        <v>24258.707299000002</v>
      </c>
      <c r="Y457">
        <v>26213749.953899998</v>
      </c>
    </row>
    <row r="458" spans="1:25" x14ac:dyDescent="0.55000000000000004">
      <c r="A458">
        <v>456</v>
      </c>
      <c r="B458" t="s">
        <v>20</v>
      </c>
      <c r="C458">
        <v>31</v>
      </c>
      <c r="D458">
        <v>1</v>
      </c>
      <c r="E458" t="s">
        <v>79</v>
      </c>
      <c r="F458" t="s">
        <v>80</v>
      </c>
      <c r="G458">
        <v>23</v>
      </c>
      <c r="H458">
        <v>2</v>
      </c>
      <c r="I458">
        <v>23010000</v>
      </c>
      <c r="J458">
        <v>516</v>
      </c>
      <c r="K458">
        <v>0</v>
      </c>
      <c r="L458">
        <v>12197</v>
      </c>
      <c r="M458">
        <v>12.311752</v>
      </c>
      <c r="N458">
        <v>102.436325</v>
      </c>
      <c r="O458">
        <v>4.76</v>
      </c>
      <c r="P458">
        <v>0.02</v>
      </c>
      <c r="Q458">
        <v>0.05</v>
      </c>
      <c r="R458">
        <v>0.11</v>
      </c>
      <c r="S458">
        <v>1.07</v>
      </c>
      <c r="T458">
        <v>6.47</v>
      </c>
      <c r="U458">
        <v>5.94</v>
      </c>
      <c r="V458">
        <v>6.09</v>
      </c>
      <c r="W458">
        <v>55.970001000000003</v>
      </c>
      <c r="X458">
        <v>27931.971576</v>
      </c>
      <c r="Y458">
        <v>26475333.813099999</v>
      </c>
    </row>
    <row r="459" spans="1:25" x14ac:dyDescent="0.55000000000000004">
      <c r="A459">
        <v>457</v>
      </c>
      <c r="B459" t="s">
        <v>20</v>
      </c>
      <c r="C459">
        <v>31</v>
      </c>
      <c r="D459">
        <v>1</v>
      </c>
      <c r="E459" t="s">
        <v>79</v>
      </c>
      <c r="F459" t="s">
        <v>80</v>
      </c>
      <c r="G459">
        <v>23</v>
      </c>
      <c r="H459">
        <v>2</v>
      </c>
      <c r="I459">
        <v>23010000</v>
      </c>
      <c r="J459">
        <v>517</v>
      </c>
      <c r="K459">
        <v>0</v>
      </c>
      <c r="L459">
        <v>12198</v>
      </c>
      <c r="M459">
        <v>12.311752</v>
      </c>
      <c r="N459">
        <v>102.51946</v>
      </c>
      <c r="O459">
        <v>5.34</v>
      </c>
      <c r="P459">
        <v>14.82</v>
      </c>
      <c r="Q459">
        <v>0.08</v>
      </c>
      <c r="R459">
        <v>1.31</v>
      </c>
      <c r="S459">
        <v>11.16</v>
      </c>
      <c r="T459">
        <v>4.1900000000000004</v>
      </c>
      <c r="U459">
        <v>7.72</v>
      </c>
      <c r="V459">
        <v>6.84</v>
      </c>
      <c r="W459">
        <v>33.869999</v>
      </c>
      <c r="X459">
        <v>37605.518789000002</v>
      </c>
      <c r="Y459">
        <v>76255782.512700006</v>
      </c>
    </row>
    <row r="460" spans="1:25" x14ac:dyDescent="0.55000000000000004">
      <c r="A460">
        <v>458</v>
      </c>
      <c r="B460" t="s">
        <v>20</v>
      </c>
      <c r="C460">
        <v>31</v>
      </c>
      <c r="D460">
        <v>1</v>
      </c>
      <c r="E460" t="s">
        <v>79</v>
      </c>
      <c r="F460" t="s">
        <v>80</v>
      </c>
      <c r="G460">
        <v>23</v>
      </c>
      <c r="H460">
        <v>2</v>
      </c>
      <c r="I460">
        <v>23010000</v>
      </c>
      <c r="J460">
        <v>518</v>
      </c>
      <c r="K460">
        <v>0</v>
      </c>
      <c r="L460">
        <v>12438</v>
      </c>
      <c r="M460">
        <v>12.474159</v>
      </c>
      <c r="N460">
        <v>102.51946</v>
      </c>
      <c r="O460">
        <v>40.169998</v>
      </c>
      <c r="P460">
        <v>0.09</v>
      </c>
      <c r="Q460">
        <v>0.05</v>
      </c>
      <c r="R460">
        <v>0.04</v>
      </c>
      <c r="S460">
        <v>0.55000000000000004</v>
      </c>
      <c r="T460">
        <v>0.4</v>
      </c>
      <c r="U460">
        <v>9.89</v>
      </c>
      <c r="V460">
        <v>1.67</v>
      </c>
      <c r="W460">
        <v>23.709999</v>
      </c>
      <c r="X460">
        <v>16879.926851</v>
      </c>
      <c r="Y460">
        <v>8712702.2483300008</v>
      </c>
    </row>
    <row r="461" spans="1:25" x14ac:dyDescent="0.55000000000000004">
      <c r="A461">
        <v>459</v>
      </c>
      <c r="B461" t="s">
        <v>20</v>
      </c>
      <c r="C461">
        <v>31</v>
      </c>
      <c r="D461">
        <v>1</v>
      </c>
      <c r="E461" t="s">
        <v>79</v>
      </c>
      <c r="F461" t="s">
        <v>80</v>
      </c>
      <c r="G461">
        <v>23</v>
      </c>
      <c r="H461">
        <v>2</v>
      </c>
      <c r="I461">
        <v>23010000</v>
      </c>
      <c r="J461">
        <v>520</v>
      </c>
      <c r="K461">
        <v>0</v>
      </c>
      <c r="L461">
        <v>12318</v>
      </c>
      <c r="M461">
        <v>12.392967000000001</v>
      </c>
      <c r="N461">
        <v>102.51946</v>
      </c>
      <c r="O461">
        <v>5.75</v>
      </c>
      <c r="P461">
        <v>7.34</v>
      </c>
      <c r="Q461">
        <v>9.16</v>
      </c>
      <c r="R461">
        <v>0.72</v>
      </c>
      <c r="S461">
        <v>3.03</v>
      </c>
      <c r="T461">
        <v>1.07</v>
      </c>
      <c r="U461">
        <v>6.54</v>
      </c>
      <c r="V461">
        <v>1.46</v>
      </c>
      <c r="W461">
        <v>36.130001</v>
      </c>
      <c r="X461">
        <v>34565.933455999999</v>
      </c>
      <c r="Y461">
        <v>48841755.9005</v>
      </c>
    </row>
    <row r="462" spans="1:25" x14ac:dyDescent="0.55000000000000004">
      <c r="A462">
        <v>460</v>
      </c>
      <c r="B462" t="s">
        <v>20</v>
      </c>
      <c r="C462">
        <v>31</v>
      </c>
      <c r="D462">
        <v>1</v>
      </c>
      <c r="E462" t="s">
        <v>79</v>
      </c>
      <c r="F462" t="s">
        <v>80</v>
      </c>
      <c r="G462">
        <v>23</v>
      </c>
      <c r="H462">
        <v>2</v>
      </c>
      <c r="I462">
        <v>23010000</v>
      </c>
      <c r="J462">
        <v>569</v>
      </c>
      <c r="K462">
        <v>0</v>
      </c>
      <c r="L462">
        <v>12199</v>
      </c>
      <c r="M462">
        <v>12.311752</v>
      </c>
      <c r="N462">
        <v>102.6026</v>
      </c>
      <c r="O462">
        <v>9.7799999999999994</v>
      </c>
      <c r="P462">
        <v>0.25</v>
      </c>
      <c r="Q462">
        <v>0.04</v>
      </c>
      <c r="R462">
        <v>1.92</v>
      </c>
      <c r="S462">
        <v>1.55</v>
      </c>
      <c r="T462">
        <v>3.21</v>
      </c>
      <c r="U462">
        <v>7.83</v>
      </c>
      <c r="V462">
        <v>4.87</v>
      </c>
      <c r="W462">
        <v>17.670000000000002</v>
      </c>
      <c r="X462">
        <v>36112.606250999997</v>
      </c>
      <c r="Y462">
        <v>81506675.565200001</v>
      </c>
    </row>
    <row r="463" spans="1:25" x14ac:dyDescent="0.55000000000000004">
      <c r="A463">
        <v>461</v>
      </c>
      <c r="B463" t="s">
        <v>20</v>
      </c>
      <c r="C463">
        <v>31</v>
      </c>
      <c r="D463">
        <v>1</v>
      </c>
      <c r="E463" t="s">
        <v>79</v>
      </c>
      <c r="F463" t="s">
        <v>80</v>
      </c>
      <c r="G463">
        <v>23</v>
      </c>
      <c r="H463">
        <v>2</v>
      </c>
      <c r="I463">
        <v>23010000</v>
      </c>
      <c r="J463">
        <v>570</v>
      </c>
      <c r="K463">
        <v>0</v>
      </c>
      <c r="L463">
        <v>12200</v>
      </c>
      <c r="M463">
        <v>12.311752</v>
      </c>
      <c r="N463">
        <v>102.68574</v>
      </c>
      <c r="O463">
        <v>4.62</v>
      </c>
      <c r="P463">
        <v>1.29</v>
      </c>
      <c r="Q463">
        <v>0.28999999999999998</v>
      </c>
      <c r="R463">
        <v>0.72</v>
      </c>
      <c r="S463">
        <v>5.4</v>
      </c>
      <c r="T463">
        <v>7.39</v>
      </c>
      <c r="U463">
        <v>4.72</v>
      </c>
      <c r="V463">
        <v>13.29</v>
      </c>
      <c r="W463">
        <v>51.41</v>
      </c>
      <c r="X463">
        <v>35092.896058999999</v>
      </c>
      <c r="Y463">
        <v>78447559.206200004</v>
      </c>
    </row>
    <row r="464" spans="1:25" x14ac:dyDescent="0.55000000000000004">
      <c r="A464">
        <v>462</v>
      </c>
      <c r="B464" t="s">
        <v>20</v>
      </c>
      <c r="C464">
        <v>31</v>
      </c>
      <c r="D464">
        <v>1</v>
      </c>
      <c r="E464" t="s">
        <v>79</v>
      </c>
      <c r="F464" t="s">
        <v>80</v>
      </c>
      <c r="G464">
        <v>23</v>
      </c>
      <c r="H464">
        <v>2</v>
      </c>
      <c r="I464">
        <v>23010000</v>
      </c>
      <c r="J464">
        <v>572</v>
      </c>
      <c r="K464">
        <v>0</v>
      </c>
      <c r="L464">
        <v>12319</v>
      </c>
      <c r="M464">
        <v>12.392967000000001</v>
      </c>
      <c r="N464">
        <v>102.6026</v>
      </c>
      <c r="O464">
        <v>3.52</v>
      </c>
      <c r="P464">
        <v>0.56999999999999995</v>
      </c>
      <c r="Q464">
        <v>0.23</v>
      </c>
      <c r="R464">
        <v>0.22</v>
      </c>
      <c r="S464">
        <v>7.44</v>
      </c>
      <c r="T464">
        <v>1.02</v>
      </c>
      <c r="U464">
        <v>9.08</v>
      </c>
      <c r="V464">
        <v>5.84</v>
      </c>
      <c r="W464">
        <v>21.65</v>
      </c>
      <c r="X464">
        <v>37062.865071</v>
      </c>
      <c r="Y464">
        <v>66221689.3442</v>
      </c>
    </row>
    <row r="465" spans="1:25" x14ac:dyDescent="0.55000000000000004">
      <c r="A465">
        <v>463</v>
      </c>
      <c r="B465" t="s">
        <v>20</v>
      </c>
      <c r="C465">
        <v>31</v>
      </c>
      <c r="D465">
        <v>1</v>
      </c>
      <c r="E465" t="s">
        <v>79</v>
      </c>
      <c r="F465" t="s">
        <v>80</v>
      </c>
      <c r="G465">
        <v>23</v>
      </c>
      <c r="H465">
        <v>2</v>
      </c>
      <c r="I465">
        <v>23010000</v>
      </c>
      <c r="J465">
        <v>573</v>
      </c>
      <c r="K465">
        <v>0</v>
      </c>
      <c r="L465">
        <v>12320</v>
      </c>
      <c r="M465">
        <v>12.392967000000001</v>
      </c>
      <c r="N465">
        <v>102.68574</v>
      </c>
      <c r="O465">
        <v>21.23</v>
      </c>
      <c r="P465">
        <v>2.25</v>
      </c>
      <c r="Q465">
        <v>0.01</v>
      </c>
      <c r="R465">
        <v>0.01</v>
      </c>
      <c r="S465">
        <v>0.24</v>
      </c>
      <c r="T465">
        <v>10.8</v>
      </c>
      <c r="U465">
        <v>2.2000000000000002</v>
      </c>
      <c r="V465">
        <v>3.46</v>
      </c>
      <c r="W465">
        <v>51.450001</v>
      </c>
      <c r="X465">
        <v>32793.065522999997</v>
      </c>
      <c r="Y465">
        <v>48352870.1774</v>
      </c>
    </row>
    <row r="466" spans="1:25" x14ac:dyDescent="0.55000000000000004">
      <c r="A466">
        <v>464</v>
      </c>
      <c r="B466" t="s">
        <v>20</v>
      </c>
      <c r="C466">
        <v>31</v>
      </c>
      <c r="D466">
        <v>1</v>
      </c>
      <c r="E466" t="s">
        <v>79</v>
      </c>
      <c r="F466" t="s">
        <v>80</v>
      </c>
      <c r="G466">
        <v>23</v>
      </c>
      <c r="H466">
        <v>2</v>
      </c>
      <c r="I466">
        <v>23010000</v>
      </c>
      <c r="J466">
        <v>577</v>
      </c>
      <c r="K466">
        <v>0</v>
      </c>
      <c r="L466">
        <v>12321</v>
      </c>
      <c r="M466">
        <v>12.392967000000001</v>
      </c>
      <c r="N466">
        <v>102.76887000000001</v>
      </c>
      <c r="O466">
        <v>84.660004000000001</v>
      </c>
      <c r="P466">
        <v>2.64</v>
      </c>
      <c r="Q466">
        <v>0.01</v>
      </c>
      <c r="R466">
        <v>0.02</v>
      </c>
      <c r="S466">
        <v>2.2000000000000002</v>
      </c>
      <c r="T466">
        <v>42.099997999999999</v>
      </c>
      <c r="U466">
        <v>3.85</v>
      </c>
      <c r="V466">
        <v>1.07</v>
      </c>
      <c r="W466">
        <v>30.709999</v>
      </c>
      <c r="X466">
        <v>24620.953161000001</v>
      </c>
      <c r="Y466">
        <v>22674098.164000001</v>
      </c>
    </row>
    <row r="467" spans="1:25" x14ac:dyDescent="0.55000000000000004">
      <c r="A467">
        <v>465</v>
      </c>
      <c r="B467" t="s">
        <v>20</v>
      </c>
      <c r="C467">
        <v>31</v>
      </c>
      <c r="D467">
        <v>1</v>
      </c>
      <c r="E467" t="s">
        <v>79</v>
      </c>
      <c r="F467" t="s">
        <v>80</v>
      </c>
      <c r="G467">
        <v>23</v>
      </c>
      <c r="H467">
        <v>2</v>
      </c>
      <c r="I467">
        <v>23010000</v>
      </c>
      <c r="J467">
        <v>578</v>
      </c>
      <c r="K467">
        <v>0</v>
      </c>
      <c r="L467">
        <v>12441</v>
      </c>
      <c r="M467">
        <v>12.474159</v>
      </c>
      <c r="N467">
        <v>102.76887000000001</v>
      </c>
      <c r="O467">
        <v>33.849997999999999</v>
      </c>
      <c r="P467">
        <v>0.4</v>
      </c>
      <c r="Q467">
        <v>0</v>
      </c>
      <c r="R467">
        <v>0</v>
      </c>
      <c r="S467">
        <v>5.96</v>
      </c>
      <c r="T467">
        <v>56.860000999999997</v>
      </c>
      <c r="U467">
        <v>2.67</v>
      </c>
      <c r="V467">
        <v>0.72</v>
      </c>
      <c r="W467">
        <v>28.33</v>
      </c>
      <c r="X467">
        <v>939.32201099999997</v>
      </c>
      <c r="Y467">
        <v>45114.007748000004</v>
      </c>
    </row>
    <row r="468" spans="1:25" x14ac:dyDescent="0.55000000000000004">
      <c r="A468">
        <v>466</v>
      </c>
      <c r="B468" t="s">
        <v>20</v>
      </c>
      <c r="C468">
        <v>31</v>
      </c>
      <c r="D468">
        <v>1</v>
      </c>
      <c r="E468" t="s">
        <v>79</v>
      </c>
      <c r="F468" t="s">
        <v>80</v>
      </c>
      <c r="G468">
        <v>23</v>
      </c>
      <c r="H468">
        <v>2</v>
      </c>
      <c r="I468">
        <v>23010000</v>
      </c>
      <c r="J468">
        <v>584</v>
      </c>
      <c r="K468">
        <v>0</v>
      </c>
      <c r="L468">
        <v>12439</v>
      </c>
      <c r="M468">
        <v>12.474159</v>
      </c>
      <c r="N468">
        <v>102.6026</v>
      </c>
      <c r="O468">
        <v>10.59</v>
      </c>
      <c r="P468">
        <v>0.21</v>
      </c>
      <c r="Q468">
        <v>0.04</v>
      </c>
      <c r="R468">
        <v>0.12</v>
      </c>
      <c r="S468">
        <v>0.48</v>
      </c>
      <c r="T468">
        <v>2.33</v>
      </c>
      <c r="U468">
        <v>7.34</v>
      </c>
      <c r="V468">
        <v>3.18</v>
      </c>
      <c r="W468">
        <v>34.939999</v>
      </c>
      <c r="X468">
        <v>17272.487666000001</v>
      </c>
      <c r="Y468">
        <v>9957669.0098700002</v>
      </c>
    </row>
    <row r="469" spans="1:25" x14ac:dyDescent="0.55000000000000004">
      <c r="A469">
        <v>467</v>
      </c>
      <c r="B469" t="s">
        <v>20</v>
      </c>
      <c r="C469">
        <v>32</v>
      </c>
      <c r="D469">
        <v>2</v>
      </c>
      <c r="E469" t="s">
        <v>81</v>
      </c>
      <c r="F469" t="s">
        <v>82</v>
      </c>
      <c r="G469">
        <v>23</v>
      </c>
      <c r="H469">
        <v>2</v>
      </c>
      <c r="I469">
        <v>23020000</v>
      </c>
      <c r="J469">
        <v>411</v>
      </c>
      <c r="K469">
        <v>0</v>
      </c>
      <c r="L469">
        <v>11362</v>
      </c>
      <c r="M469">
        <v>11.742577000000001</v>
      </c>
      <c r="N469">
        <v>102.85200500000001</v>
      </c>
      <c r="O469">
        <v>0</v>
      </c>
      <c r="P469">
        <v>0.79</v>
      </c>
      <c r="Q469">
        <v>0.3</v>
      </c>
      <c r="R469">
        <v>0.23</v>
      </c>
      <c r="S469">
        <v>0.05</v>
      </c>
      <c r="T469">
        <v>0</v>
      </c>
      <c r="U469">
        <v>0.75</v>
      </c>
      <c r="V469">
        <v>13.83</v>
      </c>
      <c r="W469">
        <v>16.450001</v>
      </c>
      <c r="X469">
        <v>10691.909339</v>
      </c>
      <c r="Y469">
        <v>3732143.9732599999</v>
      </c>
    </row>
    <row r="470" spans="1:25" x14ac:dyDescent="0.55000000000000004">
      <c r="A470">
        <v>468</v>
      </c>
      <c r="B470" t="s">
        <v>20</v>
      </c>
      <c r="C470">
        <v>32</v>
      </c>
      <c r="D470">
        <v>2</v>
      </c>
      <c r="E470" t="s">
        <v>81</v>
      </c>
      <c r="F470" t="s">
        <v>82</v>
      </c>
      <c r="G470">
        <v>23</v>
      </c>
      <c r="H470">
        <v>2</v>
      </c>
      <c r="I470">
        <v>23020000</v>
      </c>
      <c r="J470">
        <v>412</v>
      </c>
      <c r="K470">
        <v>0</v>
      </c>
      <c r="L470">
        <v>11482</v>
      </c>
      <c r="M470">
        <v>11.823959</v>
      </c>
      <c r="N470">
        <v>102.85200500000001</v>
      </c>
      <c r="O470">
        <v>0</v>
      </c>
      <c r="P470">
        <v>0.04</v>
      </c>
      <c r="Q470">
        <v>0.49</v>
      </c>
      <c r="R470">
        <v>0</v>
      </c>
      <c r="S470">
        <v>0.33</v>
      </c>
      <c r="T470">
        <v>0</v>
      </c>
      <c r="U470">
        <v>1.55</v>
      </c>
      <c r="V470">
        <v>19.309999000000001</v>
      </c>
      <c r="W470">
        <v>10.19</v>
      </c>
      <c r="X470">
        <v>29448.263599000002</v>
      </c>
      <c r="Y470">
        <v>16012567.203400001</v>
      </c>
    </row>
    <row r="471" spans="1:25" x14ac:dyDescent="0.55000000000000004">
      <c r="A471">
        <v>469</v>
      </c>
      <c r="B471" t="s">
        <v>20</v>
      </c>
      <c r="C471">
        <v>32</v>
      </c>
      <c r="D471">
        <v>2</v>
      </c>
      <c r="E471" t="s">
        <v>81</v>
      </c>
      <c r="F471" t="s">
        <v>82</v>
      </c>
      <c r="G471">
        <v>23</v>
      </c>
      <c r="H471">
        <v>2</v>
      </c>
      <c r="I471">
        <v>23020000</v>
      </c>
      <c r="J471">
        <v>424</v>
      </c>
      <c r="K471">
        <v>0</v>
      </c>
      <c r="L471">
        <v>11243</v>
      </c>
      <c r="M471">
        <v>11.661171</v>
      </c>
      <c r="N471">
        <v>102.93514</v>
      </c>
      <c r="O471">
        <v>0</v>
      </c>
      <c r="P471">
        <v>0.76</v>
      </c>
      <c r="Q471">
        <v>0</v>
      </c>
      <c r="R471">
        <v>0</v>
      </c>
      <c r="S471">
        <v>3.39</v>
      </c>
      <c r="T471">
        <v>0</v>
      </c>
      <c r="U471">
        <v>2.48</v>
      </c>
      <c r="V471">
        <v>82</v>
      </c>
      <c r="W471">
        <v>12.27</v>
      </c>
      <c r="X471">
        <v>13189.304093999999</v>
      </c>
      <c r="Y471">
        <v>5093555.8670899998</v>
      </c>
    </row>
    <row r="472" spans="1:25" x14ac:dyDescent="0.55000000000000004">
      <c r="A472">
        <v>470</v>
      </c>
      <c r="B472" t="s">
        <v>20</v>
      </c>
      <c r="C472">
        <v>32</v>
      </c>
      <c r="D472">
        <v>2</v>
      </c>
      <c r="E472" t="s">
        <v>81</v>
      </c>
      <c r="F472" t="s">
        <v>82</v>
      </c>
      <c r="G472">
        <v>23</v>
      </c>
      <c r="H472">
        <v>2</v>
      </c>
      <c r="I472">
        <v>23020000</v>
      </c>
      <c r="J472">
        <v>426</v>
      </c>
      <c r="K472">
        <v>0</v>
      </c>
      <c r="L472">
        <v>11363</v>
      </c>
      <c r="M472">
        <v>11.742577000000001</v>
      </c>
      <c r="N472">
        <v>102.93514</v>
      </c>
      <c r="O472">
        <v>0.01</v>
      </c>
      <c r="P472">
        <v>1.17</v>
      </c>
      <c r="Q472">
        <v>0</v>
      </c>
      <c r="R472">
        <v>0</v>
      </c>
      <c r="S472">
        <v>1.04</v>
      </c>
      <c r="T472">
        <v>0.03</v>
      </c>
      <c r="U472">
        <v>2.33</v>
      </c>
      <c r="V472">
        <v>29.530000999999999</v>
      </c>
      <c r="W472">
        <v>32.549999</v>
      </c>
      <c r="X472">
        <v>20371.931193</v>
      </c>
      <c r="Y472">
        <v>9050199.7700399999</v>
      </c>
    </row>
    <row r="473" spans="1:25" x14ac:dyDescent="0.55000000000000004">
      <c r="A473">
        <v>471</v>
      </c>
      <c r="B473" t="s">
        <v>20</v>
      </c>
      <c r="C473">
        <v>32</v>
      </c>
      <c r="D473">
        <v>2</v>
      </c>
      <c r="E473" t="s">
        <v>81</v>
      </c>
      <c r="F473" t="s">
        <v>82</v>
      </c>
      <c r="G473">
        <v>23</v>
      </c>
      <c r="H473">
        <v>2</v>
      </c>
      <c r="I473">
        <v>23020000</v>
      </c>
      <c r="J473">
        <v>428</v>
      </c>
      <c r="K473">
        <v>0</v>
      </c>
      <c r="L473">
        <v>11483</v>
      </c>
      <c r="M473">
        <v>11.823959</v>
      </c>
      <c r="N473">
        <v>102.93514</v>
      </c>
      <c r="O473">
        <v>0.01</v>
      </c>
      <c r="P473">
        <v>0</v>
      </c>
      <c r="Q473">
        <v>0.01</v>
      </c>
      <c r="R473">
        <v>0</v>
      </c>
      <c r="S473">
        <v>6.58</v>
      </c>
      <c r="T473">
        <v>0.62</v>
      </c>
      <c r="U473">
        <v>5.85</v>
      </c>
      <c r="V473">
        <v>25.530000999999999</v>
      </c>
      <c r="W473">
        <v>30.959999</v>
      </c>
      <c r="X473">
        <v>194.74930499999999</v>
      </c>
      <c r="Y473">
        <v>1312.989832</v>
      </c>
    </row>
    <row r="474" spans="1:25" x14ac:dyDescent="0.55000000000000004">
      <c r="A474">
        <v>472</v>
      </c>
      <c r="B474" t="s">
        <v>20</v>
      </c>
      <c r="C474">
        <v>32</v>
      </c>
      <c r="D474">
        <v>2</v>
      </c>
      <c r="E474" t="s">
        <v>81</v>
      </c>
      <c r="F474" t="s">
        <v>82</v>
      </c>
      <c r="G474">
        <v>23</v>
      </c>
      <c r="H474">
        <v>2</v>
      </c>
      <c r="I474">
        <v>23020000</v>
      </c>
      <c r="J474">
        <v>449</v>
      </c>
      <c r="K474">
        <v>0</v>
      </c>
      <c r="L474">
        <v>11601</v>
      </c>
      <c r="M474">
        <v>11.905327</v>
      </c>
      <c r="N474">
        <v>102.76887000000001</v>
      </c>
      <c r="O474">
        <v>8.2200000000000006</v>
      </c>
      <c r="P474">
        <v>0.34</v>
      </c>
      <c r="Q474">
        <v>0.4</v>
      </c>
      <c r="R474">
        <v>0.22</v>
      </c>
      <c r="S474">
        <v>0.14000000000000001</v>
      </c>
      <c r="T474">
        <v>0</v>
      </c>
      <c r="U474">
        <v>4.07</v>
      </c>
      <c r="V474">
        <v>52.830002</v>
      </c>
      <c r="W474">
        <v>3.65</v>
      </c>
      <c r="X474">
        <v>23597.204882000002</v>
      </c>
      <c r="Y474">
        <v>23347410.766600002</v>
      </c>
    </row>
    <row r="475" spans="1:25" x14ac:dyDescent="0.55000000000000004">
      <c r="A475">
        <v>473</v>
      </c>
      <c r="B475" t="s">
        <v>20</v>
      </c>
      <c r="C475">
        <v>32</v>
      </c>
      <c r="D475">
        <v>2</v>
      </c>
      <c r="E475" t="s">
        <v>81</v>
      </c>
      <c r="F475" t="s">
        <v>82</v>
      </c>
      <c r="G475">
        <v>23</v>
      </c>
      <c r="H475">
        <v>2</v>
      </c>
      <c r="I475">
        <v>23020000</v>
      </c>
      <c r="J475">
        <v>450</v>
      </c>
      <c r="K475">
        <v>0</v>
      </c>
      <c r="L475">
        <v>11602</v>
      </c>
      <c r="M475">
        <v>11.905327</v>
      </c>
      <c r="N475">
        <v>102.85200500000001</v>
      </c>
      <c r="O475">
        <v>0.25</v>
      </c>
      <c r="P475">
        <v>0.17</v>
      </c>
      <c r="Q475">
        <v>0.04</v>
      </c>
      <c r="R475">
        <v>0.05</v>
      </c>
      <c r="S475">
        <v>0.54</v>
      </c>
      <c r="T475">
        <v>0.15</v>
      </c>
      <c r="U475">
        <v>2.58</v>
      </c>
      <c r="V475">
        <v>47.720001000000003</v>
      </c>
      <c r="W475">
        <v>7.27</v>
      </c>
      <c r="X475">
        <v>20224.879090999999</v>
      </c>
      <c r="Y475">
        <v>8839657.4229799993</v>
      </c>
    </row>
    <row r="476" spans="1:25" x14ac:dyDescent="0.55000000000000004">
      <c r="A476">
        <v>474</v>
      </c>
      <c r="B476" t="s">
        <v>20</v>
      </c>
      <c r="C476">
        <v>32</v>
      </c>
      <c r="D476">
        <v>2</v>
      </c>
      <c r="E476" t="s">
        <v>81</v>
      </c>
      <c r="F476" t="s">
        <v>82</v>
      </c>
      <c r="G476">
        <v>23</v>
      </c>
      <c r="H476">
        <v>2</v>
      </c>
      <c r="I476">
        <v>23020000</v>
      </c>
      <c r="J476">
        <v>452</v>
      </c>
      <c r="K476">
        <v>0</v>
      </c>
      <c r="L476">
        <v>11721</v>
      </c>
      <c r="M476">
        <v>11.986656</v>
      </c>
      <c r="N476">
        <v>102.76887000000001</v>
      </c>
      <c r="O476">
        <v>0.45</v>
      </c>
      <c r="P476">
        <v>1.22</v>
      </c>
      <c r="Q476">
        <v>7.0000000000000007E-2</v>
      </c>
      <c r="R476">
        <v>0</v>
      </c>
      <c r="S476">
        <v>0.01</v>
      </c>
      <c r="T476">
        <v>0.75</v>
      </c>
      <c r="U476">
        <v>16</v>
      </c>
      <c r="V476">
        <v>36.700001</v>
      </c>
      <c r="W476">
        <v>12.85</v>
      </c>
      <c r="X476">
        <v>18931.838446000002</v>
      </c>
      <c r="Y476">
        <v>7110431.5175700001</v>
      </c>
    </row>
    <row r="477" spans="1:25" x14ac:dyDescent="0.55000000000000004">
      <c r="A477">
        <v>475</v>
      </c>
      <c r="B477" t="s">
        <v>20</v>
      </c>
      <c r="C477">
        <v>33</v>
      </c>
      <c r="D477">
        <v>3</v>
      </c>
      <c r="E477" t="s">
        <v>83</v>
      </c>
      <c r="F477" t="s">
        <v>84</v>
      </c>
      <c r="G477">
        <v>23</v>
      </c>
      <c r="H477">
        <v>2</v>
      </c>
      <c r="I477">
        <v>23030000</v>
      </c>
      <c r="J477">
        <v>369</v>
      </c>
      <c r="K477">
        <v>0</v>
      </c>
      <c r="L477">
        <v>12075</v>
      </c>
      <c r="M477">
        <v>12.230515</v>
      </c>
      <c r="N477">
        <v>102.27006</v>
      </c>
      <c r="O477">
        <v>0.13</v>
      </c>
      <c r="P477">
        <v>0.03</v>
      </c>
      <c r="Q477">
        <v>0.1</v>
      </c>
      <c r="R477">
        <v>0.02</v>
      </c>
      <c r="S477">
        <v>4.74</v>
      </c>
      <c r="T477">
        <v>0</v>
      </c>
      <c r="U477">
        <v>7.48</v>
      </c>
      <c r="V477">
        <v>29.950001</v>
      </c>
      <c r="W477">
        <v>56.400002000000001</v>
      </c>
      <c r="X477">
        <v>4850.6542049999998</v>
      </c>
      <c r="Y477">
        <v>913368.68909999996</v>
      </c>
    </row>
    <row r="478" spans="1:25" x14ac:dyDescent="0.55000000000000004">
      <c r="A478">
        <v>476</v>
      </c>
      <c r="B478" t="s">
        <v>20</v>
      </c>
      <c r="C478">
        <v>33</v>
      </c>
      <c r="D478">
        <v>3</v>
      </c>
      <c r="E478" t="s">
        <v>83</v>
      </c>
      <c r="F478" t="s">
        <v>84</v>
      </c>
      <c r="G478">
        <v>23</v>
      </c>
      <c r="H478">
        <v>2</v>
      </c>
      <c r="I478">
        <v>23030000</v>
      </c>
      <c r="J478">
        <v>381</v>
      </c>
      <c r="K478">
        <v>0</v>
      </c>
      <c r="L478">
        <v>12076</v>
      </c>
      <c r="M478">
        <v>12.230515</v>
      </c>
      <c r="N478">
        <v>102.35319</v>
      </c>
      <c r="O478">
        <v>0</v>
      </c>
      <c r="P478">
        <v>0.13</v>
      </c>
      <c r="Q478">
        <v>0.08</v>
      </c>
      <c r="R478">
        <v>0</v>
      </c>
      <c r="S478">
        <v>0.14000000000000001</v>
      </c>
      <c r="T478">
        <v>1.68</v>
      </c>
      <c r="U478">
        <v>15.86</v>
      </c>
      <c r="V478">
        <v>16.489999999999998</v>
      </c>
      <c r="W478">
        <v>42.720001000000003</v>
      </c>
      <c r="X478">
        <v>15577.775829</v>
      </c>
      <c r="Y478">
        <v>8599918.0291900001</v>
      </c>
    </row>
    <row r="479" spans="1:25" x14ac:dyDescent="0.55000000000000004">
      <c r="A479">
        <v>477</v>
      </c>
      <c r="B479" t="s">
        <v>20</v>
      </c>
      <c r="C479">
        <v>33</v>
      </c>
      <c r="D479">
        <v>3</v>
      </c>
      <c r="E479" t="s">
        <v>83</v>
      </c>
      <c r="F479" t="s">
        <v>84</v>
      </c>
      <c r="G479">
        <v>23</v>
      </c>
      <c r="H479">
        <v>2</v>
      </c>
      <c r="I479">
        <v>23030000</v>
      </c>
      <c r="J479">
        <v>506</v>
      </c>
      <c r="K479">
        <v>0</v>
      </c>
      <c r="L479">
        <v>12195</v>
      </c>
      <c r="M479">
        <v>12.311752</v>
      </c>
      <c r="N479">
        <v>102.27006</v>
      </c>
      <c r="O479">
        <v>0.44</v>
      </c>
      <c r="P479">
        <v>0.04</v>
      </c>
      <c r="Q479">
        <v>0.28000000000000003</v>
      </c>
      <c r="R479">
        <v>0.06</v>
      </c>
      <c r="S479">
        <v>1.67</v>
      </c>
      <c r="T479">
        <v>0.26</v>
      </c>
      <c r="U479">
        <v>16.719999000000001</v>
      </c>
      <c r="V479">
        <v>9.58</v>
      </c>
      <c r="W479">
        <v>38.689999</v>
      </c>
      <c r="X479">
        <v>12273.864244</v>
      </c>
      <c r="Y479">
        <v>9166438.25495</v>
      </c>
    </row>
    <row r="480" spans="1:25" x14ac:dyDescent="0.55000000000000004">
      <c r="A480">
        <v>478</v>
      </c>
      <c r="B480" t="s">
        <v>20</v>
      </c>
      <c r="C480">
        <v>33</v>
      </c>
      <c r="D480">
        <v>3</v>
      </c>
      <c r="E480" t="s">
        <v>83</v>
      </c>
      <c r="F480" t="s">
        <v>84</v>
      </c>
      <c r="G480">
        <v>23</v>
      </c>
      <c r="H480">
        <v>2</v>
      </c>
      <c r="I480">
        <v>23030000</v>
      </c>
      <c r="J480">
        <v>507</v>
      </c>
      <c r="K480">
        <v>0</v>
      </c>
      <c r="L480">
        <v>12196</v>
      </c>
      <c r="M480">
        <v>12.311752</v>
      </c>
      <c r="N480">
        <v>102.35319</v>
      </c>
      <c r="O480">
        <v>0.45</v>
      </c>
      <c r="P480">
        <v>0.01</v>
      </c>
      <c r="Q480">
        <v>0.03</v>
      </c>
      <c r="R480">
        <v>0</v>
      </c>
      <c r="S480">
        <v>4.8</v>
      </c>
      <c r="T480">
        <v>1.42</v>
      </c>
      <c r="U480">
        <v>2.83</v>
      </c>
      <c r="V480">
        <v>18.850000000000001</v>
      </c>
      <c r="W480">
        <v>35.279998999999997</v>
      </c>
      <c r="X480">
        <v>36862.790875999999</v>
      </c>
      <c r="Y480">
        <v>64772036.173</v>
      </c>
    </row>
    <row r="481" spans="1:25" x14ac:dyDescent="0.55000000000000004">
      <c r="A481">
        <v>479</v>
      </c>
      <c r="B481" t="s">
        <v>20</v>
      </c>
      <c r="C481">
        <v>33</v>
      </c>
      <c r="D481">
        <v>3</v>
      </c>
      <c r="E481" t="s">
        <v>83</v>
      </c>
      <c r="F481" t="s">
        <v>84</v>
      </c>
      <c r="G481">
        <v>23</v>
      </c>
      <c r="H481">
        <v>2</v>
      </c>
      <c r="I481">
        <v>23030000</v>
      </c>
      <c r="J481">
        <v>508</v>
      </c>
      <c r="K481">
        <v>0</v>
      </c>
      <c r="L481">
        <v>12436</v>
      </c>
      <c r="M481">
        <v>12.474159</v>
      </c>
      <c r="N481">
        <v>102.35319</v>
      </c>
      <c r="O481">
        <v>4.47</v>
      </c>
      <c r="P481">
        <v>0.03</v>
      </c>
      <c r="Q481">
        <v>0.12</v>
      </c>
      <c r="R481">
        <v>0.02</v>
      </c>
      <c r="S481">
        <v>0.2</v>
      </c>
      <c r="T481">
        <v>0.03</v>
      </c>
      <c r="U481">
        <v>3.87</v>
      </c>
      <c r="V481">
        <v>4.8</v>
      </c>
      <c r="W481">
        <v>17.110001</v>
      </c>
      <c r="X481">
        <v>37485.259250000003</v>
      </c>
      <c r="Y481">
        <v>60352946.292099997</v>
      </c>
    </row>
    <row r="482" spans="1:25" x14ac:dyDescent="0.55000000000000004">
      <c r="A482">
        <v>480</v>
      </c>
      <c r="B482" t="s">
        <v>20</v>
      </c>
      <c r="C482">
        <v>33</v>
      </c>
      <c r="D482">
        <v>3</v>
      </c>
      <c r="E482" t="s">
        <v>83</v>
      </c>
      <c r="F482" t="s">
        <v>84</v>
      </c>
      <c r="G482">
        <v>23</v>
      </c>
      <c r="H482">
        <v>2</v>
      </c>
      <c r="I482">
        <v>23030000</v>
      </c>
      <c r="J482">
        <v>510</v>
      </c>
      <c r="K482">
        <v>0</v>
      </c>
      <c r="L482">
        <v>12316</v>
      </c>
      <c r="M482">
        <v>12.392967000000001</v>
      </c>
      <c r="N482">
        <v>102.35319</v>
      </c>
      <c r="O482">
        <v>2.63</v>
      </c>
      <c r="P482">
        <v>0</v>
      </c>
      <c r="Q482">
        <v>6.75</v>
      </c>
      <c r="R482">
        <v>0</v>
      </c>
      <c r="S482">
        <v>3.33</v>
      </c>
      <c r="T482">
        <v>8.19</v>
      </c>
      <c r="U482">
        <v>13.55</v>
      </c>
      <c r="V482">
        <v>6.33</v>
      </c>
      <c r="W482">
        <v>24.24</v>
      </c>
      <c r="X482">
        <v>35306.933646999998</v>
      </c>
      <c r="Y482">
        <v>42978492.229199998</v>
      </c>
    </row>
    <row r="483" spans="1:25" x14ac:dyDescent="0.55000000000000004">
      <c r="A483">
        <v>481</v>
      </c>
      <c r="B483" t="s">
        <v>20</v>
      </c>
      <c r="C483">
        <v>33</v>
      </c>
      <c r="D483">
        <v>3</v>
      </c>
      <c r="E483" t="s">
        <v>83</v>
      </c>
      <c r="F483" t="s">
        <v>84</v>
      </c>
      <c r="G483">
        <v>23</v>
      </c>
      <c r="H483">
        <v>2</v>
      </c>
      <c r="I483">
        <v>23030000</v>
      </c>
      <c r="J483">
        <v>512</v>
      </c>
      <c r="K483">
        <v>0</v>
      </c>
      <c r="L483">
        <v>12555</v>
      </c>
      <c r="M483">
        <v>12.555313</v>
      </c>
      <c r="N483">
        <v>102.27006</v>
      </c>
      <c r="O483">
        <v>21.91</v>
      </c>
      <c r="P483">
        <v>0.03</v>
      </c>
      <c r="Q483">
        <v>0.08</v>
      </c>
      <c r="R483">
        <v>0.46</v>
      </c>
      <c r="S483">
        <v>0.96</v>
      </c>
      <c r="T483">
        <v>1.86</v>
      </c>
      <c r="U483">
        <v>4.79</v>
      </c>
      <c r="V483">
        <v>4.22</v>
      </c>
      <c r="W483">
        <v>10.68</v>
      </c>
      <c r="X483">
        <v>5446.2822319999996</v>
      </c>
      <c r="Y483">
        <v>1156024.81171</v>
      </c>
    </row>
    <row r="484" spans="1:25" x14ac:dyDescent="0.55000000000000004">
      <c r="A484">
        <v>482</v>
      </c>
      <c r="B484" t="s">
        <v>20</v>
      </c>
      <c r="C484">
        <v>33</v>
      </c>
      <c r="D484">
        <v>3</v>
      </c>
      <c r="E484" t="s">
        <v>83</v>
      </c>
      <c r="F484" t="s">
        <v>84</v>
      </c>
      <c r="G484">
        <v>23</v>
      </c>
      <c r="H484">
        <v>2</v>
      </c>
      <c r="I484">
        <v>23030000</v>
      </c>
      <c r="J484">
        <v>514</v>
      </c>
      <c r="K484">
        <v>0</v>
      </c>
      <c r="L484">
        <v>12676</v>
      </c>
      <c r="M484">
        <v>12.636443999999999</v>
      </c>
      <c r="N484">
        <v>102.35319</v>
      </c>
      <c r="O484">
        <v>3.75</v>
      </c>
      <c r="P484">
        <v>0.04</v>
      </c>
      <c r="Q484">
        <v>0.19</v>
      </c>
      <c r="R484">
        <v>5.0599999999999996</v>
      </c>
      <c r="S484">
        <v>19.190000999999999</v>
      </c>
      <c r="T484">
        <v>2.71</v>
      </c>
      <c r="U484">
        <v>13.07</v>
      </c>
      <c r="V484">
        <v>13.06</v>
      </c>
      <c r="W484">
        <v>5.93</v>
      </c>
      <c r="X484">
        <v>11315.427372</v>
      </c>
      <c r="Y484">
        <v>1220858.9719799999</v>
      </c>
    </row>
    <row r="485" spans="1:25" x14ac:dyDescent="0.55000000000000004">
      <c r="A485">
        <v>483</v>
      </c>
      <c r="B485" t="s">
        <v>20</v>
      </c>
      <c r="C485">
        <v>33</v>
      </c>
      <c r="D485">
        <v>3</v>
      </c>
      <c r="E485" t="s">
        <v>83</v>
      </c>
      <c r="F485" t="s">
        <v>84</v>
      </c>
      <c r="G485">
        <v>23</v>
      </c>
      <c r="H485">
        <v>2</v>
      </c>
      <c r="I485">
        <v>23030000</v>
      </c>
      <c r="J485">
        <v>515</v>
      </c>
      <c r="K485">
        <v>0</v>
      </c>
      <c r="L485">
        <v>12556</v>
      </c>
      <c r="M485">
        <v>12.555313</v>
      </c>
      <c r="N485">
        <v>102.35319</v>
      </c>
      <c r="O485">
        <v>19.329999999999998</v>
      </c>
      <c r="P485">
        <v>0.01</v>
      </c>
      <c r="Q485">
        <v>0.18</v>
      </c>
      <c r="R485">
        <v>0.06</v>
      </c>
      <c r="S485">
        <v>5.28</v>
      </c>
      <c r="T485">
        <v>2.3199999999999998</v>
      </c>
      <c r="U485">
        <v>6.17</v>
      </c>
      <c r="V485">
        <v>7.36</v>
      </c>
      <c r="W485">
        <v>21.870000999999998</v>
      </c>
      <c r="X485">
        <v>37806.186797000002</v>
      </c>
      <c r="Y485">
        <v>63719239.809500001</v>
      </c>
    </row>
    <row r="486" spans="1:25" x14ac:dyDescent="0.55000000000000004">
      <c r="A486">
        <v>484</v>
      </c>
      <c r="B486" t="s">
        <v>20</v>
      </c>
      <c r="C486">
        <v>33</v>
      </c>
      <c r="D486">
        <v>3</v>
      </c>
      <c r="E486" t="s">
        <v>83</v>
      </c>
      <c r="F486" t="s">
        <v>84</v>
      </c>
      <c r="G486">
        <v>23</v>
      </c>
      <c r="H486">
        <v>2</v>
      </c>
      <c r="I486">
        <v>23030000</v>
      </c>
      <c r="J486">
        <v>516</v>
      </c>
      <c r="K486">
        <v>0</v>
      </c>
      <c r="L486">
        <v>12197</v>
      </c>
      <c r="M486">
        <v>12.311752</v>
      </c>
      <c r="N486">
        <v>102.436325</v>
      </c>
      <c r="O486">
        <v>4.76</v>
      </c>
      <c r="P486">
        <v>0.02</v>
      </c>
      <c r="Q486">
        <v>0.05</v>
      </c>
      <c r="R486">
        <v>0.11</v>
      </c>
      <c r="S486">
        <v>1.07</v>
      </c>
      <c r="T486">
        <v>6.47</v>
      </c>
      <c r="U486">
        <v>5.94</v>
      </c>
      <c r="V486">
        <v>6.09</v>
      </c>
      <c r="W486">
        <v>55.970001000000003</v>
      </c>
      <c r="X486">
        <v>38018.860639999999</v>
      </c>
      <c r="Y486">
        <v>54911660.752700001</v>
      </c>
    </row>
    <row r="487" spans="1:25" x14ac:dyDescent="0.55000000000000004">
      <c r="A487">
        <v>485</v>
      </c>
      <c r="B487" t="s">
        <v>20</v>
      </c>
      <c r="C487">
        <v>33</v>
      </c>
      <c r="D487">
        <v>3</v>
      </c>
      <c r="E487" t="s">
        <v>83</v>
      </c>
      <c r="F487" t="s">
        <v>84</v>
      </c>
      <c r="G487">
        <v>23</v>
      </c>
      <c r="H487">
        <v>2</v>
      </c>
      <c r="I487">
        <v>23030000</v>
      </c>
      <c r="J487">
        <v>517</v>
      </c>
      <c r="K487">
        <v>0</v>
      </c>
      <c r="L487">
        <v>12198</v>
      </c>
      <c r="M487">
        <v>12.311752</v>
      </c>
      <c r="N487">
        <v>102.51946</v>
      </c>
      <c r="O487">
        <v>5.34</v>
      </c>
      <c r="P487">
        <v>14.82</v>
      </c>
      <c r="Q487">
        <v>0.08</v>
      </c>
      <c r="R487">
        <v>1.31</v>
      </c>
      <c r="S487">
        <v>11.16</v>
      </c>
      <c r="T487">
        <v>4.1900000000000004</v>
      </c>
      <c r="U487">
        <v>7.72</v>
      </c>
      <c r="V487">
        <v>6.84</v>
      </c>
      <c r="W487">
        <v>33.869999</v>
      </c>
      <c r="X487">
        <v>13643.075821</v>
      </c>
      <c r="Y487">
        <v>5234304.6283200001</v>
      </c>
    </row>
    <row r="488" spans="1:25" x14ac:dyDescent="0.55000000000000004">
      <c r="A488">
        <v>486</v>
      </c>
      <c r="B488" t="s">
        <v>20</v>
      </c>
      <c r="C488">
        <v>33</v>
      </c>
      <c r="D488">
        <v>3</v>
      </c>
      <c r="E488" t="s">
        <v>83</v>
      </c>
      <c r="F488" t="s">
        <v>84</v>
      </c>
      <c r="G488">
        <v>23</v>
      </c>
      <c r="H488">
        <v>2</v>
      </c>
      <c r="I488">
        <v>23030000</v>
      </c>
      <c r="J488">
        <v>518</v>
      </c>
      <c r="K488">
        <v>0</v>
      </c>
      <c r="L488">
        <v>12438</v>
      </c>
      <c r="M488">
        <v>12.474159</v>
      </c>
      <c r="N488">
        <v>102.51946</v>
      </c>
      <c r="O488">
        <v>40.169998</v>
      </c>
      <c r="P488">
        <v>0.09</v>
      </c>
      <c r="Q488">
        <v>0.05</v>
      </c>
      <c r="R488">
        <v>0.04</v>
      </c>
      <c r="S488">
        <v>0.55000000000000004</v>
      </c>
      <c r="T488">
        <v>0.4</v>
      </c>
      <c r="U488">
        <v>9.89</v>
      </c>
      <c r="V488">
        <v>1.67</v>
      </c>
      <c r="W488">
        <v>23.709999</v>
      </c>
      <c r="X488">
        <v>42469.669709000002</v>
      </c>
      <c r="Y488">
        <v>64830888.5572</v>
      </c>
    </row>
    <row r="489" spans="1:25" x14ac:dyDescent="0.55000000000000004">
      <c r="A489">
        <v>487</v>
      </c>
      <c r="B489" t="s">
        <v>20</v>
      </c>
      <c r="C489">
        <v>33</v>
      </c>
      <c r="D489">
        <v>3</v>
      </c>
      <c r="E489" t="s">
        <v>83</v>
      </c>
      <c r="F489" t="s">
        <v>84</v>
      </c>
      <c r="G489">
        <v>23</v>
      </c>
      <c r="H489">
        <v>2</v>
      </c>
      <c r="I489">
        <v>23030000</v>
      </c>
      <c r="J489">
        <v>519</v>
      </c>
      <c r="K489">
        <v>0</v>
      </c>
      <c r="L489">
        <v>12317</v>
      </c>
      <c r="M489">
        <v>12.392967000000001</v>
      </c>
      <c r="N489">
        <v>102.436325</v>
      </c>
      <c r="O489">
        <v>0.64</v>
      </c>
      <c r="P489">
        <v>7.0000000000000007E-2</v>
      </c>
      <c r="Q489">
        <v>0.06</v>
      </c>
      <c r="R489">
        <v>0.47</v>
      </c>
      <c r="S489">
        <v>5.85</v>
      </c>
      <c r="T489">
        <v>2.2200000000000002</v>
      </c>
      <c r="U489">
        <v>9.66</v>
      </c>
      <c r="V489">
        <v>1.65</v>
      </c>
      <c r="W489">
        <v>32.090000000000003</v>
      </c>
      <c r="X489">
        <v>36094.824786999998</v>
      </c>
      <c r="Y489">
        <v>81426454.624500006</v>
      </c>
    </row>
    <row r="490" spans="1:25" x14ac:dyDescent="0.55000000000000004">
      <c r="A490">
        <v>488</v>
      </c>
      <c r="B490" t="s">
        <v>20</v>
      </c>
      <c r="C490">
        <v>33</v>
      </c>
      <c r="D490">
        <v>3</v>
      </c>
      <c r="E490" t="s">
        <v>83</v>
      </c>
      <c r="F490" t="s">
        <v>84</v>
      </c>
      <c r="G490">
        <v>23</v>
      </c>
      <c r="H490">
        <v>2</v>
      </c>
      <c r="I490">
        <v>23030000</v>
      </c>
      <c r="J490">
        <v>520</v>
      </c>
      <c r="K490">
        <v>0</v>
      </c>
      <c r="L490">
        <v>12318</v>
      </c>
      <c r="M490">
        <v>12.392967000000001</v>
      </c>
      <c r="N490">
        <v>102.51946</v>
      </c>
      <c r="O490">
        <v>5.75</v>
      </c>
      <c r="P490">
        <v>7.34</v>
      </c>
      <c r="Q490">
        <v>9.16</v>
      </c>
      <c r="R490">
        <v>0.72</v>
      </c>
      <c r="S490">
        <v>3.03</v>
      </c>
      <c r="T490">
        <v>1.07</v>
      </c>
      <c r="U490">
        <v>6.54</v>
      </c>
      <c r="V490">
        <v>1.46</v>
      </c>
      <c r="W490">
        <v>36.130001</v>
      </c>
      <c r="X490">
        <v>28926.416992999999</v>
      </c>
      <c r="Y490">
        <v>32600934.641800001</v>
      </c>
    </row>
    <row r="491" spans="1:25" x14ac:dyDescent="0.55000000000000004">
      <c r="A491">
        <v>489</v>
      </c>
      <c r="B491" t="s">
        <v>20</v>
      </c>
      <c r="C491">
        <v>33</v>
      </c>
      <c r="D491">
        <v>3</v>
      </c>
      <c r="E491" t="s">
        <v>83</v>
      </c>
      <c r="F491" t="s">
        <v>84</v>
      </c>
      <c r="G491">
        <v>23</v>
      </c>
      <c r="H491">
        <v>2</v>
      </c>
      <c r="I491">
        <v>23030000</v>
      </c>
      <c r="J491">
        <v>521</v>
      </c>
      <c r="K491">
        <v>0</v>
      </c>
      <c r="L491">
        <v>12677</v>
      </c>
      <c r="M491">
        <v>12.636443999999999</v>
      </c>
      <c r="N491">
        <v>102.436325</v>
      </c>
      <c r="O491">
        <v>3.42</v>
      </c>
      <c r="P491">
        <v>0.15</v>
      </c>
      <c r="Q491">
        <v>0.08</v>
      </c>
      <c r="R491">
        <v>4.88</v>
      </c>
      <c r="S491">
        <v>2.09</v>
      </c>
      <c r="T491">
        <v>5.81</v>
      </c>
      <c r="U491">
        <v>20.149999999999999</v>
      </c>
      <c r="V491">
        <v>7.7</v>
      </c>
      <c r="W491">
        <v>9.84</v>
      </c>
      <c r="X491">
        <v>20871.387785999999</v>
      </c>
      <c r="Y491">
        <v>13644453.888800001</v>
      </c>
    </row>
    <row r="492" spans="1:25" x14ac:dyDescent="0.55000000000000004">
      <c r="A492">
        <v>490</v>
      </c>
      <c r="B492" t="s">
        <v>20</v>
      </c>
      <c r="C492">
        <v>33</v>
      </c>
      <c r="D492">
        <v>3</v>
      </c>
      <c r="E492" t="s">
        <v>83</v>
      </c>
      <c r="F492" t="s">
        <v>84</v>
      </c>
      <c r="G492">
        <v>23</v>
      </c>
      <c r="H492">
        <v>2</v>
      </c>
      <c r="I492">
        <v>23030000</v>
      </c>
      <c r="J492">
        <v>522</v>
      </c>
      <c r="K492">
        <v>0</v>
      </c>
      <c r="L492">
        <v>12557</v>
      </c>
      <c r="M492">
        <v>12.555313</v>
      </c>
      <c r="N492">
        <v>102.436325</v>
      </c>
      <c r="O492">
        <v>4.0599999999999996</v>
      </c>
      <c r="P492">
        <v>0.01</v>
      </c>
      <c r="Q492">
        <v>0.03</v>
      </c>
      <c r="R492">
        <v>0.09</v>
      </c>
      <c r="S492">
        <v>3.2</v>
      </c>
      <c r="T492">
        <v>1.71</v>
      </c>
      <c r="U492">
        <v>3.84</v>
      </c>
      <c r="V492">
        <v>10.08</v>
      </c>
      <c r="W492">
        <v>8.01</v>
      </c>
      <c r="X492">
        <v>40497.231249999997</v>
      </c>
      <c r="Y492">
        <v>63048436.8781</v>
      </c>
    </row>
    <row r="493" spans="1:25" x14ac:dyDescent="0.55000000000000004">
      <c r="A493">
        <v>491</v>
      </c>
      <c r="B493" t="s">
        <v>20</v>
      </c>
      <c r="C493">
        <v>33</v>
      </c>
      <c r="D493">
        <v>3</v>
      </c>
      <c r="E493" t="s">
        <v>83</v>
      </c>
      <c r="F493" t="s">
        <v>84</v>
      </c>
      <c r="G493">
        <v>23</v>
      </c>
      <c r="H493">
        <v>2</v>
      </c>
      <c r="I493">
        <v>23030000</v>
      </c>
      <c r="J493">
        <v>523</v>
      </c>
      <c r="K493">
        <v>0</v>
      </c>
      <c r="L493">
        <v>12437</v>
      </c>
      <c r="M493">
        <v>12.474159</v>
      </c>
      <c r="N493">
        <v>102.436325</v>
      </c>
      <c r="O493">
        <v>5.04</v>
      </c>
      <c r="P493">
        <v>0.09</v>
      </c>
      <c r="Q493">
        <v>0.03</v>
      </c>
      <c r="R493">
        <v>0.11</v>
      </c>
      <c r="S493">
        <v>5.51</v>
      </c>
      <c r="T493">
        <v>0.92</v>
      </c>
      <c r="U493">
        <v>8.52</v>
      </c>
      <c r="V493">
        <v>1.87</v>
      </c>
      <c r="W493">
        <v>10.29</v>
      </c>
      <c r="X493">
        <v>36379.966219000002</v>
      </c>
      <c r="Y493">
        <v>81353412.995199993</v>
      </c>
    </row>
    <row r="494" spans="1:25" x14ac:dyDescent="0.55000000000000004">
      <c r="A494">
        <v>492</v>
      </c>
      <c r="B494" t="s">
        <v>20</v>
      </c>
      <c r="C494">
        <v>33</v>
      </c>
      <c r="D494">
        <v>3</v>
      </c>
      <c r="E494" t="s">
        <v>83</v>
      </c>
      <c r="F494" t="s">
        <v>84</v>
      </c>
      <c r="G494">
        <v>23</v>
      </c>
      <c r="H494">
        <v>2</v>
      </c>
      <c r="I494">
        <v>23030000</v>
      </c>
      <c r="J494">
        <v>525</v>
      </c>
      <c r="K494">
        <v>0</v>
      </c>
      <c r="L494">
        <v>12558</v>
      </c>
      <c r="M494">
        <v>12.555313</v>
      </c>
      <c r="N494">
        <v>102.51946</v>
      </c>
      <c r="O494">
        <v>21.809999000000001</v>
      </c>
      <c r="P494">
        <v>0.24</v>
      </c>
      <c r="Q494">
        <v>0.13</v>
      </c>
      <c r="R494">
        <v>0.09</v>
      </c>
      <c r="S494">
        <v>5.01</v>
      </c>
      <c r="T494">
        <v>4.3099999999999996</v>
      </c>
      <c r="U494">
        <v>19.350000000000001</v>
      </c>
      <c r="V494">
        <v>8.0299999999999994</v>
      </c>
      <c r="W494">
        <v>10.199999999999999</v>
      </c>
      <c r="X494">
        <v>7282.9879899999996</v>
      </c>
      <c r="Y494">
        <v>1434629.7001799999</v>
      </c>
    </row>
    <row r="495" spans="1:25" x14ac:dyDescent="0.55000000000000004">
      <c r="A495">
        <v>493</v>
      </c>
      <c r="B495" t="s">
        <v>20</v>
      </c>
      <c r="C495">
        <v>33</v>
      </c>
      <c r="D495">
        <v>3</v>
      </c>
      <c r="E495" t="s">
        <v>83</v>
      </c>
      <c r="F495" t="s">
        <v>84</v>
      </c>
      <c r="G495">
        <v>23</v>
      </c>
      <c r="H495">
        <v>2</v>
      </c>
      <c r="I495">
        <v>23030000</v>
      </c>
      <c r="J495">
        <v>584</v>
      </c>
      <c r="K495">
        <v>0</v>
      </c>
      <c r="L495">
        <v>12439</v>
      </c>
      <c r="M495">
        <v>12.474159</v>
      </c>
      <c r="N495">
        <v>102.6026</v>
      </c>
      <c r="O495">
        <v>10.59</v>
      </c>
      <c r="P495">
        <v>0.21</v>
      </c>
      <c r="Q495">
        <v>0.04</v>
      </c>
      <c r="R495">
        <v>0.12</v>
      </c>
      <c r="S495">
        <v>0.48</v>
      </c>
      <c r="T495">
        <v>2.33</v>
      </c>
      <c r="U495">
        <v>7.34</v>
      </c>
      <c r="V495">
        <v>3.18</v>
      </c>
      <c r="W495">
        <v>34.939999</v>
      </c>
      <c r="X495">
        <v>1765.410126</v>
      </c>
      <c r="Y495">
        <v>102881.94770400001</v>
      </c>
    </row>
    <row r="496" spans="1:25" x14ac:dyDescent="0.55000000000000004">
      <c r="A496">
        <v>494</v>
      </c>
      <c r="B496" t="s">
        <v>20</v>
      </c>
      <c r="C496">
        <v>34</v>
      </c>
      <c r="D496">
        <v>4</v>
      </c>
      <c r="E496" t="s">
        <v>85</v>
      </c>
      <c r="F496" t="s">
        <v>86</v>
      </c>
      <c r="G496">
        <v>23</v>
      </c>
      <c r="H496">
        <v>2</v>
      </c>
      <c r="I496">
        <v>23040000</v>
      </c>
      <c r="J496">
        <v>514</v>
      </c>
      <c r="K496">
        <v>0</v>
      </c>
      <c r="L496">
        <v>12676</v>
      </c>
      <c r="M496">
        <v>12.636443999999999</v>
      </c>
      <c r="N496">
        <v>102.35319</v>
      </c>
      <c r="O496">
        <v>3.75</v>
      </c>
      <c r="P496">
        <v>0.04</v>
      </c>
      <c r="Q496">
        <v>0.19</v>
      </c>
      <c r="R496">
        <v>5.0599999999999996</v>
      </c>
      <c r="S496">
        <v>19.190000999999999</v>
      </c>
      <c r="T496">
        <v>2.71</v>
      </c>
      <c r="U496">
        <v>13.07</v>
      </c>
      <c r="V496">
        <v>13.06</v>
      </c>
      <c r="W496">
        <v>5.93</v>
      </c>
      <c r="X496">
        <v>9242.7044580000002</v>
      </c>
      <c r="Y496">
        <v>3443962.6325599998</v>
      </c>
    </row>
    <row r="497" spans="1:25" x14ac:dyDescent="0.55000000000000004">
      <c r="A497">
        <v>495</v>
      </c>
      <c r="B497" t="s">
        <v>20</v>
      </c>
      <c r="C497">
        <v>34</v>
      </c>
      <c r="D497">
        <v>4</v>
      </c>
      <c r="E497" t="s">
        <v>85</v>
      </c>
      <c r="F497" t="s">
        <v>86</v>
      </c>
      <c r="G497">
        <v>23</v>
      </c>
      <c r="H497">
        <v>2</v>
      </c>
      <c r="I497">
        <v>23040000</v>
      </c>
      <c r="J497">
        <v>518</v>
      </c>
      <c r="K497">
        <v>0</v>
      </c>
      <c r="L497">
        <v>12438</v>
      </c>
      <c r="M497">
        <v>12.474159</v>
      </c>
      <c r="N497">
        <v>102.51946</v>
      </c>
      <c r="O497">
        <v>40.169998</v>
      </c>
      <c r="P497">
        <v>0.09</v>
      </c>
      <c r="Q497">
        <v>0.05</v>
      </c>
      <c r="R497">
        <v>0.04</v>
      </c>
      <c r="S497">
        <v>0.55000000000000004</v>
      </c>
      <c r="T497">
        <v>0.4</v>
      </c>
      <c r="U497">
        <v>9.89</v>
      </c>
      <c r="V497">
        <v>1.67</v>
      </c>
      <c r="W497">
        <v>23.709999</v>
      </c>
      <c r="X497">
        <v>33371.251242999999</v>
      </c>
      <c r="Y497">
        <v>7843542.9398800004</v>
      </c>
    </row>
    <row r="498" spans="1:25" x14ac:dyDescent="0.55000000000000004">
      <c r="A498">
        <v>496</v>
      </c>
      <c r="B498" t="s">
        <v>20</v>
      </c>
      <c r="C498">
        <v>34</v>
      </c>
      <c r="D498">
        <v>4</v>
      </c>
      <c r="E498" t="s">
        <v>85</v>
      </c>
      <c r="F498" t="s">
        <v>86</v>
      </c>
      <c r="G498">
        <v>23</v>
      </c>
      <c r="H498">
        <v>2</v>
      </c>
      <c r="I498">
        <v>23040000</v>
      </c>
      <c r="J498">
        <v>521</v>
      </c>
      <c r="K498">
        <v>0</v>
      </c>
      <c r="L498">
        <v>12677</v>
      </c>
      <c r="M498">
        <v>12.636443999999999</v>
      </c>
      <c r="N498">
        <v>102.436325</v>
      </c>
      <c r="O498">
        <v>3.42</v>
      </c>
      <c r="P498">
        <v>0.15</v>
      </c>
      <c r="Q498">
        <v>0.08</v>
      </c>
      <c r="R498">
        <v>4.88</v>
      </c>
      <c r="S498">
        <v>2.09</v>
      </c>
      <c r="T498">
        <v>5.81</v>
      </c>
      <c r="U498">
        <v>20.149999999999999</v>
      </c>
      <c r="V498">
        <v>7.7</v>
      </c>
      <c r="W498">
        <v>9.84</v>
      </c>
      <c r="X498">
        <v>34299.368044000003</v>
      </c>
      <c r="Y498">
        <v>66779123.725299999</v>
      </c>
    </row>
    <row r="499" spans="1:25" x14ac:dyDescent="0.55000000000000004">
      <c r="A499">
        <v>497</v>
      </c>
      <c r="B499" t="s">
        <v>20</v>
      </c>
      <c r="C499">
        <v>34</v>
      </c>
      <c r="D499">
        <v>4</v>
      </c>
      <c r="E499" t="s">
        <v>85</v>
      </c>
      <c r="F499" t="s">
        <v>86</v>
      </c>
      <c r="G499">
        <v>23</v>
      </c>
      <c r="H499">
        <v>2</v>
      </c>
      <c r="I499">
        <v>23040000</v>
      </c>
      <c r="J499">
        <v>522</v>
      </c>
      <c r="K499">
        <v>0</v>
      </c>
      <c r="L499">
        <v>12557</v>
      </c>
      <c r="M499">
        <v>12.555313</v>
      </c>
      <c r="N499">
        <v>102.436325</v>
      </c>
      <c r="O499">
        <v>4.0599999999999996</v>
      </c>
      <c r="P499">
        <v>0.01</v>
      </c>
      <c r="Q499">
        <v>0.03</v>
      </c>
      <c r="R499">
        <v>0.09</v>
      </c>
      <c r="S499">
        <v>3.2</v>
      </c>
      <c r="T499">
        <v>1.71</v>
      </c>
      <c r="U499">
        <v>3.84</v>
      </c>
      <c r="V499">
        <v>10.08</v>
      </c>
      <c r="W499">
        <v>8.01</v>
      </c>
      <c r="X499">
        <v>18085.027119999999</v>
      </c>
      <c r="Y499">
        <v>12466825.090700001</v>
      </c>
    </row>
    <row r="500" spans="1:25" x14ac:dyDescent="0.55000000000000004">
      <c r="A500">
        <v>498</v>
      </c>
      <c r="B500" t="s">
        <v>20</v>
      </c>
      <c r="C500">
        <v>34</v>
      </c>
      <c r="D500">
        <v>4</v>
      </c>
      <c r="E500" t="s">
        <v>85</v>
      </c>
      <c r="F500" t="s">
        <v>86</v>
      </c>
      <c r="G500">
        <v>23</v>
      </c>
      <c r="H500">
        <v>2</v>
      </c>
      <c r="I500">
        <v>23040000</v>
      </c>
      <c r="J500">
        <v>523</v>
      </c>
      <c r="K500">
        <v>0</v>
      </c>
      <c r="L500">
        <v>12437</v>
      </c>
      <c r="M500">
        <v>12.474159</v>
      </c>
      <c r="N500">
        <v>102.436325</v>
      </c>
      <c r="O500">
        <v>5.04</v>
      </c>
      <c r="P500">
        <v>0.09</v>
      </c>
      <c r="Q500">
        <v>0.03</v>
      </c>
      <c r="R500">
        <v>0.11</v>
      </c>
      <c r="S500">
        <v>5.51</v>
      </c>
      <c r="T500">
        <v>0.92</v>
      </c>
      <c r="U500">
        <v>8.52</v>
      </c>
      <c r="V500">
        <v>1.87</v>
      </c>
      <c r="W500">
        <v>10.29</v>
      </c>
      <c r="X500">
        <v>582.04715399999998</v>
      </c>
      <c r="Y500">
        <v>17504.599558999998</v>
      </c>
    </row>
    <row r="501" spans="1:25" x14ac:dyDescent="0.55000000000000004">
      <c r="A501">
        <v>499</v>
      </c>
      <c r="B501" t="s">
        <v>20</v>
      </c>
      <c r="C501">
        <v>34</v>
      </c>
      <c r="D501">
        <v>4</v>
      </c>
      <c r="E501" t="s">
        <v>85</v>
      </c>
      <c r="F501" t="s">
        <v>86</v>
      </c>
      <c r="G501">
        <v>23</v>
      </c>
      <c r="H501">
        <v>2</v>
      </c>
      <c r="I501">
        <v>23040000</v>
      </c>
      <c r="J501">
        <v>524</v>
      </c>
      <c r="K501">
        <v>0</v>
      </c>
      <c r="L501">
        <v>12678</v>
      </c>
      <c r="M501">
        <v>12.636443999999999</v>
      </c>
      <c r="N501">
        <v>102.51946</v>
      </c>
      <c r="O501">
        <v>6.91</v>
      </c>
      <c r="P501">
        <v>0.1</v>
      </c>
      <c r="Q501">
        <v>0.28999999999999998</v>
      </c>
      <c r="R501">
        <v>4.51</v>
      </c>
      <c r="S501">
        <v>6.38</v>
      </c>
      <c r="T501">
        <v>12.66</v>
      </c>
      <c r="U501">
        <v>16.399999999999999</v>
      </c>
      <c r="V501">
        <v>0.56000000000000005</v>
      </c>
      <c r="W501">
        <v>14.28</v>
      </c>
      <c r="X501">
        <v>35427.285830000001</v>
      </c>
      <c r="Y501">
        <v>68860076.417500004</v>
      </c>
    </row>
    <row r="502" spans="1:25" x14ac:dyDescent="0.55000000000000004">
      <c r="A502">
        <v>500</v>
      </c>
      <c r="B502" t="s">
        <v>20</v>
      </c>
      <c r="C502">
        <v>34</v>
      </c>
      <c r="D502">
        <v>4</v>
      </c>
      <c r="E502" t="s">
        <v>85</v>
      </c>
      <c r="F502" t="s">
        <v>86</v>
      </c>
      <c r="G502">
        <v>23</v>
      </c>
      <c r="H502">
        <v>2</v>
      </c>
      <c r="I502">
        <v>23040000</v>
      </c>
      <c r="J502">
        <v>525</v>
      </c>
      <c r="K502">
        <v>0</v>
      </c>
      <c r="L502">
        <v>12558</v>
      </c>
      <c r="M502">
        <v>12.555313</v>
      </c>
      <c r="N502">
        <v>102.51946</v>
      </c>
      <c r="O502">
        <v>21.809999000000001</v>
      </c>
      <c r="P502">
        <v>0.24</v>
      </c>
      <c r="Q502">
        <v>0.13</v>
      </c>
      <c r="R502">
        <v>0.09</v>
      </c>
      <c r="S502">
        <v>5.01</v>
      </c>
      <c r="T502">
        <v>4.3099999999999996</v>
      </c>
      <c r="U502">
        <v>19.350000000000001</v>
      </c>
      <c r="V502">
        <v>8.0299999999999994</v>
      </c>
      <c r="W502">
        <v>10.199999999999999</v>
      </c>
      <c r="X502">
        <v>35755.872898000001</v>
      </c>
      <c r="Y502">
        <v>79896814.669599995</v>
      </c>
    </row>
    <row r="503" spans="1:25" x14ac:dyDescent="0.55000000000000004">
      <c r="A503">
        <v>501</v>
      </c>
      <c r="B503" t="s">
        <v>20</v>
      </c>
      <c r="C503">
        <v>34</v>
      </c>
      <c r="D503">
        <v>4</v>
      </c>
      <c r="E503" t="s">
        <v>85</v>
      </c>
      <c r="F503" t="s">
        <v>86</v>
      </c>
      <c r="G503">
        <v>23</v>
      </c>
      <c r="H503">
        <v>2</v>
      </c>
      <c r="I503">
        <v>23040000</v>
      </c>
      <c r="J503">
        <v>552</v>
      </c>
      <c r="K503">
        <v>0</v>
      </c>
      <c r="L503">
        <v>12796</v>
      </c>
      <c r="M503">
        <v>12.717560000000001</v>
      </c>
      <c r="N503">
        <v>102.35319</v>
      </c>
      <c r="O503">
        <v>1.5</v>
      </c>
      <c r="P503">
        <v>0.03</v>
      </c>
      <c r="Q503">
        <v>2.89</v>
      </c>
      <c r="R503">
        <v>6.88</v>
      </c>
      <c r="S503">
        <v>3.84</v>
      </c>
      <c r="T503">
        <v>22.870000999999998</v>
      </c>
      <c r="U503">
        <v>28.59</v>
      </c>
      <c r="V503">
        <v>0.43</v>
      </c>
      <c r="W503">
        <v>18.829999999999998</v>
      </c>
      <c r="X503">
        <v>4986.3365229999999</v>
      </c>
      <c r="Y503">
        <v>428890.821092</v>
      </c>
    </row>
    <row r="504" spans="1:25" x14ac:dyDescent="0.55000000000000004">
      <c r="A504">
        <v>502</v>
      </c>
      <c r="B504" t="s">
        <v>20</v>
      </c>
      <c r="C504">
        <v>34</v>
      </c>
      <c r="D504">
        <v>4</v>
      </c>
      <c r="E504" t="s">
        <v>85</v>
      </c>
      <c r="F504" t="s">
        <v>86</v>
      </c>
      <c r="G504">
        <v>23</v>
      </c>
      <c r="H504">
        <v>2</v>
      </c>
      <c r="I504">
        <v>23040000</v>
      </c>
      <c r="J504">
        <v>558</v>
      </c>
      <c r="K504">
        <v>0</v>
      </c>
      <c r="L504">
        <v>12797</v>
      </c>
      <c r="M504">
        <v>12.717560000000001</v>
      </c>
      <c r="N504">
        <v>102.436325</v>
      </c>
      <c r="O504">
        <v>21.59</v>
      </c>
      <c r="P504">
        <v>0.49</v>
      </c>
      <c r="Q504">
        <v>0.68</v>
      </c>
      <c r="R504">
        <v>11.2</v>
      </c>
      <c r="S504">
        <v>4.28</v>
      </c>
      <c r="T504">
        <v>28.68</v>
      </c>
      <c r="U504">
        <v>9.84</v>
      </c>
      <c r="V504">
        <v>0.69</v>
      </c>
      <c r="W504">
        <v>16.379999000000002</v>
      </c>
      <c r="X504">
        <v>30911.151000999998</v>
      </c>
      <c r="Y504">
        <v>44945678.696099997</v>
      </c>
    </row>
    <row r="505" spans="1:25" x14ac:dyDescent="0.55000000000000004">
      <c r="A505">
        <v>503</v>
      </c>
      <c r="B505" t="s">
        <v>20</v>
      </c>
      <c r="C505">
        <v>34</v>
      </c>
      <c r="D505">
        <v>4</v>
      </c>
      <c r="E505" t="s">
        <v>85</v>
      </c>
      <c r="F505" t="s">
        <v>86</v>
      </c>
      <c r="G505">
        <v>23</v>
      </c>
      <c r="H505">
        <v>2</v>
      </c>
      <c r="I505">
        <v>23040000</v>
      </c>
      <c r="J505">
        <v>560</v>
      </c>
      <c r="K505">
        <v>0</v>
      </c>
      <c r="L505">
        <v>12798</v>
      </c>
      <c r="M505">
        <v>12.717560000000001</v>
      </c>
      <c r="N505">
        <v>102.51946</v>
      </c>
      <c r="O505">
        <v>34.57</v>
      </c>
      <c r="P505">
        <v>0.61</v>
      </c>
      <c r="Q505">
        <v>0.37</v>
      </c>
      <c r="R505">
        <v>21.92</v>
      </c>
      <c r="S505">
        <v>10.58</v>
      </c>
      <c r="T505">
        <v>50.459999000000003</v>
      </c>
      <c r="U505">
        <v>0.32</v>
      </c>
      <c r="V505">
        <v>3.26</v>
      </c>
      <c r="W505">
        <v>0.93</v>
      </c>
      <c r="X505">
        <v>24934.558540999999</v>
      </c>
      <c r="Y505">
        <v>23684015.992899999</v>
      </c>
    </row>
    <row r="506" spans="1:25" x14ac:dyDescent="0.55000000000000004">
      <c r="A506">
        <v>504</v>
      </c>
      <c r="B506" t="s">
        <v>20</v>
      </c>
      <c r="C506">
        <v>34</v>
      </c>
      <c r="D506">
        <v>4</v>
      </c>
      <c r="E506" t="s">
        <v>85</v>
      </c>
      <c r="F506" t="s">
        <v>86</v>
      </c>
      <c r="G506">
        <v>23</v>
      </c>
      <c r="H506">
        <v>2</v>
      </c>
      <c r="I506">
        <v>23040000</v>
      </c>
      <c r="J506">
        <v>571</v>
      </c>
      <c r="K506">
        <v>0</v>
      </c>
      <c r="L506">
        <v>12440</v>
      </c>
      <c r="M506">
        <v>12.474159</v>
      </c>
      <c r="N506">
        <v>102.68574</v>
      </c>
      <c r="O506">
        <v>38.650002000000001</v>
      </c>
      <c r="P506">
        <v>2.66</v>
      </c>
      <c r="Q506">
        <v>0.32</v>
      </c>
      <c r="R506">
        <v>0.08</v>
      </c>
      <c r="S506">
        <v>0.03</v>
      </c>
      <c r="T506">
        <v>18.399999999999999</v>
      </c>
      <c r="U506">
        <v>2.72</v>
      </c>
      <c r="V506">
        <v>0.45</v>
      </c>
      <c r="W506">
        <v>17.799999</v>
      </c>
      <c r="X506">
        <v>38226.168949999999</v>
      </c>
      <c r="Y506">
        <v>79117161.806700006</v>
      </c>
    </row>
    <row r="507" spans="1:25" x14ac:dyDescent="0.55000000000000004">
      <c r="A507">
        <v>505</v>
      </c>
      <c r="B507" t="s">
        <v>20</v>
      </c>
      <c r="C507">
        <v>34</v>
      </c>
      <c r="D507">
        <v>4</v>
      </c>
      <c r="E507" t="s">
        <v>85</v>
      </c>
      <c r="F507" t="s">
        <v>86</v>
      </c>
      <c r="G507">
        <v>23</v>
      </c>
      <c r="H507">
        <v>2</v>
      </c>
      <c r="I507">
        <v>23040000</v>
      </c>
      <c r="J507">
        <v>572</v>
      </c>
      <c r="K507">
        <v>0</v>
      </c>
      <c r="L507">
        <v>12319</v>
      </c>
      <c r="M507">
        <v>12.392967000000001</v>
      </c>
      <c r="N507">
        <v>102.6026</v>
      </c>
      <c r="O507">
        <v>3.52</v>
      </c>
      <c r="P507">
        <v>0.56999999999999995</v>
      </c>
      <c r="Q507">
        <v>0.23</v>
      </c>
      <c r="R507">
        <v>0.22</v>
      </c>
      <c r="S507">
        <v>7.44</v>
      </c>
      <c r="T507">
        <v>1.02</v>
      </c>
      <c r="U507">
        <v>9.08</v>
      </c>
      <c r="V507">
        <v>5.84</v>
      </c>
      <c r="W507">
        <v>21.65</v>
      </c>
      <c r="X507">
        <v>17024.374324</v>
      </c>
      <c r="Y507">
        <v>15237571.1143</v>
      </c>
    </row>
    <row r="508" spans="1:25" x14ac:dyDescent="0.55000000000000004">
      <c r="A508">
        <v>506</v>
      </c>
      <c r="B508" t="s">
        <v>20</v>
      </c>
      <c r="C508">
        <v>34</v>
      </c>
      <c r="D508">
        <v>4</v>
      </c>
      <c r="E508" t="s">
        <v>85</v>
      </c>
      <c r="F508" t="s">
        <v>86</v>
      </c>
      <c r="G508">
        <v>23</v>
      </c>
      <c r="H508">
        <v>2</v>
      </c>
      <c r="I508">
        <v>23040000</v>
      </c>
      <c r="J508">
        <v>573</v>
      </c>
      <c r="K508">
        <v>0</v>
      </c>
      <c r="L508">
        <v>12320</v>
      </c>
      <c r="M508">
        <v>12.392967000000001</v>
      </c>
      <c r="N508">
        <v>102.68574</v>
      </c>
      <c r="O508">
        <v>21.23</v>
      </c>
      <c r="P508">
        <v>2.25</v>
      </c>
      <c r="Q508">
        <v>0.01</v>
      </c>
      <c r="R508">
        <v>0.01</v>
      </c>
      <c r="S508">
        <v>0.24</v>
      </c>
      <c r="T508">
        <v>10.8</v>
      </c>
      <c r="U508">
        <v>2.2000000000000002</v>
      </c>
      <c r="V508">
        <v>3.46</v>
      </c>
      <c r="W508">
        <v>51.450001</v>
      </c>
      <c r="X508">
        <v>28200.554856999999</v>
      </c>
      <c r="Y508">
        <v>32742436.414799999</v>
      </c>
    </row>
    <row r="509" spans="1:25" x14ac:dyDescent="0.55000000000000004">
      <c r="A509">
        <v>507</v>
      </c>
      <c r="B509" t="s">
        <v>20</v>
      </c>
      <c r="C509">
        <v>34</v>
      </c>
      <c r="D509">
        <v>4</v>
      </c>
      <c r="E509" t="s">
        <v>85</v>
      </c>
      <c r="F509" t="s">
        <v>86</v>
      </c>
      <c r="G509">
        <v>23</v>
      </c>
      <c r="H509">
        <v>2</v>
      </c>
      <c r="I509">
        <v>23040000</v>
      </c>
      <c r="J509">
        <v>577</v>
      </c>
      <c r="K509">
        <v>0</v>
      </c>
      <c r="L509">
        <v>12321</v>
      </c>
      <c r="M509">
        <v>12.392967000000001</v>
      </c>
      <c r="N509">
        <v>102.76887000000001</v>
      </c>
      <c r="O509">
        <v>84.660004000000001</v>
      </c>
      <c r="P509">
        <v>2.64</v>
      </c>
      <c r="Q509">
        <v>0.01</v>
      </c>
      <c r="R509">
        <v>0.02</v>
      </c>
      <c r="S509">
        <v>2.2000000000000002</v>
      </c>
      <c r="T509">
        <v>42.099997999999999</v>
      </c>
      <c r="U509">
        <v>3.85</v>
      </c>
      <c r="V509">
        <v>1.07</v>
      </c>
      <c r="W509">
        <v>30.709999</v>
      </c>
      <c r="X509">
        <v>15732.591675</v>
      </c>
      <c r="Y509">
        <v>8398053.8925700001</v>
      </c>
    </row>
    <row r="510" spans="1:25" x14ac:dyDescent="0.55000000000000004">
      <c r="A510">
        <v>508</v>
      </c>
      <c r="B510" t="s">
        <v>20</v>
      </c>
      <c r="C510">
        <v>34</v>
      </c>
      <c r="D510">
        <v>4</v>
      </c>
      <c r="E510" t="s">
        <v>85</v>
      </c>
      <c r="F510" t="s">
        <v>86</v>
      </c>
      <c r="G510">
        <v>23</v>
      </c>
      <c r="H510">
        <v>2</v>
      </c>
      <c r="I510">
        <v>23040000</v>
      </c>
      <c r="J510">
        <v>578</v>
      </c>
      <c r="K510">
        <v>0</v>
      </c>
      <c r="L510">
        <v>12441</v>
      </c>
      <c r="M510">
        <v>12.474159</v>
      </c>
      <c r="N510">
        <v>102.76887000000001</v>
      </c>
      <c r="O510">
        <v>33.849997999999999</v>
      </c>
      <c r="P510">
        <v>0.4</v>
      </c>
      <c r="Q510">
        <v>0</v>
      </c>
      <c r="R510">
        <v>0</v>
      </c>
      <c r="S510">
        <v>5.96</v>
      </c>
      <c r="T510">
        <v>56.860000999999997</v>
      </c>
      <c r="U510">
        <v>2.67</v>
      </c>
      <c r="V510">
        <v>0.72</v>
      </c>
      <c r="W510">
        <v>28.33</v>
      </c>
      <c r="X510">
        <v>25403.743492000001</v>
      </c>
      <c r="Y510">
        <v>16819092.873300001</v>
      </c>
    </row>
    <row r="511" spans="1:25" x14ac:dyDescent="0.55000000000000004">
      <c r="A511">
        <v>509</v>
      </c>
      <c r="B511" t="s">
        <v>20</v>
      </c>
      <c r="C511">
        <v>34</v>
      </c>
      <c r="D511">
        <v>4</v>
      </c>
      <c r="E511" t="s">
        <v>85</v>
      </c>
      <c r="F511" t="s">
        <v>86</v>
      </c>
      <c r="G511">
        <v>23</v>
      </c>
      <c r="H511">
        <v>2</v>
      </c>
      <c r="I511">
        <v>23040000</v>
      </c>
      <c r="J511">
        <v>579</v>
      </c>
      <c r="K511">
        <v>0</v>
      </c>
      <c r="L511">
        <v>12560</v>
      </c>
      <c r="M511">
        <v>12.555313</v>
      </c>
      <c r="N511">
        <v>102.68574</v>
      </c>
      <c r="O511">
        <v>28.870000999999998</v>
      </c>
      <c r="P511">
        <v>1.56</v>
      </c>
      <c r="Q511">
        <v>0.16</v>
      </c>
      <c r="R511">
        <v>0.5</v>
      </c>
      <c r="S511">
        <v>0.66</v>
      </c>
      <c r="T511">
        <v>6.81</v>
      </c>
      <c r="U511">
        <v>1.07</v>
      </c>
      <c r="V511">
        <v>0.73</v>
      </c>
      <c r="W511">
        <v>28.610001</v>
      </c>
      <c r="X511">
        <v>30995.648656000001</v>
      </c>
      <c r="Y511">
        <v>29997652.6021</v>
      </c>
    </row>
    <row r="512" spans="1:25" x14ac:dyDescent="0.55000000000000004">
      <c r="A512">
        <v>510</v>
      </c>
      <c r="B512" t="s">
        <v>20</v>
      </c>
      <c r="C512">
        <v>34</v>
      </c>
      <c r="D512">
        <v>4</v>
      </c>
      <c r="E512" t="s">
        <v>85</v>
      </c>
      <c r="F512" t="s">
        <v>86</v>
      </c>
      <c r="G512">
        <v>23</v>
      </c>
      <c r="H512">
        <v>2</v>
      </c>
      <c r="I512">
        <v>23040000</v>
      </c>
      <c r="J512">
        <v>580</v>
      </c>
      <c r="K512">
        <v>0</v>
      </c>
      <c r="L512">
        <v>12559</v>
      </c>
      <c r="M512">
        <v>12.555313</v>
      </c>
      <c r="N512">
        <v>102.6026</v>
      </c>
      <c r="O512">
        <v>65.040001000000004</v>
      </c>
      <c r="P512">
        <v>8.7899999999999991</v>
      </c>
      <c r="Q512">
        <v>0.63</v>
      </c>
      <c r="R512">
        <v>0.62</v>
      </c>
      <c r="S512">
        <v>3.96</v>
      </c>
      <c r="T512">
        <v>0.22</v>
      </c>
      <c r="U512">
        <v>3.08</v>
      </c>
      <c r="V512">
        <v>0.56999999999999995</v>
      </c>
      <c r="W512">
        <v>19.030000999999999</v>
      </c>
      <c r="X512">
        <v>36077.436308999997</v>
      </c>
      <c r="Y512">
        <v>81347973.803100005</v>
      </c>
    </row>
    <row r="513" spans="1:25" x14ac:dyDescent="0.55000000000000004">
      <c r="A513">
        <v>511</v>
      </c>
      <c r="B513" t="s">
        <v>20</v>
      </c>
      <c r="C513">
        <v>34</v>
      </c>
      <c r="D513">
        <v>4</v>
      </c>
      <c r="E513" t="s">
        <v>85</v>
      </c>
      <c r="F513" t="s">
        <v>86</v>
      </c>
      <c r="G513">
        <v>23</v>
      </c>
      <c r="H513">
        <v>2</v>
      </c>
      <c r="I513">
        <v>23040000</v>
      </c>
      <c r="J513">
        <v>582</v>
      </c>
      <c r="K513">
        <v>0</v>
      </c>
      <c r="L513">
        <v>12679</v>
      </c>
      <c r="M513">
        <v>12.636443999999999</v>
      </c>
      <c r="N513">
        <v>102.6026</v>
      </c>
      <c r="O513">
        <v>16.579999999999998</v>
      </c>
      <c r="P513">
        <v>9.5500000000000007</v>
      </c>
      <c r="Q513">
        <v>0.75</v>
      </c>
      <c r="R513">
        <v>6.39</v>
      </c>
      <c r="S513">
        <v>7.15</v>
      </c>
      <c r="T513">
        <v>12.42</v>
      </c>
      <c r="U513">
        <v>1.7</v>
      </c>
      <c r="V513">
        <v>0.59</v>
      </c>
      <c r="W513">
        <v>2.5299999999999998</v>
      </c>
      <c r="X513">
        <v>29263.545289000002</v>
      </c>
      <c r="Y513">
        <v>34803075.483400002</v>
      </c>
    </row>
    <row r="514" spans="1:25" x14ac:dyDescent="0.55000000000000004">
      <c r="A514">
        <v>512</v>
      </c>
      <c r="B514" t="s">
        <v>20</v>
      </c>
      <c r="C514">
        <v>34</v>
      </c>
      <c r="D514">
        <v>4</v>
      </c>
      <c r="E514" t="s">
        <v>85</v>
      </c>
      <c r="F514" t="s">
        <v>86</v>
      </c>
      <c r="G514">
        <v>23</v>
      </c>
      <c r="H514">
        <v>2</v>
      </c>
      <c r="I514">
        <v>23040000</v>
      </c>
      <c r="J514">
        <v>583</v>
      </c>
      <c r="K514">
        <v>0</v>
      </c>
      <c r="L514">
        <v>12680</v>
      </c>
      <c r="M514">
        <v>12.636443999999999</v>
      </c>
      <c r="N514">
        <v>102.68574</v>
      </c>
      <c r="O514">
        <v>5.95</v>
      </c>
      <c r="P514">
        <v>3.51</v>
      </c>
      <c r="Q514">
        <v>0.38</v>
      </c>
      <c r="R514">
        <v>0.77</v>
      </c>
      <c r="S514">
        <v>5.91</v>
      </c>
      <c r="T514">
        <v>2.99</v>
      </c>
      <c r="U514">
        <v>4.0599999999999996</v>
      </c>
      <c r="V514">
        <v>2.23</v>
      </c>
      <c r="W514">
        <v>19.010000000000002</v>
      </c>
      <c r="X514">
        <v>3920.2631710000001</v>
      </c>
      <c r="Y514">
        <v>560103.26425899996</v>
      </c>
    </row>
    <row r="515" spans="1:25" x14ac:dyDescent="0.55000000000000004">
      <c r="A515">
        <v>513</v>
      </c>
      <c r="B515" t="s">
        <v>20</v>
      </c>
      <c r="C515">
        <v>34</v>
      </c>
      <c r="D515">
        <v>4</v>
      </c>
      <c r="E515" t="s">
        <v>85</v>
      </c>
      <c r="F515" t="s">
        <v>86</v>
      </c>
      <c r="G515">
        <v>23</v>
      </c>
      <c r="H515">
        <v>2</v>
      </c>
      <c r="I515">
        <v>23040000</v>
      </c>
      <c r="J515">
        <v>584</v>
      </c>
      <c r="K515">
        <v>0</v>
      </c>
      <c r="L515">
        <v>12439</v>
      </c>
      <c r="M515">
        <v>12.474159</v>
      </c>
      <c r="N515">
        <v>102.6026</v>
      </c>
      <c r="O515">
        <v>10.59</v>
      </c>
      <c r="P515">
        <v>0.21</v>
      </c>
      <c r="Q515">
        <v>0.04</v>
      </c>
      <c r="R515">
        <v>0.12</v>
      </c>
      <c r="S515">
        <v>0.48</v>
      </c>
      <c r="T515">
        <v>2.33</v>
      </c>
      <c r="U515">
        <v>7.34</v>
      </c>
      <c r="V515">
        <v>3.18</v>
      </c>
      <c r="W515">
        <v>34.939999</v>
      </c>
      <c r="X515">
        <v>35744.209624000003</v>
      </c>
      <c r="Y515">
        <v>71343132.495399997</v>
      </c>
    </row>
    <row r="516" spans="1:25" x14ac:dyDescent="0.55000000000000004">
      <c r="A516">
        <v>514</v>
      </c>
      <c r="B516" t="s">
        <v>20</v>
      </c>
      <c r="C516">
        <v>35</v>
      </c>
      <c r="D516">
        <v>5</v>
      </c>
      <c r="E516" t="s">
        <v>87</v>
      </c>
      <c r="F516" t="s">
        <v>88</v>
      </c>
      <c r="G516">
        <v>23</v>
      </c>
      <c r="H516">
        <v>2</v>
      </c>
      <c r="I516">
        <v>23050000</v>
      </c>
      <c r="J516">
        <v>369</v>
      </c>
      <c r="K516">
        <v>0</v>
      </c>
      <c r="L516">
        <v>12075</v>
      </c>
      <c r="M516">
        <v>12.230515</v>
      </c>
      <c r="N516">
        <v>102.27006</v>
      </c>
      <c r="O516">
        <v>0.13</v>
      </c>
      <c r="P516">
        <v>0.03</v>
      </c>
      <c r="Q516">
        <v>0.1</v>
      </c>
      <c r="R516">
        <v>0.02</v>
      </c>
      <c r="S516">
        <v>4.74</v>
      </c>
      <c r="T516">
        <v>0</v>
      </c>
      <c r="U516">
        <v>7.48</v>
      </c>
      <c r="V516">
        <v>29.950001</v>
      </c>
      <c r="W516">
        <v>56.400002000000001</v>
      </c>
      <c r="X516">
        <v>30785.477348</v>
      </c>
      <c r="Y516">
        <v>29157560.275400002</v>
      </c>
    </row>
    <row r="517" spans="1:25" x14ac:dyDescent="0.55000000000000004">
      <c r="A517">
        <v>515</v>
      </c>
      <c r="B517" t="s">
        <v>20</v>
      </c>
      <c r="C517">
        <v>35</v>
      </c>
      <c r="D517">
        <v>5</v>
      </c>
      <c r="E517" t="s">
        <v>87</v>
      </c>
      <c r="F517" t="s">
        <v>88</v>
      </c>
      <c r="G517">
        <v>23</v>
      </c>
      <c r="H517">
        <v>2</v>
      </c>
      <c r="I517">
        <v>23050000</v>
      </c>
      <c r="J517">
        <v>380</v>
      </c>
      <c r="K517">
        <v>0</v>
      </c>
      <c r="L517">
        <v>11955</v>
      </c>
      <c r="M517">
        <v>12.149254000000001</v>
      </c>
      <c r="N517">
        <v>102.27006</v>
      </c>
      <c r="O517">
        <v>0.43</v>
      </c>
      <c r="P517">
        <v>0.18</v>
      </c>
      <c r="Q517">
        <v>0.25</v>
      </c>
      <c r="R517">
        <v>0</v>
      </c>
      <c r="S517">
        <v>22.18</v>
      </c>
      <c r="T517">
        <v>2.91</v>
      </c>
      <c r="U517">
        <v>12.82</v>
      </c>
      <c r="V517">
        <v>6.5</v>
      </c>
      <c r="W517">
        <v>14.42</v>
      </c>
      <c r="X517">
        <v>5713.5732500000004</v>
      </c>
      <c r="Y517">
        <v>679122.23116800003</v>
      </c>
    </row>
    <row r="518" spans="1:25" x14ac:dyDescent="0.55000000000000004">
      <c r="A518">
        <v>516</v>
      </c>
      <c r="B518" t="s">
        <v>20</v>
      </c>
      <c r="C518">
        <v>35</v>
      </c>
      <c r="D518">
        <v>5</v>
      </c>
      <c r="E518" t="s">
        <v>87</v>
      </c>
      <c r="F518" t="s">
        <v>88</v>
      </c>
      <c r="G518">
        <v>23</v>
      </c>
      <c r="H518">
        <v>2</v>
      </c>
      <c r="I518">
        <v>23050000</v>
      </c>
      <c r="J518">
        <v>381</v>
      </c>
      <c r="K518">
        <v>0</v>
      </c>
      <c r="L518">
        <v>12076</v>
      </c>
      <c r="M518">
        <v>12.230515</v>
      </c>
      <c r="N518">
        <v>102.35319</v>
      </c>
      <c r="O518">
        <v>0</v>
      </c>
      <c r="P518">
        <v>0.13</v>
      </c>
      <c r="Q518">
        <v>0.08</v>
      </c>
      <c r="R518">
        <v>0</v>
      </c>
      <c r="S518">
        <v>0.14000000000000001</v>
      </c>
      <c r="T518">
        <v>1.68</v>
      </c>
      <c r="U518">
        <v>15.86</v>
      </c>
      <c r="V518">
        <v>16.489999999999998</v>
      </c>
      <c r="W518">
        <v>42.720001000000003</v>
      </c>
      <c r="X518">
        <v>37395.406039000001</v>
      </c>
      <c r="Y518">
        <v>71409506.253800005</v>
      </c>
    </row>
    <row r="519" spans="1:25" x14ac:dyDescent="0.55000000000000004">
      <c r="A519">
        <v>517</v>
      </c>
      <c r="B519" t="s">
        <v>20</v>
      </c>
      <c r="C519">
        <v>35</v>
      </c>
      <c r="D519">
        <v>5</v>
      </c>
      <c r="E519" t="s">
        <v>87</v>
      </c>
      <c r="F519" t="s">
        <v>88</v>
      </c>
      <c r="G519">
        <v>23</v>
      </c>
      <c r="H519">
        <v>2</v>
      </c>
      <c r="I519">
        <v>23050000</v>
      </c>
      <c r="J519">
        <v>382</v>
      </c>
      <c r="K519">
        <v>0</v>
      </c>
      <c r="L519">
        <v>11956</v>
      </c>
      <c r="M519">
        <v>12.149254000000001</v>
      </c>
      <c r="N519">
        <v>102.35319</v>
      </c>
      <c r="O519">
        <v>0.69</v>
      </c>
      <c r="P519">
        <v>0.17</v>
      </c>
      <c r="Q519">
        <v>0.28999999999999998</v>
      </c>
      <c r="R519">
        <v>0.11</v>
      </c>
      <c r="S519">
        <v>2.7</v>
      </c>
      <c r="T519">
        <v>0.03</v>
      </c>
      <c r="U519">
        <v>41.110000999999997</v>
      </c>
      <c r="V519">
        <v>3.64</v>
      </c>
      <c r="W519">
        <v>13.03</v>
      </c>
      <c r="X519">
        <v>16558.372104999999</v>
      </c>
      <c r="Y519">
        <v>4815414.3451899998</v>
      </c>
    </row>
    <row r="520" spans="1:25" x14ac:dyDescent="0.55000000000000004">
      <c r="A520">
        <v>518</v>
      </c>
      <c r="B520" t="s">
        <v>20</v>
      </c>
      <c r="C520">
        <v>35</v>
      </c>
      <c r="D520">
        <v>5</v>
      </c>
      <c r="E520" t="s">
        <v>87</v>
      </c>
      <c r="F520" t="s">
        <v>88</v>
      </c>
      <c r="G520">
        <v>23</v>
      </c>
      <c r="H520">
        <v>2</v>
      </c>
      <c r="I520">
        <v>23050000</v>
      </c>
      <c r="J520">
        <v>389</v>
      </c>
      <c r="K520">
        <v>0</v>
      </c>
      <c r="L520">
        <v>12077</v>
      </c>
      <c r="M520">
        <v>12.230515</v>
      </c>
      <c r="N520">
        <v>102.436325</v>
      </c>
      <c r="O520">
        <v>1.21</v>
      </c>
      <c r="P520">
        <v>0.01</v>
      </c>
      <c r="Q520">
        <v>0.04</v>
      </c>
      <c r="R520">
        <v>0</v>
      </c>
      <c r="S520">
        <v>0</v>
      </c>
      <c r="T520">
        <v>8.19</v>
      </c>
      <c r="U520">
        <v>7.06</v>
      </c>
      <c r="V520">
        <v>9.57</v>
      </c>
      <c r="W520">
        <v>34.560001</v>
      </c>
      <c r="X520">
        <v>31223.641635</v>
      </c>
      <c r="Y520">
        <v>32449788.767700002</v>
      </c>
    </row>
    <row r="521" spans="1:25" x14ac:dyDescent="0.55000000000000004">
      <c r="A521">
        <v>519</v>
      </c>
      <c r="B521" t="s">
        <v>20</v>
      </c>
      <c r="C521">
        <v>35</v>
      </c>
      <c r="D521">
        <v>5</v>
      </c>
      <c r="E521" t="s">
        <v>87</v>
      </c>
      <c r="F521" t="s">
        <v>88</v>
      </c>
      <c r="G521">
        <v>23</v>
      </c>
      <c r="H521">
        <v>2</v>
      </c>
      <c r="I521">
        <v>23050000</v>
      </c>
      <c r="J521">
        <v>390</v>
      </c>
      <c r="K521">
        <v>0</v>
      </c>
      <c r="L521">
        <v>11957</v>
      </c>
      <c r="M521">
        <v>12.149254000000001</v>
      </c>
      <c r="N521">
        <v>102.436325</v>
      </c>
      <c r="O521">
        <v>0.01</v>
      </c>
      <c r="P521">
        <v>0.05</v>
      </c>
      <c r="Q521">
        <v>0.11</v>
      </c>
      <c r="R521">
        <v>0.26</v>
      </c>
      <c r="S521">
        <v>0.06</v>
      </c>
      <c r="T521">
        <v>0.55000000000000004</v>
      </c>
      <c r="U521">
        <v>10.73</v>
      </c>
      <c r="V521">
        <v>5.59</v>
      </c>
      <c r="W521">
        <v>8.5500000000000007</v>
      </c>
      <c r="X521">
        <v>22649.469601000001</v>
      </c>
      <c r="Y521">
        <v>20621408.481199998</v>
      </c>
    </row>
    <row r="522" spans="1:25" x14ac:dyDescent="0.55000000000000004">
      <c r="A522">
        <v>520</v>
      </c>
      <c r="B522" t="s">
        <v>20</v>
      </c>
      <c r="C522">
        <v>35</v>
      </c>
      <c r="D522">
        <v>5</v>
      </c>
      <c r="E522" t="s">
        <v>87</v>
      </c>
      <c r="F522" t="s">
        <v>88</v>
      </c>
      <c r="G522">
        <v>23</v>
      </c>
      <c r="H522">
        <v>2</v>
      </c>
      <c r="I522">
        <v>23050000</v>
      </c>
      <c r="J522">
        <v>506</v>
      </c>
      <c r="K522">
        <v>0</v>
      </c>
      <c r="L522">
        <v>12195</v>
      </c>
      <c r="M522">
        <v>12.311752</v>
      </c>
      <c r="N522">
        <v>102.27006</v>
      </c>
      <c r="O522">
        <v>0.44</v>
      </c>
      <c r="P522">
        <v>0.04</v>
      </c>
      <c r="Q522">
        <v>0.28000000000000003</v>
      </c>
      <c r="R522">
        <v>0.06</v>
      </c>
      <c r="S522">
        <v>1.67</v>
      </c>
      <c r="T522">
        <v>0.26</v>
      </c>
      <c r="U522">
        <v>16.719999000000001</v>
      </c>
      <c r="V522">
        <v>9.58</v>
      </c>
      <c r="W522">
        <v>38.689999</v>
      </c>
      <c r="X522">
        <v>13510.624763</v>
      </c>
      <c r="Y522">
        <v>4206105.6279100003</v>
      </c>
    </row>
    <row r="523" spans="1:25" x14ac:dyDescent="0.55000000000000004">
      <c r="A523">
        <v>521</v>
      </c>
      <c r="B523" t="s">
        <v>20</v>
      </c>
      <c r="C523">
        <v>35</v>
      </c>
      <c r="D523">
        <v>5</v>
      </c>
      <c r="E523" t="s">
        <v>87</v>
      </c>
      <c r="F523" t="s">
        <v>88</v>
      </c>
      <c r="G523">
        <v>23</v>
      </c>
      <c r="H523">
        <v>2</v>
      </c>
      <c r="I523">
        <v>23050000</v>
      </c>
      <c r="J523">
        <v>507</v>
      </c>
      <c r="K523">
        <v>0</v>
      </c>
      <c r="L523">
        <v>12196</v>
      </c>
      <c r="M523">
        <v>12.311752</v>
      </c>
      <c r="N523">
        <v>102.35319</v>
      </c>
      <c r="O523">
        <v>0.45</v>
      </c>
      <c r="P523">
        <v>0.01</v>
      </c>
      <c r="Q523">
        <v>0.03</v>
      </c>
      <c r="R523">
        <v>0</v>
      </c>
      <c r="S523">
        <v>4.8</v>
      </c>
      <c r="T523">
        <v>1.42</v>
      </c>
      <c r="U523">
        <v>2.83</v>
      </c>
      <c r="V523">
        <v>18.850000000000001</v>
      </c>
      <c r="W523">
        <v>35.279998999999997</v>
      </c>
      <c r="X523">
        <v>9234.6542200000004</v>
      </c>
      <c r="Y523">
        <v>2780175.8919899999</v>
      </c>
    </row>
    <row r="524" spans="1:25" x14ac:dyDescent="0.55000000000000004">
      <c r="A524">
        <v>522</v>
      </c>
      <c r="B524" t="s">
        <v>20</v>
      </c>
      <c r="C524">
        <v>35</v>
      </c>
      <c r="D524">
        <v>5</v>
      </c>
      <c r="E524" t="s">
        <v>87</v>
      </c>
      <c r="F524" t="s">
        <v>88</v>
      </c>
      <c r="G524">
        <v>23</v>
      </c>
      <c r="H524">
        <v>2</v>
      </c>
      <c r="I524">
        <v>23050000</v>
      </c>
      <c r="J524">
        <v>516</v>
      </c>
      <c r="K524">
        <v>0</v>
      </c>
      <c r="L524">
        <v>12197</v>
      </c>
      <c r="M524">
        <v>12.311752</v>
      </c>
      <c r="N524">
        <v>102.436325</v>
      </c>
      <c r="O524">
        <v>4.76</v>
      </c>
      <c r="P524">
        <v>0.02</v>
      </c>
      <c r="Q524">
        <v>0.05</v>
      </c>
      <c r="R524">
        <v>0.11</v>
      </c>
      <c r="S524">
        <v>1.07</v>
      </c>
      <c r="T524">
        <v>6.47</v>
      </c>
      <c r="U524">
        <v>5.94</v>
      </c>
      <c r="V524">
        <v>6.09</v>
      </c>
      <c r="W524">
        <v>55.970001000000003</v>
      </c>
      <c r="X524">
        <v>2199.0026720000001</v>
      </c>
      <c r="Y524">
        <v>86838.556379999995</v>
      </c>
    </row>
    <row r="525" spans="1:25" x14ac:dyDescent="0.55000000000000004">
      <c r="A525">
        <v>523</v>
      </c>
      <c r="B525" t="s">
        <v>20</v>
      </c>
      <c r="C525">
        <v>36</v>
      </c>
      <c r="D525">
        <v>6</v>
      </c>
      <c r="E525" t="s">
        <v>89</v>
      </c>
      <c r="F525" t="s">
        <v>90</v>
      </c>
      <c r="G525">
        <v>23</v>
      </c>
      <c r="H525">
        <v>2</v>
      </c>
      <c r="I525">
        <v>23060000</v>
      </c>
      <c r="J525">
        <v>336</v>
      </c>
      <c r="K525">
        <v>0</v>
      </c>
      <c r="L525">
        <v>11476</v>
      </c>
      <c r="M525">
        <v>11.823959</v>
      </c>
      <c r="N525">
        <v>102.35319</v>
      </c>
      <c r="O525">
        <v>2.3199999999999998</v>
      </c>
      <c r="P525">
        <v>0.93</v>
      </c>
      <c r="Q525">
        <v>0.41</v>
      </c>
      <c r="R525">
        <v>0.79</v>
      </c>
      <c r="S525">
        <v>9.7100000000000009</v>
      </c>
      <c r="T525">
        <v>0.56999999999999995</v>
      </c>
      <c r="U525">
        <v>3.38</v>
      </c>
      <c r="V525">
        <v>5.88</v>
      </c>
      <c r="W525">
        <v>5.59</v>
      </c>
      <c r="X525">
        <v>11248.354501</v>
      </c>
      <c r="Y525">
        <v>2586487.6497</v>
      </c>
    </row>
    <row r="526" spans="1:25" x14ac:dyDescent="0.55000000000000004">
      <c r="A526">
        <v>524</v>
      </c>
      <c r="B526" t="s">
        <v>20</v>
      </c>
      <c r="C526">
        <v>36</v>
      </c>
      <c r="D526">
        <v>6</v>
      </c>
      <c r="E526" t="s">
        <v>89</v>
      </c>
      <c r="F526" t="s">
        <v>90</v>
      </c>
      <c r="G526">
        <v>23</v>
      </c>
      <c r="H526">
        <v>2</v>
      </c>
      <c r="I526">
        <v>23060000</v>
      </c>
      <c r="J526">
        <v>339</v>
      </c>
      <c r="K526">
        <v>0</v>
      </c>
      <c r="L526">
        <v>11477</v>
      </c>
      <c r="M526">
        <v>11.823959</v>
      </c>
      <c r="N526">
        <v>102.436325</v>
      </c>
      <c r="O526">
        <v>0.04</v>
      </c>
      <c r="P526">
        <v>0.37</v>
      </c>
      <c r="Q526">
        <v>0.31</v>
      </c>
      <c r="R526">
        <v>0.11</v>
      </c>
      <c r="S526">
        <v>3.7</v>
      </c>
      <c r="T526">
        <v>1.38</v>
      </c>
      <c r="U526">
        <v>0.55000000000000004</v>
      </c>
      <c r="V526">
        <v>8.48</v>
      </c>
      <c r="W526">
        <v>3.32</v>
      </c>
      <c r="X526">
        <v>24572.044937999999</v>
      </c>
      <c r="Y526">
        <v>5529786.8671899997</v>
      </c>
    </row>
    <row r="527" spans="1:25" x14ac:dyDescent="0.55000000000000004">
      <c r="A527">
        <v>525</v>
      </c>
      <c r="B527" t="s">
        <v>20</v>
      </c>
      <c r="C527">
        <v>36</v>
      </c>
      <c r="D527">
        <v>6</v>
      </c>
      <c r="E527" t="s">
        <v>89</v>
      </c>
      <c r="F527" t="s">
        <v>90</v>
      </c>
      <c r="G527">
        <v>23</v>
      </c>
      <c r="H527">
        <v>2</v>
      </c>
      <c r="I527">
        <v>23060000</v>
      </c>
      <c r="J527">
        <v>340</v>
      </c>
      <c r="K527">
        <v>0</v>
      </c>
      <c r="L527">
        <v>11356</v>
      </c>
      <c r="M527">
        <v>11.742577000000001</v>
      </c>
      <c r="N527">
        <v>102.35319</v>
      </c>
      <c r="O527">
        <v>0.1</v>
      </c>
      <c r="P527">
        <v>0.77</v>
      </c>
      <c r="Q527">
        <v>0.05</v>
      </c>
      <c r="R527">
        <v>1.38</v>
      </c>
      <c r="S527">
        <v>4.79</v>
      </c>
      <c r="T527">
        <v>1.64</v>
      </c>
      <c r="U527">
        <v>3.46</v>
      </c>
      <c r="V527">
        <v>6.26</v>
      </c>
      <c r="W527">
        <v>6.57</v>
      </c>
      <c r="X527">
        <v>4563.0259429999996</v>
      </c>
      <c r="Y527">
        <v>596462.78671100002</v>
      </c>
    </row>
    <row r="528" spans="1:25" x14ac:dyDescent="0.55000000000000004">
      <c r="A528">
        <v>526</v>
      </c>
      <c r="B528" t="s">
        <v>20</v>
      </c>
      <c r="C528">
        <v>36</v>
      </c>
      <c r="D528">
        <v>6</v>
      </c>
      <c r="E528" t="s">
        <v>89</v>
      </c>
      <c r="F528" t="s">
        <v>90</v>
      </c>
      <c r="G528">
        <v>23</v>
      </c>
      <c r="H528">
        <v>2</v>
      </c>
      <c r="I528">
        <v>23060000</v>
      </c>
      <c r="J528">
        <v>343</v>
      </c>
      <c r="K528">
        <v>0</v>
      </c>
      <c r="L528">
        <v>11238</v>
      </c>
      <c r="M528">
        <v>11.661171</v>
      </c>
      <c r="N528">
        <v>102.51946</v>
      </c>
      <c r="O528">
        <v>0.85</v>
      </c>
      <c r="P528">
        <v>1.02</v>
      </c>
      <c r="Q528">
        <v>0.35</v>
      </c>
      <c r="R528">
        <v>0.02</v>
      </c>
      <c r="S528">
        <v>0.8</v>
      </c>
      <c r="T528">
        <v>1.58</v>
      </c>
      <c r="U528">
        <v>3.86</v>
      </c>
      <c r="V528">
        <v>7.49</v>
      </c>
      <c r="W528">
        <v>2.2400000000000002</v>
      </c>
      <c r="X528">
        <v>34045.299353000002</v>
      </c>
      <c r="Y528">
        <v>25864121.8717</v>
      </c>
    </row>
    <row r="529" spans="1:25" x14ac:dyDescent="0.55000000000000004">
      <c r="A529">
        <v>527</v>
      </c>
      <c r="B529" t="s">
        <v>20</v>
      </c>
      <c r="C529">
        <v>36</v>
      </c>
      <c r="D529">
        <v>6</v>
      </c>
      <c r="E529" t="s">
        <v>89</v>
      </c>
      <c r="F529" t="s">
        <v>90</v>
      </c>
      <c r="G529">
        <v>23</v>
      </c>
      <c r="H529">
        <v>2</v>
      </c>
      <c r="I529">
        <v>23060000</v>
      </c>
      <c r="J529">
        <v>345</v>
      </c>
      <c r="K529">
        <v>0</v>
      </c>
      <c r="L529">
        <v>11118</v>
      </c>
      <c r="M529">
        <v>11.579734999999999</v>
      </c>
      <c r="N529">
        <v>102.51946</v>
      </c>
      <c r="O529">
        <v>0.34</v>
      </c>
      <c r="P529">
        <v>2.14</v>
      </c>
      <c r="Q529">
        <v>7.0000000000000007E-2</v>
      </c>
      <c r="R529">
        <v>0.39</v>
      </c>
      <c r="S529">
        <v>6.77</v>
      </c>
      <c r="T529">
        <v>0.94</v>
      </c>
      <c r="U529">
        <v>4.07</v>
      </c>
      <c r="V529">
        <v>7.41</v>
      </c>
      <c r="W529">
        <v>2.88</v>
      </c>
      <c r="X529">
        <v>15668.316220000001</v>
      </c>
      <c r="Y529">
        <v>8196039.6891599996</v>
      </c>
    </row>
    <row r="530" spans="1:25" x14ac:dyDescent="0.55000000000000004">
      <c r="A530">
        <v>528</v>
      </c>
      <c r="B530" t="s">
        <v>20</v>
      </c>
      <c r="C530">
        <v>36</v>
      </c>
      <c r="D530">
        <v>6</v>
      </c>
      <c r="E530" t="s">
        <v>89</v>
      </c>
      <c r="F530" t="s">
        <v>90</v>
      </c>
      <c r="G530">
        <v>23</v>
      </c>
      <c r="H530">
        <v>2</v>
      </c>
      <c r="I530">
        <v>23060000</v>
      </c>
      <c r="J530">
        <v>346</v>
      </c>
      <c r="K530">
        <v>0</v>
      </c>
      <c r="L530">
        <v>11478</v>
      </c>
      <c r="M530">
        <v>11.823959</v>
      </c>
      <c r="N530">
        <v>102.51946</v>
      </c>
      <c r="O530">
        <v>0</v>
      </c>
      <c r="P530">
        <v>1.94</v>
      </c>
      <c r="Q530">
        <v>0.03</v>
      </c>
      <c r="R530">
        <v>0</v>
      </c>
      <c r="S530">
        <v>0.89</v>
      </c>
      <c r="T530">
        <v>0.45</v>
      </c>
      <c r="U530">
        <v>2.2000000000000002</v>
      </c>
      <c r="V530">
        <v>7.43</v>
      </c>
      <c r="W530">
        <v>5.21</v>
      </c>
      <c r="X530">
        <v>24343.539338999999</v>
      </c>
      <c r="Y530">
        <v>9445276.0653300006</v>
      </c>
    </row>
    <row r="531" spans="1:25" x14ac:dyDescent="0.55000000000000004">
      <c r="A531">
        <v>529</v>
      </c>
      <c r="B531" t="s">
        <v>20</v>
      </c>
      <c r="C531">
        <v>36</v>
      </c>
      <c r="D531">
        <v>6</v>
      </c>
      <c r="E531" t="s">
        <v>89</v>
      </c>
      <c r="F531" t="s">
        <v>90</v>
      </c>
      <c r="G531">
        <v>23</v>
      </c>
      <c r="H531">
        <v>2</v>
      </c>
      <c r="I531">
        <v>23060000</v>
      </c>
      <c r="J531">
        <v>347</v>
      </c>
      <c r="K531">
        <v>0</v>
      </c>
      <c r="L531">
        <v>11357</v>
      </c>
      <c r="M531">
        <v>11.742577000000001</v>
      </c>
      <c r="N531">
        <v>102.436325</v>
      </c>
      <c r="O531">
        <v>0.56999999999999995</v>
      </c>
      <c r="P531">
        <v>0.35</v>
      </c>
      <c r="Q531">
        <v>0.02</v>
      </c>
      <c r="R531">
        <v>0.25</v>
      </c>
      <c r="S531">
        <v>0.91</v>
      </c>
      <c r="T531">
        <v>1.3</v>
      </c>
      <c r="U531">
        <v>2.68</v>
      </c>
      <c r="V531">
        <v>8.77</v>
      </c>
      <c r="W531">
        <v>4.9400000000000004</v>
      </c>
      <c r="X531">
        <v>1007.889349</v>
      </c>
      <c r="Y531">
        <v>17922.939208</v>
      </c>
    </row>
    <row r="532" spans="1:25" x14ac:dyDescent="0.55000000000000004">
      <c r="A532">
        <v>530</v>
      </c>
      <c r="B532" t="s">
        <v>20</v>
      </c>
      <c r="C532">
        <v>36</v>
      </c>
      <c r="D532">
        <v>6</v>
      </c>
      <c r="E532" t="s">
        <v>89</v>
      </c>
      <c r="F532" t="s">
        <v>90</v>
      </c>
      <c r="G532">
        <v>23</v>
      </c>
      <c r="H532">
        <v>2</v>
      </c>
      <c r="I532">
        <v>23060000</v>
      </c>
      <c r="J532">
        <v>350</v>
      </c>
      <c r="K532">
        <v>0</v>
      </c>
      <c r="L532">
        <v>11358</v>
      </c>
      <c r="M532">
        <v>11.742577000000001</v>
      </c>
      <c r="N532">
        <v>102.51946</v>
      </c>
      <c r="O532">
        <v>0</v>
      </c>
      <c r="P532">
        <v>0.2</v>
      </c>
      <c r="Q532">
        <v>0.27</v>
      </c>
      <c r="R532">
        <v>7.0000000000000007E-2</v>
      </c>
      <c r="S532">
        <v>0.6</v>
      </c>
      <c r="T532">
        <v>2.37</v>
      </c>
      <c r="U532">
        <v>3.36</v>
      </c>
      <c r="V532">
        <v>2.5099999999999998</v>
      </c>
      <c r="W532">
        <v>3.75</v>
      </c>
      <c r="X532">
        <v>24732.341789999999</v>
      </c>
      <c r="Y532">
        <v>15179642.4263</v>
      </c>
    </row>
    <row r="533" spans="1:25" x14ac:dyDescent="0.55000000000000004">
      <c r="A533">
        <v>531</v>
      </c>
      <c r="B533" t="s">
        <v>20</v>
      </c>
      <c r="C533">
        <v>36</v>
      </c>
      <c r="D533">
        <v>6</v>
      </c>
      <c r="E533" t="s">
        <v>89</v>
      </c>
      <c r="F533" t="s">
        <v>90</v>
      </c>
      <c r="G533">
        <v>23</v>
      </c>
      <c r="H533">
        <v>2</v>
      </c>
      <c r="I533">
        <v>23060000</v>
      </c>
      <c r="J533">
        <v>398</v>
      </c>
      <c r="K533">
        <v>0</v>
      </c>
      <c r="L533">
        <v>11119</v>
      </c>
      <c r="M533">
        <v>11.579734999999999</v>
      </c>
      <c r="N533">
        <v>102.6026</v>
      </c>
      <c r="O533">
        <v>0.49</v>
      </c>
      <c r="P533">
        <v>0.94</v>
      </c>
      <c r="Q533">
        <v>0</v>
      </c>
      <c r="R533">
        <v>0.04</v>
      </c>
      <c r="S533">
        <v>21.99</v>
      </c>
      <c r="T533">
        <v>0.86</v>
      </c>
      <c r="U533">
        <v>3.23</v>
      </c>
      <c r="V533">
        <v>3.97</v>
      </c>
      <c r="W533">
        <v>3.44</v>
      </c>
      <c r="X533">
        <v>23691.058828000001</v>
      </c>
      <c r="Y533">
        <v>18426647.271699999</v>
      </c>
    </row>
    <row r="534" spans="1:25" x14ac:dyDescent="0.55000000000000004">
      <c r="A534">
        <v>532</v>
      </c>
      <c r="B534" t="s">
        <v>20</v>
      </c>
      <c r="C534">
        <v>36</v>
      </c>
      <c r="D534">
        <v>6</v>
      </c>
      <c r="E534" t="s">
        <v>89</v>
      </c>
      <c r="F534" t="s">
        <v>90</v>
      </c>
      <c r="G534">
        <v>23</v>
      </c>
      <c r="H534">
        <v>2</v>
      </c>
      <c r="I534">
        <v>23060000</v>
      </c>
      <c r="J534">
        <v>405</v>
      </c>
      <c r="K534">
        <v>0</v>
      </c>
      <c r="L534">
        <v>11359</v>
      </c>
      <c r="M534">
        <v>11.742577000000001</v>
      </c>
      <c r="N534">
        <v>102.6026</v>
      </c>
      <c r="O534">
        <v>0.11</v>
      </c>
      <c r="P534">
        <v>0.3</v>
      </c>
      <c r="Q534">
        <v>0.87</v>
      </c>
      <c r="R534">
        <v>0</v>
      </c>
      <c r="S534">
        <v>0</v>
      </c>
      <c r="T534">
        <v>0.06</v>
      </c>
      <c r="U534">
        <v>2.61</v>
      </c>
      <c r="V534">
        <v>8.08</v>
      </c>
      <c r="W534">
        <v>4.8499999999999996</v>
      </c>
      <c r="X534">
        <v>18947.642624</v>
      </c>
      <c r="Y534">
        <v>3649926.43487</v>
      </c>
    </row>
    <row r="535" spans="1:25" x14ac:dyDescent="0.55000000000000004">
      <c r="A535">
        <v>533</v>
      </c>
      <c r="B535" t="s">
        <v>20</v>
      </c>
      <c r="C535">
        <v>36</v>
      </c>
      <c r="D535">
        <v>6</v>
      </c>
      <c r="E535" t="s">
        <v>89</v>
      </c>
      <c r="F535" t="s">
        <v>90</v>
      </c>
      <c r="G535">
        <v>23</v>
      </c>
      <c r="H535">
        <v>2</v>
      </c>
      <c r="I535">
        <v>23060000</v>
      </c>
      <c r="J535">
        <v>406</v>
      </c>
      <c r="K535">
        <v>0</v>
      </c>
      <c r="L535">
        <v>11239</v>
      </c>
      <c r="M535">
        <v>11.661171</v>
      </c>
      <c r="N535">
        <v>102.6026</v>
      </c>
      <c r="O535">
        <v>0.1</v>
      </c>
      <c r="P535">
        <v>5.04</v>
      </c>
      <c r="Q535">
        <v>0.03</v>
      </c>
      <c r="R535">
        <v>0.25</v>
      </c>
      <c r="S535">
        <v>2.74</v>
      </c>
      <c r="T535">
        <v>7.07</v>
      </c>
      <c r="U535">
        <v>8.19</v>
      </c>
      <c r="V535">
        <v>8.77</v>
      </c>
      <c r="W535">
        <v>5.07</v>
      </c>
      <c r="X535">
        <v>30642.312088999999</v>
      </c>
      <c r="Y535">
        <v>41444922.778300002</v>
      </c>
    </row>
    <row r="536" spans="1:25" x14ac:dyDescent="0.55000000000000004">
      <c r="A536">
        <v>534</v>
      </c>
      <c r="B536" t="s">
        <v>20</v>
      </c>
      <c r="C536">
        <v>37</v>
      </c>
      <c r="D536">
        <v>7</v>
      </c>
      <c r="E536" t="s">
        <v>91</v>
      </c>
      <c r="F536" t="s">
        <v>92</v>
      </c>
      <c r="G536">
        <v>23</v>
      </c>
      <c r="H536">
        <v>2</v>
      </c>
      <c r="I536">
        <v>23070000</v>
      </c>
      <c r="J536">
        <v>375</v>
      </c>
      <c r="K536">
        <v>0</v>
      </c>
      <c r="L536">
        <v>11836</v>
      </c>
      <c r="M536">
        <v>12.067970000000001</v>
      </c>
      <c r="N536">
        <v>102.35319</v>
      </c>
      <c r="O536">
        <v>10.92</v>
      </c>
      <c r="P536">
        <v>0.18</v>
      </c>
      <c r="Q536">
        <v>0.06</v>
      </c>
      <c r="R536">
        <v>2.63</v>
      </c>
      <c r="S536">
        <v>56.360000999999997</v>
      </c>
      <c r="T536">
        <v>9.9499999999999993</v>
      </c>
      <c r="U536">
        <v>54.439999</v>
      </c>
      <c r="V536">
        <v>3.01</v>
      </c>
      <c r="W536">
        <v>14.59</v>
      </c>
      <c r="X536">
        <v>34228.023959999999</v>
      </c>
      <c r="Y536">
        <v>66174366.960500002</v>
      </c>
    </row>
    <row r="537" spans="1:25" x14ac:dyDescent="0.55000000000000004">
      <c r="A537">
        <v>535</v>
      </c>
      <c r="B537" t="s">
        <v>20</v>
      </c>
      <c r="C537">
        <v>37</v>
      </c>
      <c r="D537">
        <v>7</v>
      </c>
      <c r="E537" t="s">
        <v>91</v>
      </c>
      <c r="F537" t="s">
        <v>92</v>
      </c>
      <c r="G537">
        <v>23</v>
      </c>
      <c r="H537">
        <v>2</v>
      </c>
      <c r="I537">
        <v>23070000</v>
      </c>
      <c r="J537">
        <v>376</v>
      </c>
      <c r="K537">
        <v>0</v>
      </c>
      <c r="L537">
        <v>11715</v>
      </c>
      <c r="M537">
        <v>11.986656</v>
      </c>
      <c r="N537">
        <v>102.27006</v>
      </c>
      <c r="O537">
        <v>2.59</v>
      </c>
      <c r="P537">
        <v>7.81</v>
      </c>
      <c r="Q537">
        <v>0.02</v>
      </c>
      <c r="R537">
        <v>3.11</v>
      </c>
      <c r="S537">
        <v>11.96</v>
      </c>
      <c r="T537">
        <v>4.47</v>
      </c>
      <c r="U537">
        <v>6.11</v>
      </c>
      <c r="V537">
        <v>3.09</v>
      </c>
      <c r="W537">
        <v>7.91</v>
      </c>
      <c r="X537">
        <v>19940.051678</v>
      </c>
      <c r="Y537">
        <v>12846274.979699999</v>
      </c>
    </row>
    <row r="538" spans="1:25" x14ac:dyDescent="0.55000000000000004">
      <c r="A538">
        <v>536</v>
      </c>
      <c r="B538" t="s">
        <v>20</v>
      </c>
      <c r="C538">
        <v>37</v>
      </c>
      <c r="D538">
        <v>7</v>
      </c>
      <c r="E538" t="s">
        <v>91</v>
      </c>
      <c r="F538" t="s">
        <v>92</v>
      </c>
      <c r="G538">
        <v>23</v>
      </c>
      <c r="H538">
        <v>2</v>
      </c>
      <c r="I538">
        <v>23070000</v>
      </c>
      <c r="J538">
        <v>377</v>
      </c>
      <c r="K538">
        <v>0</v>
      </c>
      <c r="L538">
        <v>11716</v>
      </c>
      <c r="M538">
        <v>11.986656</v>
      </c>
      <c r="N538">
        <v>102.35319</v>
      </c>
      <c r="O538">
        <v>0.22</v>
      </c>
      <c r="P538">
        <v>0.38</v>
      </c>
      <c r="Q538">
        <v>0.2</v>
      </c>
      <c r="R538">
        <v>0.92</v>
      </c>
      <c r="S538">
        <v>0.2</v>
      </c>
      <c r="T538">
        <v>1.06</v>
      </c>
      <c r="U538">
        <v>6.92</v>
      </c>
      <c r="V538">
        <v>13.38</v>
      </c>
      <c r="W538">
        <v>21.780000999999999</v>
      </c>
      <c r="X538">
        <v>40124.736556999997</v>
      </c>
      <c r="Y538">
        <v>53175496.392999999</v>
      </c>
    </row>
    <row r="539" spans="1:25" x14ac:dyDescent="0.55000000000000004">
      <c r="A539">
        <v>537</v>
      </c>
      <c r="B539" t="s">
        <v>20</v>
      </c>
      <c r="C539">
        <v>37</v>
      </c>
      <c r="D539">
        <v>7</v>
      </c>
      <c r="E539" t="s">
        <v>91</v>
      </c>
      <c r="F539" t="s">
        <v>92</v>
      </c>
      <c r="G539">
        <v>23</v>
      </c>
      <c r="H539">
        <v>2</v>
      </c>
      <c r="I539">
        <v>23070000</v>
      </c>
      <c r="J539">
        <v>379</v>
      </c>
      <c r="K539">
        <v>0</v>
      </c>
      <c r="L539">
        <v>11835</v>
      </c>
      <c r="M539">
        <v>12.067970000000001</v>
      </c>
      <c r="N539">
        <v>102.27006</v>
      </c>
      <c r="O539">
        <v>3.83</v>
      </c>
      <c r="P539">
        <v>1.3</v>
      </c>
      <c r="Q539">
        <v>0.75</v>
      </c>
      <c r="R539">
        <v>0.06</v>
      </c>
      <c r="S539">
        <v>22.18</v>
      </c>
      <c r="T539">
        <v>2.7</v>
      </c>
      <c r="U539">
        <v>20.540001</v>
      </c>
      <c r="V539">
        <v>1.55</v>
      </c>
      <c r="W539">
        <v>6.92</v>
      </c>
      <c r="X539">
        <v>27099.086136999998</v>
      </c>
      <c r="Y539">
        <v>29707466.7894</v>
      </c>
    </row>
    <row r="540" spans="1:25" x14ac:dyDescent="0.55000000000000004">
      <c r="A540">
        <v>538</v>
      </c>
      <c r="B540" t="s">
        <v>20</v>
      </c>
      <c r="C540">
        <v>37</v>
      </c>
      <c r="D540">
        <v>7</v>
      </c>
      <c r="E540" t="s">
        <v>91</v>
      </c>
      <c r="F540" t="s">
        <v>92</v>
      </c>
      <c r="G540">
        <v>23</v>
      </c>
      <c r="H540">
        <v>2</v>
      </c>
      <c r="I540">
        <v>23070000</v>
      </c>
      <c r="J540">
        <v>380</v>
      </c>
      <c r="K540">
        <v>0</v>
      </c>
      <c r="L540">
        <v>11955</v>
      </c>
      <c r="M540">
        <v>12.149254000000001</v>
      </c>
      <c r="N540">
        <v>102.27006</v>
      </c>
      <c r="O540">
        <v>0.43</v>
      </c>
      <c r="P540">
        <v>0.18</v>
      </c>
      <c r="Q540">
        <v>0.25</v>
      </c>
      <c r="R540">
        <v>0</v>
      </c>
      <c r="S540">
        <v>22.18</v>
      </c>
      <c r="T540">
        <v>2.91</v>
      </c>
      <c r="U540">
        <v>12.82</v>
      </c>
      <c r="V540">
        <v>6.5</v>
      </c>
      <c r="W540">
        <v>14.42</v>
      </c>
      <c r="X540">
        <v>27943.449927000001</v>
      </c>
      <c r="Y540">
        <v>22830145.2128</v>
      </c>
    </row>
    <row r="541" spans="1:25" x14ac:dyDescent="0.55000000000000004">
      <c r="A541">
        <v>539</v>
      </c>
      <c r="B541" t="s">
        <v>20</v>
      </c>
      <c r="C541">
        <v>37</v>
      </c>
      <c r="D541">
        <v>7</v>
      </c>
      <c r="E541" t="s">
        <v>91</v>
      </c>
      <c r="F541" t="s">
        <v>92</v>
      </c>
      <c r="G541">
        <v>23</v>
      </c>
      <c r="H541">
        <v>2</v>
      </c>
      <c r="I541">
        <v>23070000</v>
      </c>
      <c r="J541">
        <v>382</v>
      </c>
      <c r="K541">
        <v>0</v>
      </c>
      <c r="L541">
        <v>11956</v>
      </c>
      <c r="M541">
        <v>12.149254000000001</v>
      </c>
      <c r="N541">
        <v>102.35319</v>
      </c>
      <c r="O541">
        <v>0.69</v>
      </c>
      <c r="P541">
        <v>0.17</v>
      </c>
      <c r="Q541">
        <v>0.28999999999999998</v>
      </c>
      <c r="R541">
        <v>0.11</v>
      </c>
      <c r="S541">
        <v>2.7</v>
      </c>
      <c r="T541">
        <v>0.03</v>
      </c>
      <c r="U541">
        <v>41.110000999999997</v>
      </c>
      <c r="V541">
        <v>3.64</v>
      </c>
      <c r="W541">
        <v>13.03</v>
      </c>
      <c r="X541">
        <v>15109.124454999999</v>
      </c>
      <c r="Y541">
        <v>9652221.3493799996</v>
      </c>
    </row>
    <row r="542" spans="1:25" x14ac:dyDescent="0.55000000000000004">
      <c r="A542">
        <v>540</v>
      </c>
      <c r="B542" t="s">
        <v>20</v>
      </c>
      <c r="C542">
        <v>37</v>
      </c>
      <c r="D542">
        <v>7</v>
      </c>
      <c r="E542" t="s">
        <v>91</v>
      </c>
      <c r="F542" t="s">
        <v>92</v>
      </c>
      <c r="G542">
        <v>23</v>
      </c>
      <c r="H542">
        <v>2</v>
      </c>
      <c r="I542">
        <v>23070000</v>
      </c>
      <c r="J542">
        <v>386</v>
      </c>
      <c r="K542">
        <v>0</v>
      </c>
      <c r="L542">
        <v>11717</v>
      </c>
      <c r="M542">
        <v>11.986656</v>
      </c>
      <c r="N542">
        <v>102.436325</v>
      </c>
      <c r="O542">
        <v>0.01</v>
      </c>
      <c r="P542">
        <v>0.27</v>
      </c>
      <c r="Q542">
        <v>0.02</v>
      </c>
      <c r="R542">
        <v>0.11</v>
      </c>
      <c r="S542">
        <v>4.1100000000000003</v>
      </c>
      <c r="T542">
        <v>1.45</v>
      </c>
      <c r="U542">
        <v>2.1</v>
      </c>
      <c r="V542">
        <v>21.129999000000002</v>
      </c>
      <c r="W542">
        <v>23.16</v>
      </c>
      <c r="X542">
        <v>24507.810223</v>
      </c>
      <c r="Y542">
        <v>23610733.352299999</v>
      </c>
    </row>
    <row r="543" spans="1:25" x14ac:dyDescent="0.55000000000000004">
      <c r="A543">
        <v>541</v>
      </c>
      <c r="B543" t="s">
        <v>20</v>
      </c>
      <c r="C543">
        <v>37</v>
      </c>
      <c r="D543">
        <v>7</v>
      </c>
      <c r="E543" t="s">
        <v>91</v>
      </c>
      <c r="F543" t="s">
        <v>92</v>
      </c>
      <c r="G543">
        <v>23</v>
      </c>
      <c r="H543">
        <v>2</v>
      </c>
      <c r="I543">
        <v>23070000</v>
      </c>
      <c r="J543">
        <v>391</v>
      </c>
      <c r="K543">
        <v>0</v>
      </c>
      <c r="L543">
        <v>11837</v>
      </c>
      <c r="M543">
        <v>12.067970000000001</v>
      </c>
      <c r="N543">
        <v>102.436325</v>
      </c>
      <c r="O543">
        <v>0.37</v>
      </c>
      <c r="P543">
        <v>0.31</v>
      </c>
      <c r="Q543">
        <v>0.06</v>
      </c>
      <c r="R543">
        <v>5.67</v>
      </c>
      <c r="S543">
        <v>6.67</v>
      </c>
      <c r="T543">
        <v>0.06</v>
      </c>
      <c r="U543">
        <v>6.48</v>
      </c>
      <c r="V543">
        <v>3.28</v>
      </c>
      <c r="W543">
        <v>4.55</v>
      </c>
      <c r="X543">
        <v>7706.4942019999999</v>
      </c>
      <c r="Y543">
        <v>1509542.03987</v>
      </c>
    </row>
    <row r="544" spans="1:25" x14ac:dyDescent="0.55000000000000004">
      <c r="A544">
        <v>542</v>
      </c>
      <c r="B544" t="s">
        <v>20</v>
      </c>
      <c r="C544">
        <v>38</v>
      </c>
      <c r="D544">
        <v>1</v>
      </c>
      <c r="E544" t="s">
        <v>93</v>
      </c>
      <c r="F544" t="s">
        <v>94</v>
      </c>
      <c r="G544">
        <v>24</v>
      </c>
      <c r="H544">
        <v>2</v>
      </c>
      <c r="I544">
        <v>24010000</v>
      </c>
      <c r="J544">
        <v>716</v>
      </c>
      <c r="K544">
        <v>0</v>
      </c>
      <c r="L544">
        <v>14101</v>
      </c>
      <c r="M544">
        <v>13.608017</v>
      </c>
      <c r="N544">
        <v>101.10615</v>
      </c>
      <c r="O544">
        <v>9.66</v>
      </c>
      <c r="P544">
        <v>0.01</v>
      </c>
      <c r="Q544">
        <v>0.54</v>
      </c>
      <c r="R544">
        <v>0.17</v>
      </c>
      <c r="S544">
        <v>1.17</v>
      </c>
      <c r="T544">
        <v>7.87</v>
      </c>
      <c r="U544">
        <v>21.27</v>
      </c>
      <c r="V544">
        <v>0</v>
      </c>
      <c r="W544">
        <v>0</v>
      </c>
      <c r="X544">
        <v>16937.983918000002</v>
      </c>
      <c r="Y544">
        <v>6556316.2326100003</v>
      </c>
    </row>
    <row r="545" spans="1:25" x14ac:dyDescent="0.55000000000000004">
      <c r="A545">
        <v>543</v>
      </c>
      <c r="B545" t="s">
        <v>20</v>
      </c>
      <c r="C545">
        <v>38</v>
      </c>
      <c r="D545">
        <v>1</v>
      </c>
      <c r="E545" t="s">
        <v>93</v>
      </c>
      <c r="F545" t="s">
        <v>94</v>
      </c>
      <c r="G545">
        <v>24</v>
      </c>
      <c r="H545">
        <v>2</v>
      </c>
      <c r="I545">
        <v>24010000</v>
      </c>
      <c r="J545">
        <v>717</v>
      </c>
      <c r="K545">
        <v>0</v>
      </c>
      <c r="L545">
        <v>14218</v>
      </c>
      <c r="M545">
        <v>13.688805</v>
      </c>
      <c r="N545">
        <v>100.85674</v>
      </c>
      <c r="O545">
        <v>0.93</v>
      </c>
      <c r="P545">
        <v>5.98</v>
      </c>
      <c r="Q545">
        <v>13.89</v>
      </c>
      <c r="R545">
        <v>0.22</v>
      </c>
      <c r="S545">
        <v>27.93</v>
      </c>
      <c r="T545">
        <v>13.29</v>
      </c>
      <c r="U545">
        <v>1.56</v>
      </c>
      <c r="V545">
        <v>0.56000000000000005</v>
      </c>
      <c r="W545">
        <v>0</v>
      </c>
      <c r="X545">
        <v>16584.462815999999</v>
      </c>
      <c r="Y545">
        <v>16459627.5447</v>
      </c>
    </row>
    <row r="546" spans="1:25" x14ac:dyDescent="0.55000000000000004">
      <c r="A546">
        <v>544</v>
      </c>
      <c r="B546" t="s">
        <v>20</v>
      </c>
      <c r="C546">
        <v>38</v>
      </c>
      <c r="D546">
        <v>1</v>
      </c>
      <c r="E546" t="s">
        <v>93</v>
      </c>
      <c r="F546" t="s">
        <v>94</v>
      </c>
      <c r="G546">
        <v>24</v>
      </c>
      <c r="H546">
        <v>2</v>
      </c>
      <c r="I546">
        <v>24010000</v>
      </c>
      <c r="J546">
        <v>722</v>
      </c>
      <c r="K546">
        <v>0</v>
      </c>
      <c r="L546">
        <v>14219</v>
      </c>
      <c r="M546">
        <v>13.688805</v>
      </c>
      <c r="N546">
        <v>100.93988</v>
      </c>
      <c r="O546">
        <v>2.09</v>
      </c>
      <c r="P546">
        <v>3.29</v>
      </c>
      <c r="Q546">
        <v>7.77</v>
      </c>
      <c r="R546">
        <v>0.81</v>
      </c>
      <c r="S546">
        <v>0.87</v>
      </c>
      <c r="T546">
        <v>8.94</v>
      </c>
      <c r="U546">
        <v>8.8699999999999992</v>
      </c>
      <c r="V546">
        <v>0.61</v>
      </c>
      <c r="W546">
        <v>0</v>
      </c>
      <c r="X546">
        <v>37377.842322999997</v>
      </c>
      <c r="Y546">
        <v>47199505.788500004</v>
      </c>
    </row>
    <row r="547" spans="1:25" x14ac:dyDescent="0.55000000000000004">
      <c r="A547">
        <v>545</v>
      </c>
      <c r="B547" t="s">
        <v>20</v>
      </c>
      <c r="C547">
        <v>38</v>
      </c>
      <c r="D547">
        <v>1</v>
      </c>
      <c r="E547" t="s">
        <v>93</v>
      </c>
      <c r="F547" t="s">
        <v>94</v>
      </c>
      <c r="G547">
        <v>24</v>
      </c>
      <c r="H547">
        <v>2</v>
      </c>
      <c r="I547">
        <v>24010000</v>
      </c>
      <c r="J547">
        <v>723</v>
      </c>
      <c r="K547">
        <v>0</v>
      </c>
      <c r="L547">
        <v>14100</v>
      </c>
      <c r="M547">
        <v>13.608017</v>
      </c>
      <c r="N547">
        <v>101.02302</v>
      </c>
      <c r="O547">
        <v>1.5</v>
      </c>
      <c r="P547">
        <v>0.04</v>
      </c>
      <c r="Q547">
        <v>1.64</v>
      </c>
      <c r="R547">
        <v>8.5500000000000007</v>
      </c>
      <c r="S547">
        <v>1.58</v>
      </c>
      <c r="T547">
        <v>9.66</v>
      </c>
      <c r="U547">
        <v>21.65</v>
      </c>
      <c r="V547">
        <v>0.2</v>
      </c>
      <c r="W547">
        <v>0</v>
      </c>
      <c r="X547">
        <v>15399.565817000001</v>
      </c>
      <c r="Y547">
        <v>4810315.4577700002</v>
      </c>
    </row>
    <row r="548" spans="1:25" x14ac:dyDescent="0.55000000000000004">
      <c r="A548">
        <v>546</v>
      </c>
      <c r="B548" t="s">
        <v>20</v>
      </c>
      <c r="C548">
        <v>38</v>
      </c>
      <c r="D548">
        <v>1</v>
      </c>
      <c r="E548" t="s">
        <v>93</v>
      </c>
      <c r="F548" t="s">
        <v>94</v>
      </c>
      <c r="G548">
        <v>24</v>
      </c>
      <c r="H548">
        <v>2</v>
      </c>
      <c r="I548">
        <v>24010000</v>
      </c>
      <c r="J548">
        <v>724</v>
      </c>
      <c r="K548">
        <v>0</v>
      </c>
      <c r="L548">
        <v>14339</v>
      </c>
      <c r="M548">
        <v>13.769569000000001</v>
      </c>
      <c r="N548">
        <v>100.93988</v>
      </c>
      <c r="O548">
        <v>7.61</v>
      </c>
      <c r="P548">
        <v>0.26</v>
      </c>
      <c r="Q548">
        <v>37.810001</v>
      </c>
      <c r="R548">
        <v>0</v>
      </c>
      <c r="S548">
        <v>0.74</v>
      </c>
      <c r="T548">
        <v>52.41</v>
      </c>
      <c r="U548">
        <v>2.73</v>
      </c>
      <c r="V548">
        <v>0</v>
      </c>
      <c r="W548">
        <v>0</v>
      </c>
      <c r="X548">
        <v>32551.813870999998</v>
      </c>
      <c r="Y548">
        <v>58318795.576099999</v>
      </c>
    </row>
    <row r="549" spans="1:25" x14ac:dyDescent="0.55000000000000004">
      <c r="A549">
        <v>547</v>
      </c>
      <c r="B549" t="s">
        <v>20</v>
      </c>
      <c r="C549">
        <v>38</v>
      </c>
      <c r="D549">
        <v>1</v>
      </c>
      <c r="E549" t="s">
        <v>93</v>
      </c>
      <c r="F549" t="s">
        <v>94</v>
      </c>
      <c r="G549">
        <v>24</v>
      </c>
      <c r="H549">
        <v>2</v>
      </c>
      <c r="I549">
        <v>24010000</v>
      </c>
      <c r="J549">
        <v>725</v>
      </c>
      <c r="K549">
        <v>0</v>
      </c>
      <c r="L549">
        <v>14338</v>
      </c>
      <c r="M549">
        <v>13.769569000000001</v>
      </c>
      <c r="N549">
        <v>100.85674</v>
      </c>
      <c r="O549">
        <v>1.1399999999999999</v>
      </c>
      <c r="P549">
        <v>0.06</v>
      </c>
      <c r="Q549">
        <v>36.779998999999997</v>
      </c>
      <c r="R549">
        <v>0</v>
      </c>
      <c r="S549">
        <v>1.38</v>
      </c>
      <c r="T549">
        <v>17.469999000000001</v>
      </c>
      <c r="U549">
        <v>0.87</v>
      </c>
      <c r="V549">
        <v>0</v>
      </c>
      <c r="W549">
        <v>0</v>
      </c>
      <c r="X549">
        <v>12660.266191000001</v>
      </c>
      <c r="Y549">
        <v>6159255.58158</v>
      </c>
    </row>
    <row r="550" spans="1:25" x14ac:dyDescent="0.55000000000000004">
      <c r="A550">
        <v>548</v>
      </c>
      <c r="B550" t="s">
        <v>20</v>
      </c>
      <c r="C550">
        <v>38</v>
      </c>
      <c r="D550">
        <v>1</v>
      </c>
      <c r="E550" t="s">
        <v>93</v>
      </c>
      <c r="F550" t="s">
        <v>94</v>
      </c>
      <c r="G550">
        <v>24</v>
      </c>
      <c r="H550">
        <v>2</v>
      </c>
      <c r="I550">
        <v>24010000</v>
      </c>
      <c r="J550">
        <v>728</v>
      </c>
      <c r="K550">
        <v>0</v>
      </c>
      <c r="L550">
        <v>14220</v>
      </c>
      <c r="M550">
        <v>13.688805</v>
      </c>
      <c r="N550">
        <v>101.02302</v>
      </c>
      <c r="O550">
        <v>3.87</v>
      </c>
      <c r="P550">
        <v>0</v>
      </c>
      <c r="Q550">
        <v>6.1</v>
      </c>
      <c r="R550">
        <v>7.65</v>
      </c>
      <c r="S550">
        <v>0.39</v>
      </c>
      <c r="T550">
        <v>6.36</v>
      </c>
      <c r="U550">
        <v>28.030000999999999</v>
      </c>
      <c r="V550">
        <v>0</v>
      </c>
      <c r="W550">
        <v>0</v>
      </c>
      <c r="X550">
        <v>35222.283452000003</v>
      </c>
      <c r="Y550">
        <v>78768432.046200007</v>
      </c>
    </row>
    <row r="551" spans="1:25" x14ac:dyDescent="0.55000000000000004">
      <c r="A551">
        <v>549</v>
      </c>
      <c r="B551" t="s">
        <v>20</v>
      </c>
      <c r="C551">
        <v>38</v>
      </c>
      <c r="D551">
        <v>1</v>
      </c>
      <c r="E551" t="s">
        <v>93</v>
      </c>
      <c r="F551" t="s">
        <v>94</v>
      </c>
      <c r="G551">
        <v>24</v>
      </c>
      <c r="H551">
        <v>2</v>
      </c>
      <c r="I551">
        <v>24010000</v>
      </c>
      <c r="J551">
        <v>729</v>
      </c>
      <c r="K551">
        <v>0</v>
      </c>
      <c r="L551">
        <v>14341</v>
      </c>
      <c r="M551">
        <v>13.769569000000001</v>
      </c>
      <c r="N551">
        <v>101.10615</v>
      </c>
      <c r="O551">
        <v>63.450001</v>
      </c>
      <c r="P551">
        <v>0.01</v>
      </c>
      <c r="Q551">
        <v>9.68</v>
      </c>
      <c r="R551">
        <v>0.17</v>
      </c>
      <c r="S551">
        <v>0.84</v>
      </c>
      <c r="T551">
        <v>8.25</v>
      </c>
      <c r="U551">
        <v>34.369999</v>
      </c>
      <c r="V551">
        <v>0</v>
      </c>
      <c r="W551">
        <v>0</v>
      </c>
      <c r="X551">
        <v>32188.674450999999</v>
      </c>
      <c r="Y551">
        <v>33018890.522500001</v>
      </c>
    </row>
    <row r="552" spans="1:25" x14ac:dyDescent="0.55000000000000004">
      <c r="A552">
        <v>550</v>
      </c>
      <c r="B552" t="s">
        <v>20</v>
      </c>
      <c r="C552">
        <v>38</v>
      </c>
      <c r="D552">
        <v>1</v>
      </c>
      <c r="E552" t="s">
        <v>93</v>
      </c>
      <c r="F552" t="s">
        <v>94</v>
      </c>
      <c r="G552">
        <v>24</v>
      </c>
      <c r="H552">
        <v>2</v>
      </c>
      <c r="I552">
        <v>24010000</v>
      </c>
      <c r="J552">
        <v>730</v>
      </c>
      <c r="K552">
        <v>0</v>
      </c>
      <c r="L552">
        <v>14340</v>
      </c>
      <c r="M552">
        <v>13.769569000000001</v>
      </c>
      <c r="N552">
        <v>101.02302</v>
      </c>
      <c r="O552">
        <v>25.07</v>
      </c>
      <c r="P552">
        <v>1.26</v>
      </c>
      <c r="Q552">
        <v>6.41</v>
      </c>
      <c r="R552">
        <v>0.04</v>
      </c>
      <c r="S552">
        <v>0.55000000000000004</v>
      </c>
      <c r="T552">
        <v>9.2200000000000006</v>
      </c>
      <c r="U552">
        <v>15.16</v>
      </c>
      <c r="V552">
        <v>0</v>
      </c>
      <c r="W552">
        <v>0</v>
      </c>
      <c r="X552">
        <v>35443.126579999996</v>
      </c>
      <c r="Y552">
        <v>61214754.2223</v>
      </c>
    </row>
    <row r="553" spans="1:25" x14ac:dyDescent="0.55000000000000004">
      <c r="A553">
        <v>551</v>
      </c>
      <c r="B553" t="s">
        <v>20</v>
      </c>
      <c r="C553">
        <v>38</v>
      </c>
      <c r="D553">
        <v>1</v>
      </c>
      <c r="E553" t="s">
        <v>93</v>
      </c>
      <c r="F553" t="s">
        <v>94</v>
      </c>
      <c r="G553">
        <v>24</v>
      </c>
      <c r="H553">
        <v>2</v>
      </c>
      <c r="I553">
        <v>24010000</v>
      </c>
      <c r="J553">
        <v>731</v>
      </c>
      <c r="K553">
        <v>0</v>
      </c>
      <c r="L553">
        <v>14221</v>
      </c>
      <c r="M553">
        <v>13.688805</v>
      </c>
      <c r="N553">
        <v>101.10615</v>
      </c>
      <c r="O553">
        <v>18.200001</v>
      </c>
      <c r="P553">
        <v>0</v>
      </c>
      <c r="Q553">
        <v>3.39</v>
      </c>
      <c r="R553">
        <v>0.27</v>
      </c>
      <c r="S553">
        <v>0.08</v>
      </c>
      <c r="T553">
        <v>8.5500000000000007</v>
      </c>
      <c r="U553">
        <v>31.200001</v>
      </c>
      <c r="V553">
        <v>0</v>
      </c>
      <c r="W553">
        <v>0</v>
      </c>
      <c r="X553">
        <v>34636.628103000003</v>
      </c>
      <c r="Y553">
        <v>72587760.791500002</v>
      </c>
    </row>
    <row r="554" spans="1:25" x14ac:dyDescent="0.55000000000000004">
      <c r="A554">
        <v>552</v>
      </c>
      <c r="B554" t="s">
        <v>20</v>
      </c>
      <c r="C554">
        <v>39</v>
      </c>
      <c r="D554">
        <v>2</v>
      </c>
      <c r="E554" t="s">
        <v>95</v>
      </c>
      <c r="F554" t="s">
        <v>96</v>
      </c>
      <c r="G554">
        <v>24</v>
      </c>
      <c r="H554">
        <v>2</v>
      </c>
      <c r="I554">
        <v>24020000</v>
      </c>
      <c r="J554">
        <v>716</v>
      </c>
      <c r="K554">
        <v>0</v>
      </c>
      <c r="L554">
        <v>14101</v>
      </c>
      <c r="M554">
        <v>13.608017</v>
      </c>
      <c r="N554">
        <v>101.10615</v>
      </c>
      <c r="O554">
        <v>9.66</v>
      </c>
      <c r="P554">
        <v>0.01</v>
      </c>
      <c r="Q554">
        <v>0.54</v>
      </c>
      <c r="R554">
        <v>0.17</v>
      </c>
      <c r="S554">
        <v>1.17</v>
      </c>
      <c r="T554">
        <v>7.87</v>
      </c>
      <c r="U554">
        <v>21.27</v>
      </c>
      <c r="V554">
        <v>0</v>
      </c>
      <c r="W554">
        <v>0</v>
      </c>
      <c r="X554">
        <v>202.26491799999999</v>
      </c>
      <c r="Y554">
        <v>1452.3411160000001</v>
      </c>
    </row>
    <row r="555" spans="1:25" x14ac:dyDescent="0.55000000000000004">
      <c r="A555">
        <v>553</v>
      </c>
      <c r="B555" t="s">
        <v>20</v>
      </c>
      <c r="C555">
        <v>39</v>
      </c>
      <c r="D555">
        <v>2</v>
      </c>
      <c r="E555" t="s">
        <v>95</v>
      </c>
      <c r="F555" t="s">
        <v>96</v>
      </c>
      <c r="G555">
        <v>24</v>
      </c>
      <c r="H555">
        <v>2</v>
      </c>
      <c r="I555">
        <v>24020000</v>
      </c>
      <c r="J555">
        <v>731</v>
      </c>
      <c r="K555">
        <v>0</v>
      </c>
      <c r="L555">
        <v>14221</v>
      </c>
      <c r="M555">
        <v>13.688805</v>
      </c>
      <c r="N555">
        <v>101.10615</v>
      </c>
      <c r="O555">
        <v>18.200001</v>
      </c>
      <c r="P555">
        <v>0</v>
      </c>
      <c r="Q555">
        <v>3.39</v>
      </c>
      <c r="R555">
        <v>0.27</v>
      </c>
      <c r="S555">
        <v>0.08</v>
      </c>
      <c r="T555">
        <v>8.5500000000000007</v>
      </c>
      <c r="U555">
        <v>31.200001</v>
      </c>
      <c r="V555">
        <v>0</v>
      </c>
      <c r="W555">
        <v>0</v>
      </c>
      <c r="X555">
        <v>15155.559889</v>
      </c>
      <c r="Y555">
        <v>4946179.4743299996</v>
      </c>
    </row>
    <row r="556" spans="1:25" x14ac:dyDescent="0.55000000000000004">
      <c r="A556">
        <v>554</v>
      </c>
      <c r="B556" t="s">
        <v>20</v>
      </c>
      <c r="C556">
        <v>39</v>
      </c>
      <c r="D556">
        <v>2</v>
      </c>
      <c r="E556" t="s">
        <v>95</v>
      </c>
      <c r="F556" t="s">
        <v>96</v>
      </c>
      <c r="G556">
        <v>24</v>
      </c>
      <c r="H556">
        <v>2</v>
      </c>
      <c r="I556">
        <v>24020000</v>
      </c>
      <c r="J556">
        <v>776</v>
      </c>
      <c r="K556">
        <v>0</v>
      </c>
      <c r="L556">
        <v>14102</v>
      </c>
      <c r="M556">
        <v>13.608017</v>
      </c>
      <c r="N556">
        <v>101.189285</v>
      </c>
      <c r="O556">
        <v>43.639999000000003</v>
      </c>
      <c r="P556">
        <v>0</v>
      </c>
      <c r="Q556">
        <v>0.56000000000000005</v>
      </c>
      <c r="R556">
        <v>0.14000000000000001</v>
      </c>
      <c r="S556">
        <v>1.47</v>
      </c>
      <c r="T556">
        <v>8.0399999999999991</v>
      </c>
      <c r="U556">
        <v>8.4600000000000009</v>
      </c>
      <c r="V556">
        <v>0.19</v>
      </c>
      <c r="W556">
        <v>0</v>
      </c>
      <c r="X556">
        <v>21474.012901999999</v>
      </c>
      <c r="Y556">
        <v>20911863.453699999</v>
      </c>
    </row>
    <row r="557" spans="1:25" x14ac:dyDescent="0.55000000000000004">
      <c r="A557">
        <v>555</v>
      </c>
      <c r="B557" t="s">
        <v>20</v>
      </c>
      <c r="C557">
        <v>39</v>
      </c>
      <c r="D557">
        <v>2</v>
      </c>
      <c r="E557" t="s">
        <v>95</v>
      </c>
      <c r="F557" t="s">
        <v>96</v>
      </c>
      <c r="G557">
        <v>24</v>
      </c>
      <c r="H557">
        <v>2</v>
      </c>
      <c r="I557">
        <v>24020000</v>
      </c>
      <c r="J557">
        <v>777</v>
      </c>
      <c r="K557">
        <v>0</v>
      </c>
      <c r="L557">
        <v>14223</v>
      </c>
      <c r="M557">
        <v>13.688805</v>
      </c>
      <c r="N557">
        <v>101.27242</v>
      </c>
      <c r="O557">
        <v>23.59</v>
      </c>
      <c r="P557">
        <v>0.16</v>
      </c>
      <c r="Q557">
        <v>7.06</v>
      </c>
      <c r="R557">
        <v>0.03</v>
      </c>
      <c r="S557">
        <v>0.77</v>
      </c>
      <c r="T557">
        <v>9.77</v>
      </c>
      <c r="U557">
        <v>12.61</v>
      </c>
      <c r="V557">
        <v>2.08</v>
      </c>
      <c r="W557">
        <v>0</v>
      </c>
      <c r="X557">
        <v>23254.496369</v>
      </c>
      <c r="Y557">
        <v>20303147.437899999</v>
      </c>
    </row>
    <row r="558" spans="1:25" x14ac:dyDescent="0.55000000000000004">
      <c r="A558">
        <v>556</v>
      </c>
      <c r="B558" t="s">
        <v>20</v>
      </c>
      <c r="C558">
        <v>39</v>
      </c>
      <c r="D558">
        <v>2</v>
      </c>
      <c r="E558" t="s">
        <v>95</v>
      </c>
      <c r="F558" t="s">
        <v>96</v>
      </c>
      <c r="G558">
        <v>24</v>
      </c>
      <c r="H558">
        <v>2</v>
      </c>
      <c r="I558">
        <v>24020000</v>
      </c>
      <c r="J558">
        <v>778</v>
      </c>
      <c r="K558">
        <v>0</v>
      </c>
      <c r="L558">
        <v>14222</v>
      </c>
      <c r="M558">
        <v>13.688805</v>
      </c>
      <c r="N558">
        <v>101.189285</v>
      </c>
      <c r="O558">
        <v>53.779998999999997</v>
      </c>
      <c r="P558">
        <v>0</v>
      </c>
      <c r="Q558">
        <v>12.64</v>
      </c>
      <c r="R558">
        <v>0.01</v>
      </c>
      <c r="S558">
        <v>2.96</v>
      </c>
      <c r="T558">
        <v>13.06</v>
      </c>
      <c r="U558">
        <v>16.760000000000002</v>
      </c>
      <c r="V558">
        <v>0.04</v>
      </c>
      <c r="W558">
        <v>0</v>
      </c>
      <c r="X558">
        <v>38080.811452000002</v>
      </c>
      <c r="Y558">
        <v>67986935.610499993</v>
      </c>
    </row>
    <row r="559" spans="1:25" x14ac:dyDescent="0.55000000000000004">
      <c r="A559">
        <v>557</v>
      </c>
      <c r="B559" t="s">
        <v>20</v>
      </c>
      <c r="C559">
        <v>39</v>
      </c>
      <c r="D559">
        <v>2</v>
      </c>
      <c r="E559" t="s">
        <v>95</v>
      </c>
      <c r="F559" t="s">
        <v>96</v>
      </c>
      <c r="G559">
        <v>24</v>
      </c>
      <c r="H559">
        <v>2</v>
      </c>
      <c r="I559">
        <v>24020000</v>
      </c>
      <c r="J559">
        <v>780</v>
      </c>
      <c r="K559">
        <v>0</v>
      </c>
      <c r="L559">
        <v>14343</v>
      </c>
      <c r="M559">
        <v>13.769569000000001</v>
      </c>
      <c r="N559">
        <v>101.27242</v>
      </c>
      <c r="O559">
        <v>49.41</v>
      </c>
      <c r="P559">
        <v>1.31</v>
      </c>
      <c r="Q559">
        <v>9.1199999999999992</v>
      </c>
      <c r="R559">
        <v>0.08</v>
      </c>
      <c r="S559">
        <v>1.01</v>
      </c>
      <c r="T559">
        <v>9.6999999999999993</v>
      </c>
      <c r="U559">
        <v>4.63</v>
      </c>
      <c r="V559">
        <v>0.05</v>
      </c>
      <c r="W559">
        <v>0</v>
      </c>
      <c r="X559">
        <v>28675.075755000002</v>
      </c>
      <c r="Y559">
        <v>17542465.759300001</v>
      </c>
    </row>
    <row r="560" spans="1:25" x14ac:dyDescent="0.55000000000000004">
      <c r="A560">
        <v>558</v>
      </c>
      <c r="B560" t="s">
        <v>20</v>
      </c>
      <c r="C560">
        <v>39</v>
      </c>
      <c r="D560">
        <v>2</v>
      </c>
      <c r="E560" t="s">
        <v>95</v>
      </c>
      <c r="F560" t="s">
        <v>96</v>
      </c>
      <c r="G560">
        <v>24</v>
      </c>
      <c r="H560">
        <v>2</v>
      </c>
      <c r="I560">
        <v>24020000</v>
      </c>
      <c r="J560">
        <v>781</v>
      </c>
      <c r="K560">
        <v>0</v>
      </c>
      <c r="L560">
        <v>14342</v>
      </c>
      <c r="M560">
        <v>13.769569000000001</v>
      </c>
      <c r="N560">
        <v>101.189285</v>
      </c>
      <c r="O560">
        <v>76.089995999999999</v>
      </c>
      <c r="P560">
        <v>5.27</v>
      </c>
      <c r="Q560">
        <v>5.12</v>
      </c>
      <c r="R560">
        <v>0.22</v>
      </c>
      <c r="S560">
        <v>1.91</v>
      </c>
      <c r="T560">
        <v>10.66</v>
      </c>
      <c r="U560">
        <v>41.119999</v>
      </c>
      <c r="V560">
        <v>0</v>
      </c>
      <c r="W560">
        <v>0</v>
      </c>
      <c r="X560">
        <v>38439.518360000002</v>
      </c>
      <c r="Y560">
        <v>38725498.648599997</v>
      </c>
    </row>
    <row r="561" spans="1:25" x14ac:dyDescent="0.55000000000000004">
      <c r="A561">
        <v>559</v>
      </c>
      <c r="B561" t="s">
        <v>20</v>
      </c>
      <c r="C561">
        <v>39</v>
      </c>
      <c r="D561">
        <v>2</v>
      </c>
      <c r="E561" t="s">
        <v>95</v>
      </c>
      <c r="F561" t="s">
        <v>96</v>
      </c>
      <c r="G561">
        <v>24</v>
      </c>
      <c r="H561">
        <v>2</v>
      </c>
      <c r="I561">
        <v>24020000</v>
      </c>
      <c r="J561">
        <v>782</v>
      </c>
      <c r="K561">
        <v>0</v>
      </c>
      <c r="L561">
        <v>14463</v>
      </c>
      <c r="M561">
        <v>13.850304</v>
      </c>
      <c r="N561">
        <v>101.27242</v>
      </c>
      <c r="O561">
        <v>22.059999000000001</v>
      </c>
      <c r="P561">
        <v>7.43</v>
      </c>
      <c r="Q561">
        <v>11.1</v>
      </c>
      <c r="R561">
        <v>0.03</v>
      </c>
      <c r="S561">
        <v>0.18</v>
      </c>
      <c r="T561">
        <v>9.36</v>
      </c>
      <c r="U561">
        <v>41.029998999999997</v>
      </c>
      <c r="V561">
        <v>0</v>
      </c>
      <c r="W561">
        <v>0</v>
      </c>
      <c r="X561">
        <v>22416.847722999999</v>
      </c>
      <c r="Y561">
        <v>17091367.313000001</v>
      </c>
    </row>
    <row r="562" spans="1:25" x14ac:dyDescent="0.55000000000000004">
      <c r="A562">
        <v>560</v>
      </c>
      <c r="B562" t="s">
        <v>20</v>
      </c>
      <c r="C562">
        <v>39</v>
      </c>
      <c r="D562">
        <v>2</v>
      </c>
      <c r="E562" t="s">
        <v>95</v>
      </c>
      <c r="F562" t="s">
        <v>96</v>
      </c>
      <c r="G562">
        <v>24</v>
      </c>
      <c r="H562">
        <v>2</v>
      </c>
      <c r="I562">
        <v>24020000</v>
      </c>
      <c r="J562">
        <v>783</v>
      </c>
      <c r="K562">
        <v>0</v>
      </c>
      <c r="L562">
        <v>14462</v>
      </c>
      <c r="M562">
        <v>13.850304</v>
      </c>
      <c r="N562">
        <v>101.189285</v>
      </c>
      <c r="O562">
        <v>26.26</v>
      </c>
      <c r="P562">
        <v>0.56999999999999995</v>
      </c>
      <c r="Q562">
        <v>8.17</v>
      </c>
      <c r="R562">
        <v>0.02</v>
      </c>
      <c r="S562">
        <v>0.4</v>
      </c>
      <c r="T562">
        <v>30.01</v>
      </c>
      <c r="U562">
        <v>27.219999000000001</v>
      </c>
      <c r="V562">
        <v>0</v>
      </c>
      <c r="W562">
        <v>0</v>
      </c>
      <c r="X562">
        <v>31297.834303</v>
      </c>
      <c r="Y562">
        <v>48089839.7676</v>
      </c>
    </row>
    <row r="563" spans="1:25" x14ac:dyDescent="0.55000000000000004">
      <c r="A563">
        <v>561</v>
      </c>
      <c r="B563" t="s">
        <v>20</v>
      </c>
      <c r="C563">
        <v>40</v>
      </c>
      <c r="D563">
        <v>3</v>
      </c>
      <c r="E563" t="s">
        <v>97</v>
      </c>
      <c r="F563" t="s">
        <v>98</v>
      </c>
      <c r="G563">
        <v>24</v>
      </c>
      <c r="H563">
        <v>2</v>
      </c>
      <c r="I563">
        <v>24030000</v>
      </c>
      <c r="J563">
        <v>724</v>
      </c>
      <c r="K563">
        <v>0</v>
      </c>
      <c r="L563">
        <v>14339</v>
      </c>
      <c r="M563">
        <v>13.769569000000001</v>
      </c>
      <c r="N563">
        <v>100.93988</v>
      </c>
      <c r="O563">
        <v>7.61</v>
      </c>
      <c r="P563">
        <v>0.26</v>
      </c>
      <c r="Q563">
        <v>37.810001</v>
      </c>
      <c r="R563">
        <v>0</v>
      </c>
      <c r="S563">
        <v>0.74</v>
      </c>
      <c r="T563">
        <v>52.41</v>
      </c>
      <c r="U563">
        <v>2.73</v>
      </c>
      <c r="V563">
        <v>0</v>
      </c>
      <c r="W563">
        <v>0</v>
      </c>
      <c r="X563">
        <v>16498.190399999999</v>
      </c>
      <c r="Y563">
        <v>14670159.389799999</v>
      </c>
    </row>
    <row r="564" spans="1:25" x14ac:dyDescent="0.55000000000000004">
      <c r="A564">
        <v>562</v>
      </c>
      <c r="B564" t="s">
        <v>20</v>
      </c>
      <c r="C564">
        <v>40</v>
      </c>
      <c r="D564">
        <v>3</v>
      </c>
      <c r="E564" t="s">
        <v>97</v>
      </c>
      <c r="F564" t="s">
        <v>98</v>
      </c>
      <c r="G564">
        <v>24</v>
      </c>
      <c r="H564">
        <v>2</v>
      </c>
      <c r="I564">
        <v>24030000</v>
      </c>
      <c r="J564">
        <v>726</v>
      </c>
      <c r="K564">
        <v>0</v>
      </c>
      <c r="L564">
        <v>14459</v>
      </c>
      <c r="M564">
        <v>13.850304</v>
      </c>
      <c r="N564">
        <v>100.93988</v>
      </c>
      <c r="O564">
        <v>1.86</v>
      </c>
      <c r="P564">
        <v>0</v>
      </c>
      <c r="Q564">
        <v>62.779998999999997</v>
      </c>
      <c r="R564">
        <v>0.24</v>
      </c>
      <c r="S564">
        <v>0.85</v>
      </c>
      <c r="T564">
        <v>22.469999000000001</v>
      </c>
      <c r="U564">
        <v>6.77</v>
      </c>
      <c r="V564">
        <v>0</v>
      </c>
      <c r="W564">
        <v>0</v>
      </c>
      <c r="X564">
        <v>33555.558525</v>
      </c>
      <c r="Y564">
        <v>66126182.4168</v>
      </c>
    </row>
    <row r="565" spans="1:25" x14ac:dyDescent="0.55000000000000004">
      <c r="A565">
        <v>563</v>
      </c>
      <c r="B565" t="s">
        <v>20</v>
      </c>
      <c r="C565">
        <v>40</v>
      </c>
      <c r="D565">
        <v>3</v>
      </c>
      <c r="E565" t="s">
        <v>97</v>
      </c>
      <c r="F565" t="s">
        <v>98</v>
      </c>
      <c r="G565">
        <v>24</v>
      </c>
      <c r="H565">
        <v>2</v>
      </c>
      <c r="I565">
        <v>24030000</v>
      </c>
      <c r="J565">
        <v>729</v>
      </c>
      <c r="K565">
        <v>0</v>
      </c>
      <c r="L565">
        <v>14341</v>
      </c>
      <c r="M565">
        <v>13.769569000000001</v>
      </c>
      <c r="N565">
        <v>101.10615</v>
      </c>
      <c r="O565">
        <v>63.450001</v>
      </c>
      <c r="P565">
        <v>0.01</v>
      </c>
      <c r="Q565">
        <v>9.68</v>
      </c>
      <c r="R565">
        <v>0.17</v>
      </c>
      <c r="S565">
        <v>0.84</v>
      </c>
      <c r="T565">
        <v>8.25</v>
      </c>
      <c r="U565">
        <v>34.369999</v>
      </c>
      <c r="V565">
        <v>0</v>
      </c>
      <c r="W565">
        <v>0</v>
      </c>
      <c r="X565">
        <v>20511.636773999999</v>
      </c>
      <c r="Y565">
        <v>19996459.015000001</v>
      </c>
    </row>
    <row r="566" spans="1:25" x14ac:dyDescent="0.55000000000000004">
      <c r="A566">
        <v>564</v>
      </c>
      <c r="B566" t="s">
        <v>20</v>
      </c>
      <c r="C566">
        <v>40</v>
      </c>
      <c r="D566">
        <v>3</v>
      </c>
      <c r="E566" t="s">
        <v>97</v>
      </c>
      <c r="F566" t="s">
        <v>98</v>
      </c>
      <c r="G566">
        <v>24</v>
      </c>
      <c r="H566">
        <v>2</v>
      </c>
      <c r="I566">
        <v>24030000</v>
      </c>
      <c r="J566">
        <v>730</v>
      </c>
      <c r="K566">
        <v>0</v>
      </c>
      <c r="L566">
        <v>14340</v>
      </c>
      <c r="M566">
        <v>13.769569000000001</v>
      </c>
      <c r="N566">
        <v>101.02302</v>
      </c>
      <c r="O566">
        <v>25.07</v>
      </c>
      <c r="P566">
        <v>1.26</v>
      </c>
      <c r="Q566">
        <v>6.41</v>
      </c>
      <c r="R566">
        <v>0.04</v>
      </c>
      <c r="S566">
        <v>0.55000000000000004</v>
      </c>
      <c r="T566">
        <v>9.2200000000000006</v>
      </c>
      <c r="U566">
        <v>15.16</v>
      </c>
      <c r="V566">
        <v>0</v>
      </c>
      <c r="W566">
        <v>0</v>
      </c>
      <c r="X566">
        <v>26741.218961999999</v>
      </c>
      <c r="Y566">
        <v>19134349.668299999</v>
      </c>
    </row>
    <row r="567" spans="1:25" x14ac:dyDescent="0.55000000000000004">
      <c r="A567">
        <v>565</v>
      </c>
      <c r="B567" t="s">
        <v>20</v>
      </c>
      <c r="C567">
        <v>40</v>
      </c>
      <c r="D567">
        <v>3</v>
      </c>
      <c r="E567" t="s">
        <v>97</v>
      </c>
      <c r="F567" t="s">
        <v>98</v>
      </c>
      <c r="G567">
        <v>24</v>
      </c>
      <c r="H567">
        <v>2</v>
      </c>
      <c r="I567">
        <v>24030000</v>
      </c>
      <c r="J567">
        <v>732</v>
      </c>
      <c r="K567">
        <v>0</v>
      </c>
      <c r="L567">
        <v>14461</v>
      </c>
      <c r="M567">
        <v>13.850304</v>
      </c>
      <c r="N567">
        <v>101.10615</v>
      </c>
      <c r="O567">
        <v>39.360000999999997</v>
      </c>
      <c r="P567">
        <v>0.01</v>
      </c>
      <c r="Q567">
        <v>9.23</v>
      </c>
      <c r="R567">
        <v>0.04</v>
      </c>
      <c r="S567">
        <v>0</v>
      </c>
      <c r="T567">
        <v>11.64</v>
      </c>
      <c r="U567">
        <v>7.03</v>
      </c>
      <c r="V567">
        <v>0</v>
      </c>
      <c r="W567">
        <v>0</v>
      </c>
      <c r="X567">
        <v>38156.764335</v>
      </c>
      <c r="Y567">
        <v>63454513.456</v>
      </c>
    </row>
    <row r="568" spans="1:25" x14ac:dyDescent="0.55000000000000004">
      <c r="A568">
        <v>566</v>
      </c>
      <c r="B568" t="s">
        <v>20</v>
      </c>
      <c r="C568">
        <v>40</v>
      </c>
      <c r="D568">
        <v>3</v>
      </c>
      <c r="E568" t="s">
        <v>97</v>
      </c>
      <c r="F568" t="s">
        <v>98</v>
      </c>
      <c r="G568">
        <v>24</v>
      </c>
      <c r="H568">
        <v>2</v>
      </c>
      <c r="I568">
        <v>24030000</v>
      </c>
      <c r="J568">
        <v>733</v>
      </c>
      <c r="K568">
        <v>0</v>
      </c>
      <c r="L568">
        <v>14460</v>
      </c>
      <c r="M568">
        <v>13.850304</v>
      </c>
      <c r="N568">
        <v>101.02302</v>
      </c>
      <c r="O568">
        <v>23.790001</v>
      </c>
      <c r="P568">
        <v>0.17</v>
      </c>
      <c r="Q568">
        <v>44.470001000000003</v>
      </c>
      <c r="R568">
        <v>0.03</v>
      </c>
      <c r="S568">
        <v>0.77</v>
      </c>
      <c r="T568">
        <v>7.86</v>
      </c>
      <c r="U568">
        <v>5.76</v>
      </c>
      <c r="V568">
        <v>0</v>
      </c>
      <c r="W568">
        <v>0</v>
      </c>
      <c r="X568">
        <v>35842.406014</v>
      </c>
      <c r="Y568">
        <v>80291576.809699997</v>
      </c>
    </row>
    <row r="569" spans="1:25" x14ac:dyDescent="0.55000000000000004">
      <c r="A569">
        <v>567</v>
      </c>
      <c r="B569" t="s">
        <v>20</v>
      </c>
      <c r="C569">
        <v>40</v>
      </c>
      <c r="D569">
        <v>3</v>
      </c>
      <c r="E569" t="s">
        <v>97</v>
      </c>
      <c r="F569" t="s">
        <v>98</v>
      </c>
      <c r="G569">
        <v>24</v>
      </c>
      <c r="H569">
        <v>2</v>
      </c>
      <c r="I569">
        <v>24030000</v>
      </c>
      <c r="J569">
        <v>783</v>
      </c>
      <c r="K569">
        <v>0</v>
      </c>
      <c r="L569">
        <v>14462</v>
      </c>
      <c r="M569">
        <v>13.850304</v>
      </c>
      <c r="N569">
        <v>101.189285</v>
      </c>
      <c r="O569">
        <v>26.26</v>
      </c>
      <c r="P569">
        <v>0.56999999999999995</v>
      </c>
      <c r="Q569">
        <v>8.17</v>
      </c>
      <c r="R569">
        <v>0.02</v>
      </c>
      <c r="S569">
        <v>0.4</v>
      </c>
      <c r="T569">
        <v>30.01</v>
      </c>
      <c r="U569">
        <v>27.219999000000001</v>
      </c>
      <c r="V569">
        <v>0</v>
      </c>
      <c r="W569">
        <v>0</v>
      </c>
      <c r="X569">
        <v>10934.635238999999</v>
      </c>
      <c r="Y569">
        <v>2624603.5027399999</v>
      </c>
    </row>
    <row r="570" spans="1:25" x14ac:dyDescent="0.55000000000000004">
      <c r="A570">
        <v>568</v>
      </c>
      <c r="B570" t="s">
        <v>20</v>
      </c>
      <c r="C570">
        <v>40</v>
      </c>
      <c r="D570">
        <v>3</v>
      </c>
      <c r="E570" t="s">
        <v>97</v>
      </c>
      <c r="F570" t="s">
        <v>98</v>
      </c>
      <c r="G570">
        <v>24</v>
      </c>
      <c r="H570">
        <v>2</v>
      </c>
      <c r="I570">
        <v>24030000</v>
      </c>
      <c r="J570">
        <v>833</v>
      </c>
      <c r="K570">
        <v>0</v>
      </c>
      <c r="L570">
        <v>14579</v>
      </c>
      <c r="M570">
        <v>13.931006999999999</v>
      </c>
      <c r="N570">
        <v>100.93988</v>
      </c>
      <c r="O570">
        <v>0.36</v>
      </c>
      <c r="P570">
        <v>0.03</v>
      </c>
      <c r="Q570">
        <v>6.83</v>
      </c>
      <c r="R570">
        <v>1.21</v>
      </c>
      <c r="S570">
        <v>1.29</v>
      </c>
      <c r="T570">
        <v>17.209999</v>
      </c>
      <c r="U570">
        <v>4.32</v>
      </c>
      <c r="V570">
        <v>0</v>
      </c>
      <c r="W570">
        <v>0</v>
      </c>
      <c r="X570">
        <v>32106.833655999999</v>
      </c>
      <c r="Y570">
        <v>63135093.841799997</v>
      </c>
    </row>
    <row r="571" spans="1:25" x14ac:dyDescent="0.55000000000000004">
      <c r="A571">
        <v>569</v>
      </c>
      <c r="B571" t="s">
        <v>20</v>
      </c>
      <c r="C571">
        <v>40</v>
      </c>
      <c r="D571">
        <v>3</v>
      </c>
      <c r="E571" t="s">
        <v>97</v>
      </c>
      <c r="F571" t="s">
        <v>98</v>
      </c>
      <c r="G571">
        <v>24</v>
      </c>
      <c r="H571">
        <v>2</v>
      </c>
      <c r="I571">
        <v>24030000</v>
      </c>
      <c r="J571">
        <v>842</v>
      </c>
      <c r="K571">
        <v>0</v>
      </c>
      <c r="L571">
        <v>14580</v>
      </c>
      <c r="M571">
        <v>13.931006999999999</v>
      </c>
      <c r="N571">
        <v>101.02302</v>
      </c>
      <c r="O571">
        <v>2.29</v>
      </c>
      <c r="P571">
        <v>0.08</v>
      </c>
      <c r="Q571">
        <v>30.299999</v>
      </c>
      <c r="R571">
        <v>1.9</v>
      </c>
      <c r="S571">
        <v>0.27</v>
      </c>
      <c r="T571">
        <v>5.6</v>
      </c>
      <c r="U571">
        <v>1.43</v>
      </c>
      <c r="V571">
        <v>0</v>
      </c>
      <c r="W571">
        <v>0</v>
      </c>
      <c r="X571">
        <v>35684.725572000003</v>
      </c>
      <c r="Y571">
        <v>79673542.612599999</v>
      </c>
    </row>
    <row r="572" spans="1:25" x14ac:dyDescent="0.55000000000000004">
      <c r="A572">
        <v>570</v>
      </c>
      <c r="B572" t="s">
        <v>20</v>
      </c>
      <c r="C572">
        <v>40</v>
      </c>
      <c r="D572">
        <v>3</v>
      </c>
      <c r="E572" t="s">
        <v>97</v>
      </c>
      <c r="F572" t="s">
        <v>98</v>
      </c>
      <c r="G572">
        <v>24</v>
      </c>
      <c r="H572">
        <v>2</v>
      </c>
      <c r="I572">
        <v>24030000</v>
      </c>
      <c r="J572">
        <v>843</v>
      </c>
      <c r="K572">
        <v>0</v>
      </c>
      <c r="L572">
        <v>14700</v>
      </c>
      <c r="M572">
        <v>14.011680999999999</v>
      </c>
      <c r="N572">
        <v>101.02302</v>
      </c>
      <c r="O572">
        <v>0.38</v>
      </c>
      <c r="P572">
        <v>0.53</v>
      </c>
      <c r="Q572">
        <v>3.4</v>
      </c>
      <c r="R572">
        <v>1.02</v>
      </c>
      <c r="S572">
        <v>0.01</v>
      </c>
      <c r="T572">
        <v>24.860001</v>
      </c>
      <c r="U572">
        <v>5.36</v>
      </c>
      <c r="V572">
        <v>0</v>
      </c>
      <c r="W572">
        <v>0</v>
      </c>
      <c r="X572">
        <v>9202.8420470000001</v>
      </c>
      <c r="Y572">
        <v>1745417.65741</v>
      </c>
    </row>
    <row r="573" spans="1:25" x14ac:dyDescent="0.55000000000000004">
      <c r="A573">
        <v>571</v>
      </c>
      <c r="B573" t="s">
        <v>20</v>
      </c>
      <c r="C573">
        <v>40</v>
      </c>
      <c r="D573">
        <v>3</v>
      </c>
      <c r="E573" t="s">
        <v>97</v>
      </c>
      <c r="F573" t="s">
        <v>98</v>
      </c>
      <c r="G573">
        <v>24</v>
      </c>
      <c r="H573">
        <v>2</v>
      </c>
      <c r="I573">
        <v>24030000</v>
      </c>
      <c r="J573">
        <v>844</v>
      </c>
      <c r="K573">
        <v>0</v>
      </c>
      <c r="L573">
        <v>14581</v>
      </c>
      <c r="M573">
        <v>13.931006999999999</v>
      </c>
      <c r="N573">
        <v>101.10615</v>
      </c>
      <c r="O573">
        <v>2.35</v>
      </c>
      <c r="P573">
        <v>0.08</v>
      </c>
      <c r="Q573">
        <v>32.509998000000003</v>
      </c>
      <c r="R573">
        <v>1.54</v>
      </c>
      <c r="S573">
        <v>0</v>
      </c>
      <c r="T573">
        <v>11.13</v>
      </c>
      <c r="U573">
        <v>2.62</v>
      </c>
      <c r="V573">
        <v>0</v>
      </c>
      <c r="W573">
        <v>0</v>
      </c>
      <c r="X573">
        <v>35297.957049999997</v>
      </c>
      <c r="Y573">
        <v>78993730.155599996</v>
      </c>
    </row>
    <row r="574" spans="1:25" x14ac:dyDescent="0.55000000000000004">
      <c r="A574">
        <v>572</v>
      </c>
      <c r="B574" t="s">
        <v>20</v>
      </c>
      <c r="C574">
        <v>40</v>
      </c>
      <c r="D574">
        <v>3</v>
      </c>
      <c r="E574" t="s">
        <v>97</v>
      </c>
      <c r="F574" t="s">
        <v>98</v>
      </c>
      <c r="G574">
        <v>24</v>
      </c>
      <c r="H574">
        <v>2</v>
      </c>
      <c r="I574">
        <v>24030000</v>
      </c>
      <c r="J574">
        <v>845</v>
      </c>
      <c r="K574">
        <v>0</v>
      </c>
      <c r="L574">
        <v>14701</v>
      </c>
      <c r="M574">
        <v>14.011680999999999</v>
      </c>
      <c r="N574">
        <v>101.10615</v>
      </c>
      <c r="O574">
        <v>0.08</v>
      </c>
      <c r="P574">
        <v>0.31</v>
      </c>
      <c r="Q574">
        <v>22.43</v>
      </c>
      <c r="R574">
        <v>2.87</v>
      </c>
      <c r="S574">
        <v>0</v>
      </c>
      <c r="T574">
        <v>11.88</v>
      </c>
      <c r="U574">
        <v>11.18</v>
      </c>
      <c r="V574">
        <v>0</v>
      </c>
      <c r="W574">
        <v>0</v>
      </c>
      <c r="X574">
        <v>13270.041938</v>
      </c>
      <c r="Y574">
        <v>1830270.6943699999</v>
      </c>
    </row>
    <row r="575" spans="1:25" x14ac:dyDescent="0.55000000000000004">
      <c r="A575">
        <v>573</v>
      </c>
      <c r="B575" t="s">
        <v>20</v>
      </c>
      <c r="C575">
        <v>40</v>
      </c>
      <c r="D575">
        <v>3</v>
      </c>
      <c r="E575" t="s">
        <v>97</v>
      </c>
      <c r="F575" t="s">
        <v>98</v>
      </c>
      <c r="G575">
        <v>24</v>
      </c>
      <c r="H575">
        <v>2</v>
      </c>
      <c r="I575">
        <v>24030000</v>
      </c>
      <c r="J575">
        <v>846</v>
      </c>
      <c r="K575">
        <v>0</v>
      </c>
      <c r="L575">
        <v>14582</v>
      </c>
      <c r="M575">
        <v>13.931006999999999</v>
      </c>
      <c r="N575">
        <v>101.189285</v>
      </c>
      <c r="O575">
        <v>0.97</v>
      </c>
      <c r="P575">
        <v>0.31</v>
      </c>
      <c r="Q575">
        <v>25.959999</v>
      </c>
      <c r="R575">
        <v>2.39</v>
      </c>
      <c r="S575">
        <v>0.94</v>
      </c>
      <c r="T575">
        <v>7.26</v>
      </c>
      <c r="U575">
        <v>7.1</v>
      </c>
      <c r="V575">
        <v>0</v>
      </c>
      <c r="W575">
        <v>0</v>
      </c>
      <c r="X575">
        <v>19669.057884000002</v>
      </c>
      <c r="Y575">
        <v>5109599.7289399998</v>
      </c>
    </row>
    <row r="576" spans="1:25" x14ac:dyDescent="0.55000000000000004">
      <c r="A576">
        <v>574</v>
      </c>
      <c r="B576" t="s">
        <v>20</v>
      </c>
      <c r="C576">
        <v>41</v>
      </c>
      <c r="D576">
        <v>4</v>
      </c>
      <c r="E576" t="s">
        <v>99</v>
      </c>
      <c r="F576" t="s">
        <v>100</v>
      </c>
      <c r="G576">
        <v>24</v>
      </c>
      <c r="H576">
        <v>2</v>
      </c>
      <c r="I576">
        <v>24040000</v>
      </c>
      <c r="J576">
        <v>684</v>
      </c>
      <c r="K576">
        <v>0</v>
      </c>
      <c r="L576">
        <v>13859</v>
      </c>
      <c r="M576">
        <v>13.446358</v>
      </c>
      <c r="N576">
        <v>100.93988</v>
      </c>
      <c r="O576">
        <v>0.5</v>
      </c>
      <c r="P576">
        <v>5.71</v>
      </c>
      <c r="Q576">
        <v>0.03</v>
      </c>
      <c r="R576">
        <v>5</v>
      </c>
      <c r="S576">
        <v>5.15</v>
      </c>
      <c r="T576">
        <v>23.23</v>
      </c>
      <c r="U576">
        <v>6.55</v>
      </c>
      <c r="V576">
        <v>0.49</v>
      </c>
      <c r="W576">
        <v>0</v>
      </c>
      <c r="X576">
        <v>23604.345352</v>
      </c>
      <c r="Y576">
        <v>20065946.987100001</v>
      </c>
    </row>
    <row r="577" spans="1:25" x14ac:dyDescent="0.55000000000000004">
      <c r="A577">
        <v>575</v>
      </c>
      <c r="B577" t="s">
        <v>20</v>
      </c>
      <c r="C577">
        <v>41</v>
      </c>
      <c r="D577">
        <v>4</v>
      </c>
      <c r="E577" t="s">
        <v>99</v>
      </c>
      <c r="F577" t="s">
        <v>100</v>
      </c>
      <c r="G577">
        <v>24</v>
      </c>
      <c r="H577">
        <v>2</v>
      </c>
      <c r="I577">
        <v>24040000</v>
      </c>
      <c r="J577">
        <v>685</v>
      </c>
      <c r="K577">
        <v>0</v>
      </c>
      <c r="L577">
        <v>13858</v>
      </c>
      <c r="M577">
        <v>13.446358</v>
      </c>
      <c r="N577">
        <v>100.85674</v>
      </c>
      <c r="O577">
        <v>0.44</v>
      </c>
      <c r="P577">
        <v>0.08</v>
      </c>
      <c r="Q577">
        <v>0</v>
      </c>
      <c r="R577">
        <v>3.86</v>
      </c>
      <c r="S577">
        <v>4.29</v>
      </c>
      <c r="T577">
        <v>32.889999000000003</v>
      </c>
      <c r="U577">
        <v>6.44</v>
      </c>
      <c r="V577">
        <v>0.62</v>
      </c>
      <c r="W577">
        <v>0</v>
      </c>
      <c r="X577">
        <v>13790.996633000001</v>
      </c>
      <c r="Y577">
        <v>8247737.6838999996</v>
      </c>
    </row>
    <row r="578" spans="1:25" x14ac:dyDescent="0.55000000000000004">
      <c r="A578">
        <v>576</v>
      </c>
      <c r="B578" t="s">
        <v>20</v>
      </c>
      <c r="C578">
        <v>41</v>
      </c>
      <c r="D578">
        <v>4</v>
      </c>
      <c r="E578" t="s">
        <v>99</v>
      </c>
      <c r="F578" t="s">
        <v>100</v>
      </c>
      <c r="G578">
        <v>24</v>
      </c>
      <c r="H578">
        <v>2</v>
      </c>
      <c r="I578">
        <v>24040000</v>
      </c>
      <c r="J578">
        <v>692</v>
      </c>
      <c r="K578">
        <v>0</v>
      </c>
      <c r="L578">
        <v>13860</v>
      </c>
      <c r="M578">
        <v>13.446358</v>
      </c>
      <c r="N578">
        <v>101.02302</v>
      </c>
      <c r="O578">
        <v>0.03</v>
      </c>
      <c r="P578">
        <v>41.380001</v>
      </c>
      <c r="Q578">
        <v>4.1100000000000003</v>
      </c>
      <c r="R578">
        <v>3.2</v>
      </c>
      <c r="S578">
        <v>0.97</v>
      </c>
      <c r="T578">
        <v>44.740001999999997</v>
      </c>
      <c r="U578">
        <v>5.44</v>
      </c>
      <c r="V578">
        <v>0</v>
      </c>
      <c r="W578">
        <v>0</v>
      </c>
      <c r="X578">
        <v>17482.180415999999</v>
      </c>
      <c r="Y578">
        <v>12945058.4737</v>
      </c>
    </row>
    <row r="579" spans="1:25" x14ac:dyDescent="0.55000000000000004">
      <c r="A579">
        <v>577</v>
      </c>
      <c r="B579" t="s">
        <v>20</v>
      </c>
      <c r="C579">
        <v>41</v>
      </c>
      <c r="D579">
        <v>4</v>
      </c>
      <c r="E579" t="s">
        <v>99</v>
      </c>
      <c r="F579" t="s">
        <v>100</v>
      </c>
      <c r="G579">
        <v>24</v>
      </c>
      <c r="H579">
        <v>2</v>
      </c>
      <c r="I579">
        <v>24040000</v>
      </c>
      <c r="J579">
        <v>706</v>
      </c>
      <c r="K579">
        <v>0</v>
      </c>
      <c r="L579">
        <v>13978</v>
      </c>
      <c r="M579">
        <v>13.527199</v>
      </c>
      <c r="N579">
        <v>100.85674</v>
      </c>
      <c r="O579">
        <v>3.53</v>
      </c>
      <c r="P579">
        <v>0.38</v>
      </c>
      <c r="Q579">
        <v>0.01</v>
      </c>
      <c r="R579">
        <v>4.33</v>
      </c>
      <c r="S579">
        <v>2.0499999999999998</v>
      </c>
      <c r="T579">
        <v>14.13</v>
      </c>
      <c r="U579">
        <v>7.92</v>
      </c>
      <c r="V579">
        <v>0.5</v>
      </c>
      <c r="W579">
        <v>0</v>
      </c>
      <c r="X579">
        <v>23393.652192000001</v>
      </c>
      <c r="Y579">
        <v>20028123.445900001</v>
      </c>
    </row>
    <row r="580" spans="1:25" x14ac:dyDescent="0.55000000000000004">
      <c r="A580">
        <v>578</v>
      </c>
      <c r="B580" t="s">
        <v>20</v>
      </c>
      <c r="C580">
        <v>41</v>
      </c>
      <c r="D580">
        <v>4</v>
      </c>
      <c r="E580" t="s">
        <v>99</v>
      </c>
      <c r="F580" t="s">
        <v>100</v>
      </c>
      <c r="G580">
        <v>24</v>
      </c>
      <c r="H580">
        <v>2</v>
      </c>
      <c r="I580">
        <v>24040000</v>
      </c>
      <c r="J580">
        <v>714</v>
      </c>
      <c r="K580">
        <v>0</v>
      </c>
      <c r="L580">
        <v>13980</v>
      </c>
      <c r="M580">
        <v>13.527199</v>
      </c>
      <c r="N580">
        <v>101.02302</v>
      </c>
      <c r="O580">
        <v>4.5199999999999996</v>
      </c>
      <c r="P580">
        <v>9.1</v>
      </c>
      <c r="Q580">
        <v>6.18</v>
      </c>
      <c r="R580">
        <v>3.52</v>
      </c>
      <c r="S580">
        <v>0.94</v>
      </c>
      <c r="T580">
        <v>28.809999000000001</v>
      </c>
      <c r="U580">
        <v>3.01</v>
      </c>
      <c r="V580">
        <v>0</v>
      </c>
      <c r="W580">
        <v>0</v>
      </c>
      <c r="X580">
        <v>34694.637648999997</v>
      </c>
      <c r="Y580">
        <v>64601743.004500002</v>
      </c>
    </row>
    <row r="581" spans="1:25" x14ac:dyDescent="0.55000000000000004">
      <c r="A581">
        <v>579</v>
      </c>
      <c r="B581" t="s">
        <v>20</v>
      </c>
      <c r="C581">
        <v>41</v>
      </c>
      <c r="D581">
        <v>4</v>
      </c>
      <c r="E581" t="s">
        <v>99</v>
      </c>
      <c r="F581" t="s">
        <v>100</v>
      </c>
      <c r="G581">
        <v>24</v>
      </c>
      <c r="H581">
        <v>2</v>
      </c>
      <c r="I581">
        <v>24040000</v>
      </c>
      <c r="J581">
        <v>715</v>
      </c>
      <c r="K581">
        <v>0</v>
      </c>
      <c r="L581">
        <v>13979</v>
      </c>
      <c r="M581">
        <v>13.527199</v>
      </c>
      <c r="N581">
        <v>100.93988</v>
      </c>
      <c r="O581">
        <v>10.19</v>
      </c>
      <c r="P581">
        <v>1.52</v>
      </c>
      <c r="Q581">
        <v>0.35</v>
      </c>
      <c r="R581">
        <v>0.93</v>
      </c>
      <c r="S581">
        <v>5.91</v>
      </c>
      <c r="T581">
        <v>11.75</v>
      </c>
      <c r="U581">
        <v>7.64</v>
      </c>
      <c r="V581">
        <v>0.1</v>
      </c>
      <c r="W581">
        <v>0</v>
      </c>
      <c r="X581">
        <v>35779.646678999998</v>
      </c>
      <c r="Y581">
        <v>79039715.898100004</v>
      </c>
    </row>
    <row r="582" spans="1:25" x14ac:dyDescent="0.55000000000000004">
      <c r="A582">
        <v>580</v>
      </c>
      <c r="B582" t="s">
        <v>20</v>
      </c>
      <c r="C582">
        <v>41</v>
      </c>
      <c r="D582">
        <v>4</v>
      </c>
      <c r="E582" t="s">
        <v>99</v>
      </c>
      <c r="F582" t="s">
        <v>100</v>
      </c>
      <c r="G582">
        <v>24</v>
      </c>
      <c r="H582">
        <v>2</v>
      </c>
      <c r="I582">
        <v>24040000</v>
      </c>
      <c r="J582">
        <v>718</v>
      </c>
      <c r="K582">
        <v>0</v>
      </c>
      <c r="L582">
        <v>14099</v>
      </c>
      <c r="M582">
        <v>13.608017</v>
      </c>
      <c r="N582">
        <v>100.93988</v>
      </c>
      <c r="O582">
        <v>2.58</v>
      </c>
      <c r="P582">
        <v>0.1</v>
      </c>
      <c r="Q582">
        <v>0.12</v>
      </c>
      <c r="R582">
        <v>53.419998</v>
      </c>
      <c r="S582">
        <v>1.21</v>
      </c>
      <c r="T582">
        <v>7.41</v>
      </c>
      <c r="U582">
        <v>22.219999000000001</v>
      </c>
      <c r="V582">
        <v>0.25</v>
      </c>
      <c r="W582">
        <v>0</v>
      </c>
      <c r="X582">
        <v>27822.709588999998</v>
      </c>
      <c r="Y582">
        <v>39679071.701800004</v>
      </c>
    </row>
    <row r="583" spans="1:25" x14ac:dyDescent="0.55000000000000004">
      <c r="A583">
        <v>581</v>
      </c>
      <c r="B583" t="s">
        <v>20</v>
      </c>
      <c r="C583">
        <v>41</v>
      </c>
      <c r="D583">
        <v>4</v>
      </c>
      <c r="E583" t="s">
        <v>99</v>
      </c>
      <c r="F583" t="s">
        <v>100</v>
      </c>
      <c r="G583">
        <v>24</v>
      </c>
      <c r="H583">
        <v>2</v>
      </c>
      <c r="I583">
        <v>24040000</v>
      </c>
      <c r="J583">
        <v>720</v>
      </c>
      <c r="K583">
        <v>0</v>
      </c>
      <c r="L583">
        <v>13981</v>
      </c>
      <c r="M583">
        <v>13.527199</v>
      </c>
      <c r="N583">
        <v>101.10615</v>
      </c>
      <c r="O583">
        <v>3.51</v>
      </c>
      <c r="P583">
        <v>6.94</v>
      </c>
      <c r="Q583">
        <v>0.25</v>
      </c>
      <c r="R583">
        <v>0.08</v>
      </c>
      <c r="S583">
        <v>0.13</v>
      </c>
      <c r="T583">
        <v>54.290000999999997</v>
      </c>
      <c r="U583">
        <v>1.47</v>
      </c>
      <c r="V583">
        <v>0</v>
      </c>
      <c r="W583">
        <v>0</v>
      </c>
      <c r="X583">
        <v>6480.2341500000002</v>
      </c>
      <c r="Y583">
        <v>1326386.2844799999</v>
      </c>
    </row>
    <row r="584" spans="1:25" x14ac:dyDescent="0.55000000000000004">
      <c r="A584">
        <v>582</v>
      </c>
      <c r="B584" t="s">
        <v>20</v>
      </c>
      <c r="C584">
        <v>41</v>
      </c>
      <c r="D584">
        <v>4</v>
      </c>
      <c r="E584" t="s">
        <v>99</v>
      </c>
      <c r="F584" t="s">
        <v>100</v>
      </c>
      <c r="G584">
        <v>24</v>
      </c>
      <c r="H584">
        <v>2</v>
      </c>
      <c r="I584">
        <v>24040000</v>
      </c>
      <c r="J584">
        <v>723</v>
      </c>
      <c r="K584">
        <v>0</v>
      </c>
      <c r="L584">
        <v>14100</v>
      </c>
      <c r="M584">
        <v>13.608017</v>
      </c>
      <c r="N584">
        <v>101.02302</v>
      </c>
      <c r="O584">
        <v>1.5</v>
      </c>
      <c r="P584">
        <v>0.04</v>
      </c>
      <c r="Q584">
        <v>1.64</v>
      </c>
      <c r="R584">
        <v>8.5500000000000007</v>
      </c>
      <c r="S584">
        <v>1.58</v>
      </c>
      <c r="T584">
        <v>9.66</v>
      </c>
      <c r="U584">
        <v>21.65</v>
      </c>
      <c r="V584">
        <v>0.2</v>
      </c>
      <c r="W584">
        <v>0</v>
      </c>
      <c r="X584">
        <v>21858.946574000001</v>
      </c>
      <c r="Y584">
        <v>14423205.8322</v>
      </c>
    </row>
    <row r="585" spans="1:25" x14ac:dyDescent="0.55000000000000004">
      <c r="A585">
        <v>583</v>
      </c>
      <c r="B585" t="s">
        <v>20</v>
      </c>
      <c r="C585">
        <v>42</v>
      </c>
      <c r="D585">
        <v>5</v>
      </c>
      <c r="E585" t="s">
        <v>101</v>
      </c>
      <c r="F585" t="s">
        <v>102</v>
      </c>
      <c r="G585">
        <v>24</v>
      </c>
      <c r="H585">
        <v>2</v>
      </c>
      <c r="I585">
        <v>24050000</v>
      </c>
      <c r="J585">
        <v>714</v>
      </c>
      <c r="K585">
        <v>0</v>
      </c>
      <c r="L585">
        <v>13980</v>
      </c>
      <c r="M585">
        <v>13.527199</v>
      </c>
      <c r="N585">
        <v>101.02302</v>
      </c>
      <c r="O585">
        <v>4.5199999999999996</v>
      </c>
      <c r="P585">
        <v>9.1</v>
      </c>
      <c r="Q585">
        <v>6.18</v>
      </c>
      <c r="R585">
        <v>3.52</v>
      </c>
      <c r="S585">
        <v>0.94</v>
      </c>
      <c r="T585">
        <v>28.809999000000001</v>
      </c>
      <c r="U585">
        <v>3.01</v>
      </c>
      <c r="V585">
        <v>0</v>
      </c>
      <c r="W585">
        <v>0</v>
      </c>
      <c r="X585">
        <v>14457.802207000001</v>
      </c>
      <c r="Y585">
        <v>7447470.1090900004</v>
      </c>
    </row>
    <row r="586" spans="1:25" x14ac:dyDescent="0.55000000000000004">
      <c r="A586">
        <v>584</v>
      </c>
      <c r="B586" t="s">
        <v>20</v>
      </c>
      <c r="C586">
        <v>42</v>
      </c>
      <c r="D586">
        <v>5</v>
      </c>
      <c r="E586" t="s">
        <v>101</v>
      </c>
      <c r="F586" t="s">
        <v>102</v>
      </c>
      <c r="G586">
        <v>24</v>
      </c>
      <c r="H586">
        <v>2</v>
      </c>
      <c r="I586">
        <v>24050000</v>
      </c>
      <c r="J586">
        <v>716</v>
      </c>
      <c r="K586">
        <v>0</v>
      </c>
      <c r="L586">
        <v>14101</v>
      </c>
      <c r="M586">
        <v>13.608017</v>
      </c>
      <c r="N586">
        <v>101.10615</v>
      </c>
      <c r="O586">
        <v>9.66</v>
      </c>
      <c r="P586">
        <v>0.01</v>
      </c>
      <c r="Q586">
        <v>0.54</v>
      </c>
      <c r="R586">
        <v>0.17</v>
      </c>
      <c r="S586">
        <v>1.17</v>
      </c>
      <c r="T586">
        <v>7.87</v>
      </c>
      <c r="U586">
        <v>21.27</v>
      </c>
      <c r="V586">
        <v>0</v>
      </c>
      <c r="W586">
        <v>0</v>
      </c>
      <c r="X586">
        <v>36233.968180000003</v>
      </c>
      <c r="Y586">
        <v>69998406.755799994</v>
      </c>
    </row>
    <row r="587" spans="1:25" x14ac:dyDescent="0.55000000000000004">
      <c r="A587">
        <v>585</v>
      </c>
      <c r="B587" t="s">
        <v>20</v>
      </c>
      <c r="C587">
        <v>42</v>
      </c>
      <c r="D587">
        <v>5</v>
      </c>
      <c r="E587" t="s">
        <v>101</v>
      </c>
      <c r="F587" t="s">
        <v>102</v>
      </c>
      <c r="G587">
        <v>24</v>
      </c>
      <c r="H587">
        <v>2</v>
      </c>
      <c r="I587">
        <v>24050000</v>
      </c>
      <c r="J587">
        <v>718</v>
      </c>
      <c r="K587">
        <v>0</v>
      </c>
      <c r="L587">
        <v>14099</v>
      </c>
      <c r="M587">
        <v>13.608017</v>
      </c>
      <c r="N587">
        <v>100.93988</v>
      </c>
      <c r="O587">
        <v>2.58</v>
      </c>
      <c r="P587">
        <v>0.1</v>
      </c>
      <c r="Q587">
        <v>0.12</v>
      </c>
      <c r="R587">
        <v>53.419998</v>
      </c>
      <c r="S587">
        <v>1.21</v>
      </c>
      <c r="T587">
        <v>7.41</v>
      </c>
      <c r="U587">
        <v>22.219999000000001</v>
      </c>
      <c r="V587">
        <v>0.25</v>
      </c>
      <c r="W587">
        <v>0</v>
      </c>
      <c r="X587">
        <v>11368.287979000001</v>
      </c>
      <c r="Y587">
        <v>5717765.5738399997</v>
      </c>
    </row>
    <row r="588" spans="1:25" x14ac:dyDescent="0.55000000000000004">
      <c r="A588">
        <v>586</v>
      </c>
      <c r="B588" t="s">
        <v>20</v>
      </c>
      <c r="C588">
        <v>42</v>
      </c>
      <c r="D588">
        <v>5</v>
      </c>
      <c r="E588" t="s">
        <v>101</v>
      </c>
      <c r="F588" t="s">
        <v>102</v>
      </c>
      <c r="G588">
        <v>24</v>
      </c>
      <c r="H588">
        <v>2</v>
      </c>
      <c r="I588">
        <v>24050000</v>
      </c>
      <c r="J588">
        <v>720</v>
      </c>
      <c r="K588">
        <v>0</v>
      </c>
      <c r="L588">
        <v>13981</v>
      </c>
      <c r="M588">
        <v>13.527199</v>
      </c>
      <c r="N588">
        <v>101.10615</v>
      </c>
      <c r="O588">
        <v>3.51</v>
      </c>
      <c r="P588">
        <v>6.94</v>
      </c>
      <c r="Q588">
        <v>0.25</v>
      </c>
      <c r="R588">
        <v>0.08</v>
      </c>
      <c r="S588">
        <v>0.13</v>
      </c>
      <c r="T588">
        <v>54.290000999999997</v>
      </c>
      <c r="U588">
        <v>1.47</v>
      </c>
      <c r="V588">
        <v>0</v>
      </c>
      <c r="W588">
        <v>0</v>
      </c>
      <c r="X588">
        <v>15971.248485</v>
      </c>
      <c r="Y588">
        <v>6152824.3474000003</v>
      </c>
    </row>
    <row r="589" spans="1:25" x14ac:dyDescent="0.55000000000000004">
      <c r="A589">
        <v>587</v>
      </c>
      <c r="B589" t="s">
        <v>20</v>
      </c>
      <c r="C589">
        <v>42</v>
      </c>
      <c r="D589">
        <v>5</v>
      </c>
      <c r="E589" t="s">
        <v>101</v>
      </c>
      <c r="F589" t="s">
        <v>102</v>
      </c>
      <c r="G589">
        <v>24</v>
      </c>
      <c r="H589">
        <v>2</v>
      </c>
      <c r="I589">
        <v>24050000</v>
      </c>
      <c r="J589">
        <v>722</v>
      </c>
      <c r="K589">
        <v>0</v>
      </c>
      <c r="L589">
        <v>14219</v>
      </c>
      <c r="M589">
        <v>13.688805</v>
      </c>
      <c r="N589">
        <v>100.93988</v>
      </c>
      <c r="O589">
        <v>2.09</v>
      </c>
      <c r="P589">
        <v>3.29</v>
      </c>
      <c r="Q589">
        <v>7.77</v>
      </c>
      <c r="R589">
        <v>0.81</v>
      </c>
      <c r="S589">
        <v>0.87</v>
      </c>
      <c r="T589">
        <v>8.94</v>
      </c>
      <c r="U589">
        <v>8.8699999999999992</v>
      </c>
      <c r="V589">
        <v>0.61</v>
      </c>
      <c r="W589">
        <v>0</v>
      </c>
      <c r="X589">
        <v>21289.104345</v>
      </c>
      <c r="Y589">
        <v>16721496.0296</v>
      </c>
    </row>
    <row r="590" spans="1:25" x14ac:dyDescent="0.55000000000000004">
      <c r="A590">
        <v>588</v>
      </c>
      <c r="B590" t="s">
        <v>20</v>
      </c>
      <c r="C590">
        <v>42</v>
      </c>
      <c r="D590">
        <v>5</v>
      </c>
      <c r="E590" t="s">
        <v>101</v>
      </c>
      <c r="F590" t="s">
        <v>102</v>
      </c>
      <c r="G590">
        <v>24</v>
      </c>
      <c r="H590">
        <v>2</v>
      </c>
      <c r="I590">
        <v>24050000</v>
      </c>
      <c r="J590">
        <v>723</v>
      </c>
      <c r="K590">
        <v>0</v>
      </c>
      <c r="L590">
        <v>14100</v>
      </c>
      <c r="M590">
        <v>13.608017</v>
      </c>
      <c r="N590">
        <v>101.02302</v>
      </c>
      <c r="O590">
        <v>1.5</v>
      </c>
      <c r="P590">
        <v>0.04</v>
      </c>
      <c r="Q590">
        <v>1.64</v>
      </c>
      <c r="R590">
        <v>8.5500000000000007</v>
      </c>
      <c r="S590">
        <v>1.58</v>
      </c>
      <c r="T590">
        <v>9.66</v>
      </c>
      <c r="U590">
        <v>21.65</v>
      </c>
      <c r="V590">
        <v>0.2</v>
      </c>
      <c r="W590">
        <v>0</v>
      </c>
      <c r="X590">
        <v>37184.776023999999</v>
      </c>
      <c r="Y590">
        <v>61222788.389200002</v>
      </c>
    </row>
    <row r="591" spans="1:25" x14ac:dyDescent="0.55000000000000004">
      <c r="A591">
        <v>589</v>
      </c>
      <c r="B591" t="s">
        <v>20</v>
      </c>
      <c r="C591">
        <v>42</v>
      </c>
      <c r="D591">
        <v>5</v>
      </c>
      <c r="E591" t="s">
        <v>101</v>
      </c>
      <c r="F591" t="s">
        <v>102</v>
      </c>
      <c r="G591">
        <v>24</v>
      </c>
      <c r="H591">
        <v>2</v>
      </c>
      <c r="I591">
        <v>24050000</v>
      </c>
      <c r="J591">
        <v>728</v>
      </c>
      <c r="K591">
        <v>0</v>
      </c>
      <c r="L591">
        <v>14220</v>
      </c>
      <c r="M591">
        <v>13.688805</v>
      </c>
      <c r="N591">
        <v>101.02302</v>
      </c>
      <c r="O591">
        <v>3.87</v>
      </c>
      <c r="P591">
        <v>0</v>
      </c>
      <c r="Q591">
        <v>6.1</v>
      </c>
      <c r="R591">
        <v>7.65</v>
      </c>
      <c r="S591">
        <v>0.39</v>
      </c>
      <c r="T591">
        <v>6.36</v>
      </c>
      <c r="U591">
        <v>28.030000999999999</v>
      </c>
      <c r="V591">
        <v>0</v>
      </c>
      <c r="W591">
        <v>0</v>
      </c>
      <c r="X591">
        <v>8880.2481740000003</v>
      </c>
      <c r="Y591">
        <v>1634090.88858</v>
      </c>
    </row>
    <row r="592" spans="1:25" x14ac:dyDescent="0.55000000000000004">
      <c r="A592">
        <v>590</v>
      </c>
      <c r="B592" t="s">
        <v>20</v>
      </c>
      <c r="C592">
        <v>42</v>
      </c>
      <c r="D592">
        <v>5</v>
      </c>
      <c r="E592" t="s">
        <v>101</v>
      </c>
      <c r="F592" t="s">
        <v>102</v>
      </c>
      <c r="G592">
        <v>24</v>
      </c>
      <c r="H592">
        <v>2</v>
      </c>
      <c r="I592">
        <v>24050000</v>
      </c>
      <c r="J592">
        <v>731</v>
      </c>
      <c r="K592">
        <v>0</v>
      </c>
      <c r="L592">
        <v>14221</v>
      </c>
      <c r="M592">
        <v>13.688805</v>
      </c>
      <c r="N592">
        <v>101.10615</v>
      </c>
      <c r="O592">
        <v>18.200001</v>
      </c>
      <c r="P592">
        <v>0</v>
      </c>
      <c r="Q592">
        <v>3.39</v>
      </c>
      <c r="R592">
        <v>0.27</v>
      </c>
      <c r="S592">
        <v>0.08</v>
      </c>
      <c r="T592">
        <v>8.5500000000000007</v>
      </c>
      <c r="U592">
        <v>31.200001</v>
      </c>
      <c r="V592">
        <v>0</v>
      </c>
      <c r="W592">
        <v>0</v>
      </c>
      <c r="X592">
        <v>5865.7987050000002</v>
      </c>
      <c r="Y592">
        <v>842550.09325499996</v>
      </c>
    </row>
    <row r="593" spans="1:25" x14ac:dyDescent="0.55000000000000004">
      <c r="A593">
        <v>591</v>
      </c>
      <c r="B593" t="s">
        <v>20</v>
      </c>
      <c r="C593">
        <v>42</v>
      </c>
      <c r="D593">
        <v>5</v>
      </c>
      <c r="E593" t="s">
        <v>101</v>
      </c>
      <c r="F593" t="s">
        <v>102</v>
      </c>
      <c r="G593">
        <v>24</v>
      </c>
      <c r="H593">
        <v>2</v>
      </c>
      <c r="I593">
        <v>24050000</v>
      </c>
      <c r="J593">
        <v>776</v>
      </c>
      <c r="K593">
        <v>0</v>
      </c>
      <c r="L593">
        <v>14102</v>
      </c>
      <c r="M593">
        <v>13.608017</v>
      </c>
      <c r="N593">
        <v>101.189285</v>
      </c>
      <c r="O593">
        <v>43.639999000000003</v>
      </c>
      <c r="P593">
        <v>0</v>
      </c>
      <c r="Q593">
        <v>0.56000000000000005</v>
      </c>
      <c r="R593">
        <v>0.14000000000000001</v>
      </c>
      <c r="S593">
        <v>1.47</v>
      </c>
      <c r="T593">
        <v>8.0399999999999991</v>
      </c>
      <c r="U593">
        <v>8.4600000000000009</v>
      </c>
      <c r="V593">
        <v>0.19</v>
      </c>
      <c r="W593">
        <v>0</v>
      </c>
      <c r="X593">
        <v>30945.504257000001</v>
      </c>
      <c r="Y593">
        <v>38499972.098800004</v>
      </c>
    </row>
    <row r="594" spans="1:25" x14ac:dyDescent="0.55000000000000004">
      <c r="A594">
        <v>592</v>
      </c>
      <c r="B594" t="s">
        <v>20</v>
      </c>
      <c r="C594">
        <v>42</v>
      </c>
      <c r="D594">
        <v>5</v>
      </c>
      <c r="E594" t="s">
        <v>101</v>
      </c>
      <c r="F594" t="s">
        <v>102</v>
      </c>
      <c r="G594">
        <v>24</v>
      </c>
      <c r="H594">
        <v>2</v>
      </c>
      <c r="I594">
        <v>24050000</v>
      </c>
      <c r="J594">
        <v>779</v>
      </c>
      <c r="K594">
        <v>0</v>
      </c>
      <c r="L594">
        <v>14103</v>
      </c>
      <c r="M594">
        <v>13.608017</v>
      </c>
      <c r="N594">
        <v>101.27242</v>
      </c>
      <c r="O594">
        <v>55.900002000000001</v>
      </c>
      <c r="P594">
        <v>11.87</v>
      </c>
      <c r="Q594">
        <v>0.64</v>
      </c>
      <c r="R594">
        <v>3.48</v>
      </c>
      <c r="S594">
        <v>3.59</v>
      </c>
      <c r="T594">
        <v>6.66</v>
      </c>
      <c r="U594">
        <v>20.74</v>
      </c>
      <c r="V594">
        <v>0.14000000000000001</v>
      </c>
      <c r="W594">
        <v>0.05</v>
      </c>
      <c r="X594">
        <v>10068.269910000001</v>
      </c>
      <c r="Y594">
        <v>3002690.77868</v>
      </c>
    </row>
    <row r="595" spans="1:25" x14ac:dyDescent="0.55000000000000004">
      <c r="A595">
        <v>593</v>
      </c>
      <c r="B595" t="s">
        <v>20</v>
      </c>
      <c r="C595">
        <v>43</v>
      </c>
      <c r="D595">
        <v>6</v>
      </c>
      <c r="E595" t="s">
        <v>103</v>
      </c>
      <c r="F595" t="s">
        <v>104</v>
      </c>
      <c r="G595">
        <v>24</v>
      </c>
      <c r="H595">
        <v>2</v>
      </c>
      <c r="I595">
        <v>24060000</v>
      </c>
      <c r="J595">
        <v>777</v>
      </c>
      <c r="K595">
        <v>0</v>
      </c>
      <c r="L595">
        <v>14223</v>
      </c>
      <c r="M595">
        <v>13.688805</v>
      </c>
      <c r="N595">
        <v>101.27242</v>
      </c>
      <c r="O595">
        <v>23.59</v>
      </c>
      <c r="P595">
        <v>0.16</v>
      </c>
      <c r="Q595">
        <v>7.06</v>
      </c>
      <c r="R595">
        <v>0.03</v>
      </c>
      <c r="S595">
        <v>0.77</v>
      </c>
      <c r="T595">
        <v>9.77</v>
      </c>
      <c r="U595">
        <v>12.61</v>
      </c>
      <c r="V595">
        <v>2.08</v>
      </c>
      <c r="W595">
        <v>0</v>
      </c>
      <c r="X595">
        <v>22519.078669999999</v>
      </c>
      <c r="Y595">
        <v>21552807.377799999</v>
      </c>
    </row>
    <row r="596" spans="1:25" x14ac:dyDescent="0.55000000000000004">
      <c r="A596">
        <v>594</v>
      </c>
      <c r="B596" t="s">
        <v>20</v>
      </c>
      <c r="C596">
        <v>43</v>
      </c>
      <c r="D596">
        <v>6</v>
      </c>
      <c r="E596" t="s">
        <v>103</v>
      </c>
      <c r="F596" t="s">
        <v>104</v>
      </c>
      <c r="G596">
        <v>24</v>
      </c>
      <c r="H596">
        <v>2</v>
      </c>
      <c r="I596">
        <v>24060000</v>
      </c>
      <c r="J596">
        <v>780</v>
      </c>
      <c r="K596">
        <v>0</v>
      </c>
      <c r="L596">
        <v>14343</v>
      </c>
      <c r="M596">
        <v>13.769569000000001</v>
      </c>
      <c r="N596">
        <v>101.27242</v>
      </c>
      <c r="O596">
        <v>49.41</v>
      </c>
      <c r="P596">
        <v>1.31</v>
      </c>
      <c r="Q596">
        <v>9.1199999999999992</v>
      </c>
      <c r="R596">
        <v>0.08</v>
      </c>
      <c r="S596">
        <v>1.01</v>
      </c>
      <c r="T596">
        <v>9.6999999999999993</v>
      </c>
      <c r="U596">
        <v>4.63</v>
      </c>
      <c r="V596">
        <v>0.05</v>
      </c>
      <c r="W596">
        <v>0</v>
      </c>
      <c r="X596">
        <v>17121.872828</v>
      </c>
      <c r="Y596">
        <v>4118952.5428900002</v>
      </c>
    </row>
    <row r="597" spans="1:25" x14ac:dyDescent="0.55000000000000004">
      <c r="A597">
        <v>595</v>
      </c>
      <c r="B597" t="s">
        <v>20</v>
      </c>
      <c r="C597">
        <v>43</v>
      </c>
      <c r="D597">
        <v>6</v>
      </c>
      <c r="E597" t="s">
        <v>103</v>
      </c>
      <c r="F597" t="s">
        <v>104</v>
      </c>
      <c r="G597">
        <v>24</v>
      </c>
      <c r="H597">
        <v>2</v>
      </c>
      <c r="I597">
        <v>24060000</v>
      </c>
      <c r="J597">
        <v>785</v>
      </c>
      <c r="K597">
        <v>0</v>
      </c>
      <c r="L597">
        <v>14104</v>
      </c>
      <c r="M597">
        <v>13.608017</v>
      </c>
      <c r="N597">
        <v>101.35556</v>
      </c>
      <c r="O597">
        <v>19.41</v>
      </c>
      <c r="P597">
        <v>0.08</v>
      </c>
      <c r="Q597">
        <v>0.55000000000000004</v>
      </c>
      <c r="R597">
        <v>8.59</v>
      </c>
      <c r="S597">
        <v>4.33</v>
      </c>
      <c r="T597">
        <v>22.6</v>
      </c>
      <c r="U597">
        <v>66.849997999999999</v>
      </c>
      <c r="V597">
        <v>0.64</v>
      </c>
      <c r="W597">
        <v>0.01</v>
      </c>
      <c r="X597">
        <v>24879.626423999998</v>
      </c>
      <c r="Y597">
        <v>25341760.434900001</v>
      </c>
    </row>
    <row r="598" spans="1:25" x14ac:dyDescent="0.55000000000000004">
      <c r="A598">
        <v>596</v>
      </c>
      <c r="B598" t="s">
        <v>20</v>
      </c>
      <c r="C598">
        <v>43</v>
      </c>
      <c r="D598">
        <v>6</v>
      </c>
      <c r="E598" t="s">
        <v>103</v>
      </c>
      <c r="F598" t="s">
        <v>104</v>
      </c>
      <c r="G598">
        <v>24</v>
      </c>
      <c r="H598">
        <v>2</v>
      </c>
      <c r="I598">
        <v>24060000</v>
      </c>
      <c r="J598">
        <v>787</v>
      </c>
      <c r="K598">
        <v>0</v>
      </c>
      <c r="L598">
        <v>14105</v>
      </c>
      <c r="M598">
        <v>13.608017</v>
      </c>
      <c r="N598">
        <v>101.4387</v>
      </c>
      <c r="O598">
        <v>10.130000000000001</v>
      </c>
      <c r="P598">
        <v>0</v>
      </c>
      <c r="Q598">
        <v>0.43</v>
      </c>
      <c r="R598">
        <v>0.25</v>
      </c>
      <c r="S598">
        <v>2.06</v>
      </c>
      <c r="T598">
        <v>13.75</v>
      </c>
      <c r="U598">
        <v>4.55</v>
      </c>
      <c r="V598">
        <v>0.49</v>
      </c>
      <c r="W598">
        <v>0.31</v>
      </c>
      <c r="X598">
        <v>11222.380547999999</v>
      </c>
      <c r="Y598">
        <v>5012688.5932099996</v>
      </c>
    </row>
    <row r="599" spans="1:25" x14ac:dyDescent="0.55000000000000004">
      <c r="A599">
        <v>597</v>
      </c>
      <c r="B599" t="s">
        <v>20</v>
      </c>
      <c r="C599">
        <v>43</v>
      </c>
      <c r="D599">
        <v>6</v>
      </c>
      <c r="E599" t="s">
        <v>103</v>
      </c>
      <c r="F599" t="s">
        <v>104</v>
      </c>
      <c r="G599">
        <v>24</v>
      </c>
      <c r="H599">
        <v>2</v>
      </c>
      <c r="I599">
        <v>24060000</v>
      </c>
      <c r="J599">
        <v>789</v>
      </c>
      <c r="K599">
        <v>0</v>
      </c>
      <c r="L599">
        <v>14224</v>
      </c>
      <c r="M599">
        <v>13.688805</v>
      </c>
      <c r="N599">
        <v>101.35556</v>
      </c>
      <c r="O599">
        <v>34.509998000000003</v>
      </c>
      <c r="P599">
        <v>4.0199999999999996</v>
      </c>
      <c r="Q599">
        <v>0.9</v>
      </c>
      <c r="R599">
        <v>1.62</v>
      </c>
      <c r="S599">
        <v>0.94</v>
      </c>
      <c r="T599">
        <v>9.74</v>
      </c>
      <c r="U599">
        <v>6.83</v>
      </c>
      <c r="V599">
        <v>17.989999999999998</v>
      </c>
      <c r="W599">
        <v>0</v>
      </c>
      <c r="X599">
        <v>35853.679784</v>
      </c>
      <c r="Y599">
        <v>80440497.322099999</v>
      </c>
    </row>
    <row r="600" spans="1:25" x14ac:dyDescent="0.55000000000000004">
      <c r="A600">
        <v>598</v>
      </c>
      <c r="B600" t="s">
        <v>20</v>
      </c>
      <c r="C600">
        <v>43</v>
      </c>
      <c r="D600">
        <v>6</v>
      </c>
      <c r="E600" t="s">
        <v>103</v>
      </c>
      <c r="F600" t="s">
        <v>104</v>
      </c>
      <c r="G600">
        <v>24</v>
      </c>
      <c r="H600">
        <v>2</v>
      </c>
      <c r="I600">
        <v>24060000</v>
      </c>
      <c r="J600">
        <v>790</v>
      </c>
      <c r="K600">
        <v>0</v>
      </c>
      <c r="L600">
        <v>14345</v>
      </c>
      <c r="M600">
        <v>13.769569000000001</v>
      </c>
      <c r="N600">
        <v>101.4387</v>
      </c>
      <c r="O600">
        <v>0.92</v>
      </c>
      <c r="P600">
        <v>4.13</v>
      </c>
      <c r="Q600">
        <v>11.8</v>
      </c>
      <c r="R600">
        <v>11.5</v>
      </c>
      <c r="S600">
        <v>2.5499999999999998</v>
      </c>
      <c r="T600">
        <v>13.21</v>
      </c>
      <c r="U600">
        <v>2.54</v>
      </c>
      <c r="V600">
        <v>1.66</v>
      </c>
      <c r="W600">
        <v>0.03</v>
      </c>
      <c r="X600">
        <v>35864.863039000003</v>
      </c>
      <c r="Y600">
        <v>80392228.404100001</v>
      </c>
    </row>
    <row r="601" spans="1:25" x14ac:dyDescent="0.55000000000000004">
      <c r="A601">
        <v>599</v>
      </c>
      <c r="B601" t="s">
        <v>20</v>
      </c>
      <c r="C601">
        <v>43</v>
      </c>
      <c r="D601">
        <v>6</v>
      </c>
      <c r="E601" t="s">
        <v>103</v>
      </c>
      <c r="F601" t="s">
        <v>104</v>
      </c>
      <c r="G601">
        <v>24</v>
      </c>
      <c r="H601">
        <v>2</v>
      </c>
      <c r="I601">
        <v>24060000</v>
      </c>
      <c r="J601">
        <v>791</v>
      </c>
      <c r="K601">
        <v>0</v>
      </c>
      <c r="L601">
        <v>14344</v>
      </c>
      <c r="M601">
        <v>13.769569000000001</v>
      </c>
      <c r="N601">
        <v>101.35556</v>
      </c>
      <c r="O601">
        <v>23.120000999999998</v>
      </c>
      <c r="P601">
        <v>0.06</v>
      </c>
      <c r="Q601">
        <v>16.850000000000001</v>
      </c>
      <c r="R601">
        <v>0.05</v>
      </c>
      <c r="S601">
        <v>0.01</v>
      </c>
      <c r="T601">
        <v>7.81</v>
      </c>
      <c r="U601">
        <v>8.5500000000000007</v>
      </c>
      <c r="V601">
        <v>6.08</v>
      </c>
      <c r="W601">
        <v>0.24</v>
      </c>
      <c r="X601">
        <v>37412.444618000001</v>
      </c>
      <c r="Y601">
        <v>79414083.699900001</v>
      </c>
    </row>
    <row r="602" spans="1:25" x14ac:dyDescent="0.55000000000000004">
      <c r="A602">
        <v>600</v>
      </c>
      <c r="B602" t="s">
        <v>20</v>
      </c>
      <c r="C602">
        <v>43</v>
      </c>
      <c r="D602">
        <v>6</v>
      </c>
      <c r="E602" t="s">
        <v>103</v>
      </c>
      <c r="F602" t="s">
        <v>104</v>
      </c>
      <c r="G602">
        <v>24</v>
      </c>
      <c r="H602">
        <v>2</v>
      </c>
      <c r="I602">
        <v>24060000</v>
      </c>
      <c r="J602">
        <v>792</v>
      </c>
      <c r="K602">
        <v>0</v>
      </c>
      <c r="L602">
        <v>14225</v>
      </c>
      <c r="M602">
        <v>13.688805</v>
      </c>
      <c r="N602">
        <v>101.4387</v>
      </c>
      <c r="O602">
        <v>23.57</v>
      </c>
      <c r="P602">
        <v>0.03</v>
      </c>
      <c r="Q602">
        <v>1.1599999999999999</v>
      </c>
      <c r="R602">
        <v>9.65</v>
      </c>
      <c r="S602">
        <v>0.71</v>
      </c>
      <c r="T602">
        <v>24.84</v>
      </c>
      <c r="U602">
        <v>1.1200000000000001</v>
      </c>
      <c r="V602">
        <v>16.77</v>
      </c>
      <c r="W602">
        <v>0</v>
      </c>
      <c r="X602">
        <v>36279.774233999997</v>
      </c>
      <c r="Y602">
        <v>56524344.590800002</v>
      </c>
    </row>
    <row r="603" spans="1:25" x14ac:dyDescent="0.55000000000000004">
      <c r="A603">
        <v>601</v>
      </c>
      <c r="B603" t="s">
        <v>20</v>
      </c>
      <c r="C603">
        <v>43</v>
      </c>
      <c r="D603">
        <v>6</v>
      </c>
      <c r="E603" t="s">
        <v>103</v>
      </c>
      <c r="F603" t="s">
        <v>104</v>
      </c>
      <c r="G603">
        <v>24</v>
      </c>
      <c r="H603">
        <v>2</v>
      </c>
      <c r="I603">
        <v>24060000</v>
      </c>
      <c r="J603">
        <v>794</v>
      </c>
      <c r="K603">
        <v>0</v>
      </c>
      <c r="L603">
        <v>14465</v>
      </c>
      <c r="M603">
        <v>13.850304</v>
      </c>
      <c r="N603">
        <v>101.4387</v>
      </c>
      <c r="O603">
        <v>0.01</v>
      </c>
      <c r="P603">
        <v>12.42</v>
      </c>
      <c r="Q603">
        <v>13.19</v>
      </c>
      <c r="R603">
        <v>8.01</v>
      </c>
      <c r="S603">
        <v>2.57</v>
      </c>
      <c r="T603">
        <v>4.07</v>
      </c>
      <c r="U603">
        <v>20.399999999999999</v>
      </c>
      <c r="V603">
        <v>1.97</v>
      </c>
      <c r="W603">
        <v>0</v>
      </c>
      <c r="X603">
        <v>23481.000806</v>
      </c>
      <c r="Y603">
        <v>19692024.2293</v>
      </c>
    </row>
    <row r="604" spans="1:25" x14ac:dyDescent="0.55000000000000004">
      <c r="A604">
        <v>602</v>
      </c>
      <c r="B604" t="s">
        <v>20</v>
      </c>
      <c r="C604">
        <v>43</v>
      </c>
      <c r="D604">
        <v>6</v>
      </c>
      <c r="E604" t="s">
        <v>103</v>
      </c>
      <c r="F604" t="s">
        <v>104</v>
      </c>
      <c r="G604">
        <v>24</v>
      </c>
      <c r="H604">
        <v>2</v>
      </c>
      <c r="I604">
        <v>24060000</v>
      </c>
      <c r="J604">
        <v>795</v>
      </c>
      <c r="K604">
        <v>0</v>
      </c>
      <c r="L604">
        <v>14464</v>
      </c>
      <c r="M604">
        <v>13.850304</v>
      </c>
      <c r="N604">
        <v>101.35556</v>
      </c>
      <c r="O604">
        <v>3.7</v>
      </c>
      <c r="P604">
        <v>11.42</v>
      </c>
      <c r="Q604">
        <v>13.26</v>
      </c>
      <c r="R604">
        <v>0.02</v>
      </c>
      <c r="S604">
        <v>0.1</v>
      </c>
      <c r="T604">
        <v>8.7200000000000006</v>
      </c>
      <c r="U604">
        <v>10.66</v>
      </c>
      <c r="V604">
        <v>0.02</v>
      </c>
      <c r="W604">
        <v>0.01</v>
      </c>
      <c r="X604">
        <v>26683.203128000001</v>
      </c>
      <c r="Y604">
        <v>36614994.047200002</v>
      </c>
    </row>
    <row r="605" spans="1:25" x14ac:dyDescent="0.55000000000000004">
      <c r="A605">
        <v>603</v>
      </c>
      <c r="B605" t="s">
        <v>20</v>
      </c>
      <c r="C605">
        <v>43</v>
      </c>
      <c r="D605">
        <v>6</v>
      </c>
      <c r="E605" t="s">
        <v>103</v>
      </c>
      <c r="F605" t="s">
        <v>104</v>
      </c>
      <c r="G605">
        <v>24</v>
      </c>
      <c r="H605">
        <v>2</v>
      </c>
      <c r="I605">
        <v>24060000</v>
      </c>
      <c r="J605">
        <v>805</v>
      </c>
      <c r="K605">
        <v>0</v>
      </c>
      <c r="L605">
        <v>14226</v>
      </c>
      <c r="M605">
        <v>13.688805</v>
      </c>
      <c r="N605">
        <v>101.52182999999999</v>
      </c>
      <c r="O605">
        <v>19.02</v>
      </c>
      <c r="P605">
        <v>0.55000000000000004</v>
      </c>
      <c r="Q605">
        <v>1.35</v>
      </c>
      <c r="R605">
        <v>0.64</v>
      </c>
      <c r="S605">
        <v>0.89</v>
      </c>
      <c r="T605">
        <v>12.59</v>
      </c>
      <c r="U605">
        <v>1.3</v>
      </c>
      <c r="V605">
        <v>0.27</v>
      </c>
      <c r="W605">
        <v>0</v>
      </c>
      <c r="X605">
        <v>27522.783426999998</v>
      </c>
      <c r="Y605">
        <v>29886556.2163</v>
      </c>
    </row>
    <row r="606" spans="1:25" x14ac:dyDescent="0.55000000000000004">
      <c r="A606">
        <v>604</v>
      </c>
      <c r="B606" t="s">
        <v>20</v>
      </c>
      <c r="C606">
        <v>43</v>
      </c>
      <c r="D606">
        <v>6</v>
      </c>
      <c r="E606" t="s">
        <v>103</v>
      </c>
      <c r="F606" t="s">
        <v>104</v>
      </c>
      <c r="G606">
        <v>24</v>
      </c>
      <c r="H606">
        <v>2</v>
      </c>
      <c r="I606">
        <v>24060000</v>
      </c>
      <c r="J606">
        <v>806</v>
      </c>
      <c r="K606">
        <v>0</v>
      </c>
      <c r="L606">
        <v>14227</v>
      </c>
      <c r="M606">
        <v>13.688805</v>
      </c>
      <c r="N606">
        <v>101.60496500000001</v>
      </c>
      <c r="O606">
        <v>5.61</v>
      </c>
      <c r="P606">
        <v>0.08</v>
      </c>
      <c r="Q606">
        <v>0.64</v>
      </c>
      <c r="R606">
        <v>0.13</v>
      </c>
      <c r="S606">
        <v>0.49</v>
      </c>
      <c r="T606">
        <v>2.81</v>
      </c>
      <c r="U606">
        <v>2.13</v>
      </c>
      <c r="V606">
        <v>1.42</v>
      </c>
      <c r="W606">
        <v>0</v>
      </c>
      <c r="X606">
        <v>4876.847162</v>
      </c>
      <c r="Y606">
        <v>656519.06725700002</v>
      </c>
    </row>
    <row r="607" spans="1:25" x14ac:dyDescent="0.55000000000000004">
      <c r="A607">
        <v>605</v>
      </c>
      <c r="B607" t="s">
        <v>20</v>
      </c>
      <c r="C607">
        <v>43</v>
      </c>
      <c r="D607">
        <v>6</v>
      </c>
      <c r="E607" t="s">
        <v>103</v>
      </c>
      <c r="F607" t="s">
        <v>104</v>
      </c>
      <c r="G607">
        <v>24</v>
      </c>
      <c r="H607">
        <v>2</v>
      </c>
      <c r="I607">
        <v>24060000</v>
      </c>
      <c r="J607">
        <v>807</v>
      </c>
      <c r="K607">
        <v>0</v>
      </c>
      <c r="L607">
        <v>14346</v>
      </c>
      <c r="M607">
        <v>13.769569000000001</v>
      </c>
      <c r="N607">
        <v>101.52182999999999</v>
      </c>
      <c r="O607">
        <v>1.84</v>
      </c>
      <c r="P607">
        <v>10.68</v>
      </c>
      <c r="Q607">
        <v>1.07</v>
      </c>
      <c r="R607">
        <v>10.210000000000001</v>
      </c>
      <c r="S607">
        <v>0.38</v>
      </c>
      <c r="T607">
        <v>2.95</v>
      </c>
      <c r="U607">
        <v>6.95</v>
      </c>
      <c r="V607">
        <v>2.4500000000000002</v>
      </c>
      <c r="W607">
        <v>0</v>
      </c>
      <c r="X607">
        <v>34862.853431000003</v>
      </c>
      <c r="Y607">
        <v>63587654.543700002</v>
      </c>
    </row>
    <row r="608" spans="1:25" x14ac:dyDescent="0.55000000000000004">
      <c r="A608">
        <v>606</v>
      </c>
      <c r="B608" t="s">
        <v>20</v>
      </c>
      <c r="C608">
        <v>43</v>
      </c>
      <c r="D608">
        <v>6</v>
      </c>
      <c r="E608" t="s">
        <v>103</v>
      </c>
      <c r="F608" t="s">
        <v>104</v>
      </c>
      <c r="G608">
        <v>24</v>
      </c>
      <c r="H608">
        <v>2</v>
      </c>
      <c r="I608">
        <v>24060000</v>
      </c>
      <c r="J608">
        <v>809</v>
      </c>
      <c r="K608">
        <v>0</v>
      </c>
      <c r="L608">
        <v>14466</v>
      </c>
      <c r="M608">
        <v>13.850304</v>
      </c>
      <c r="N608">
        <v>101.52182999999999</v>
      </c>
      <c r="O608">
        <v>0.02</v>
      </c>
      <c r="P608">
        <v>24.42</v>
      </c>
      <c r="Q608">
        <v>3.31</v>
      </c>
      <c r="R608">
        <v>2.98</v>
      </c>
      <c r="S608">
        <v>3.74</v>
      </c>
      <c r="T608">
        <v>0.8</v>
      </c>
      <c r="U608">
        <v>45.080002</v>
      </c>
      <c r="V608">
        <v>23.799999</v>
      </c>
      <c r="W608">
        <v>0</v>
      </c>
      <c r="X608">
        <v>2497.348313</v>
      </c>
      <c r="Y608">
        <v>254043.76665199999</v>
      </c>
    </row>
    <row r="609" spans="1:25" x14ac:dyDescent="0.55000000000000004">
      <c r="A609">
        <v>607</v>
      </c>
      <c r="B609" t="s">
        <v>20</v>
      </c>
      <c r="C609">
        <v>43</v>
      </c>
      <c r="D609">
        <v>6</v>
      </c>
      <c r="E609" t="s">
        <v>103</v>
      </c>
      <c r="F609" t="s">
        <v>104</v>
      </c>
      <c r="G609">
        <v>24</v>
      </c>
      <c r="H609">
        <v>2</v>
      </c>
      <c r="I609">
        <v>24060000</v>
      </c>
      <c r="J609">
        <v>810</v>
      </c>
      <c r="K609">
        <v>0</v>
      </c>
      <c r="L609">
        <v>14347</v>
      </c>
      <c r="M609">
        <v>13.769569000000001</v>
      </c>
      <c r="N609">
        <v>101.60496500000001</v>
      </c>
      <c r="O609">
        <v>2.39</v>
      </c>
      <c r="P609">
        <v>0.17</v>
      </c>
      <c r="Q609">
        <v>0.6</v>
      </c>
      <c r="R609">
        <v>3.17</v>
      </c>
      <c r="S609">
        <v>0.81</v>
      </c>
      <c r="T609">
        <v>0.56000000000000005</v>
      </c>
      <c r="U609">
        <v>5.08</v>
      </c>
      <c r="V609">
        <v>1.77</v>
      </c>
      <c r="W609">
        <v>0</v>
      </c>
      <c r="X609">
        <v>12219.189369</v>
      </c>
      <c r="Y609">
        <v>7763496.0409000004</v>
      </c>
    </row>
    <row r="610" spans="1:25" x14ac:dyDescent="0.55000000000000004">
      <c r="A610">
        <v>608</v>
      </c>
      <c r="B610" t="s">
        <v>20</v>
      </c>
      <c r="C610">
        <v>44</v>
      </c>
      <c r="D610">
        <v>7</v>
      </c>
      <c r="E610" t="s">
        <v>105</v>
      </c>
      <c r="F610" t="s">
        <v>106</v>
      </c>
      <c r="G610">
        <v>24</v>
      </c>
      <c r="H610">
        <v>2</v>
      </c>
      <c r="I610">
        <v>24070000</v>
      </c>
      <c r="J610">
        <v>777</v>
      </c>
      <c r="K610">
        <v>0</v>
      </c>
      <c r="L610">
        <v>14223</v>
      </c>
      <c r="M610">
        <v>13.688805</v>
      </c>
      <c r="N610">
        <v>101.27242</v>
      </c>
      <c r="O610">
        <v>23.59</v>
      </c>
      <c r="P610">
        <v>0.16</v>
      </c>
      <c r="Q610">
        <v>7.06</v>
      </c>
      <c r="R610">
        <v>0.03</v>
      </c>
      <c r="S610">
        <v>0.77</v>
      </c>
      <c r="T610">
        <v>9.77</v>
      </c>
      <c r="U610">
        <v>12.61</v>
      </c>
      <c r="V610">
        <v>2.08</v>
      </c>
      <c r="W610">
        <v>0</v>
      </c>
      <c r="X610">
        <v>22338.341056000001</v>
      </c>
      <c r="Y610">
        <v>25715440.223099999</v>
      </c>
    </row>
    <row r="611" spans="1:25" x14ac:dyDescent="0.55000000000000004">
      <c r="A611">
        <v>609</v>
      </c>
      <c r="B611" t="s">
        <v>20</v>
      </c>
      <c r="C611">
        <v>44</v>
      </c>
      <c r="D611">
        <v>7</v>
      </c>
      <c r="E611" t="s">
        <v>105</v>
      </c>
      <c r="F611" t="s">
        <v>106</v>
      </c>
      <c r="G611">
        <v>24</v>
      </c>
      <c r="H611">
        <v>2</v>
      </c>
      <c r="I611">
        <v>24070000</v>
      </c>
      <c r="J611">
        <v>780</v>
      </c>
      <c r="K611">
        <v>0</v>
      </c>
      <c r="L611">
        <v>14343</v>
      </c>
      <c r="M611">
        <v>13.769569000000001</v>
      </c>
      <c r="N611">
        <v>101.27242</v>
      </c>
      <c r="O611">
        <v>49.41</v>
      </c>
      <c r="P611">
        <v>1.31</v>
      </c>
      <c r="Q611">
        <v>9.1199999999999992</v>
      </c>
      <c r="R611">
        <v>0.08</v>
      </c>
      <c r="S611">
        <v>1.01</v>
      </c>
      <c r="T611">
        <v>9.6999999999999993</v>
      </c>
      <c r="U611">
        <v>4.63</v>
      </c>
      <c r="V611">
        <v>0.05</v>
      </c>
      <c r="W611">
        <v>0</v>
      </c>
      <c r="X611">
        <v>38472.867321999998</v>
      </c>
      <c r="Y611">
        <v>58715008.905699998</v>
      </c>
    </row>
    <row r="612" spans="1:25" x14ac:dyDescent="0.55000000000000004">
      <c r="A612">
        <v>610</v>
      </c>
      <c r="B612" t="s">
        <v>20</v>
      </c>
      <c r="C612">
        <v>44</v>
      </c>
      <c r="D612">
        <v>7</v>
      </c>
      <c r="E612" t="s">
        <v>105</v>
      </c>
      <c r="F612" t="s">
        <v>106</v>
      </c>
      <c r="G612">
        <v>24</v>
      </c>
      <c r="H612">
        <v>2</v>
      </c>
      <c r="I612">
        <v>24070000</v>
      </c>
      <c r="J612">
        <v>782</v>
      </c>
      <c r="K612">
        <v>0</v>
      </c>
      <c r="L612">
        <v>14463</v>
      </c>
      <c r="M612">
        <v>13.850304</v>
      </c>
      <c r="N612">
        <v>101.27242</v>
      </c>
      <c r="O612">
        <v>22.059999000000001</v>
      </c>
      <c r="P612">
        <v>7.43</v>
      </c>
      <c r="Q612">
        <v>11.1</v>
      </c>
      <c r="R612">
        <v>0.03</v>
      </c>
      <c r="S612">
        <v>0.18</v>
      </c>
      <c r="T612">
        <v>9.36</v>
      </c>
      <c r="U612">
        <v>41.029998999999997</v>
      </c>
      <c r="V612">
        <v>0</v>
      </c>
      <c r="W612">
        <v>0</v>
      </c>
      <c r="X612">
        <v>30272.476535000002</v>
      </c>
      <c r="Y612">
        <v>47259221.736000001</v>
      </c>
    </row>
    <row r="613" spans="1:25" x14ac:dyDescent="0.55000000000000004">
      <c r="A613">
        <v>611</v>
      </c>
      <c r="B613" t="s">
        <v>20</v>
      </c>
      <c r="C613">
        <v>44</v>
      </c>
      <c r="D613">
        <v>7</v>
      </c>
      <c r="E613" t="s">
        <v>105</v>
      </c>
      <c r="F613" t="s">
        <v>106</v>
      </c>
      <c r="G613">
        <v>24</v>
      </c>
      <c r="H613">
        <v>2</v>
      </c>
      <c r="I613">
        <v>24070000</v>
      </c>
      <c r="J613">
        <v>791</v>
      </c>
      <c r="K613">
        <v>0</v>
      </c>
      <c r="L613">
        <v>14344</v>
      </c>
      <c r="M613">
        <v>13.769569000000001</v>
      </c>
      <c r="N613">
        <v>101.35556</v>
      </c>
      <c r="O613">
        <v>23.120000999999998</v>
      </c>
      <c r="P613">
        <v>0.06</v>
      </c>
      <c r="Q613">
        <v>16.850000000000001</v>
      </c>
      <c r="R613">
        <v>0.05</v>
      </c>
      <c r="S613">
        <v>0.01</v>
      </c>
      <c r="T613">
        <v>7.81</v>
      </c>
      <c r="U613">
        <v>8.5500000000000007</v>
      </c>
      <c r="V613">
        <v>6.08</v>
      </c>
      <c r="W613">
        <v>0.24</v>
      </c>
      <c r="X613">
        <v>7578.3422140000002</v>
      </c>
      <c r="Y613">
        <v>973708.75522799999</v>
      </c>
    </row>
    <row r="614" spans="1:25" x14ac:dyDescent="0.55000000000000004">
      <c r="A614">
        <v>612</v>
      </c>
      <c r="B614" t="s">
        <v>20</v>
      </c>
      <c r="C614">
        <v>44</v>
      </c>
      <c r="D614">
        <v>7</v>
      </c>
      <c r="E614" t="s">
        <v>105</v>
      </c>
      <c r="F614" t="s">
        <v>106</v>
      </c>
      <c r="G614">
        <v>24</v>
      </c>
      <c r="H614">
        <v>2</v>
      </c>
      <c r="I614">
        <v>24070000</v>
      </c>
      <c r="J614">
        <v>795</v>
      </c>
      <c r="K614">
        <v>0</v>
      </c>
      <c r="L614">
        <v>14464</v>
      </c>
      <c r="M614">
        <v>13.850304</v>
      </c>
      <c r="N614">
        <v>101.35556</v>
      </c>
      <c r="O614">
        <v>3.7</v>
      </c>
      <c r="P614">
        <v>11.42</v>
      </c>
      <c r="Q614">
        <v>13.26</v>
      </c>
      <c r="R614">
        <v>0.02</v>
      </c>
      <c r="S614">
        <v>0.1</v>
      </c>
      <c r="T614">
        <v>8.7200000000000006</v>
      </c>
      <c r="U614">
        <v>10.66</v>
      </c>
      <c r="V614">
        <v>0.02</v>
      </c>
      <c r="W614">
        <v>0.01</v>
      </c>
      <c r="X614">
        <v>17338.175751999999</v>
      </c>
      <c r="Y614">
        <v>12104472.2272</v>
      </c>
    </row>
    <row r="615" spans="1:25" x14ac:dyDescent="0.55000000000000004">
      <c r="A615">
        <v>613</v>
      </c>
      <c r="B615" t="s">
        <v>20</v>
      </c>
      <c r="C615">
        <v>45</v>
      </c>
      <c r="D615">
        <v>8</v>
      </c>
      <c r="E615" t="s">
        <v>107</v>
      </c>
      <c r="F615" t="s">
        <v>108</v>
      </c>
      <c r="G615">
        <v>24</v>
      </c>
      <c r="H615">
        <v>2</v>
      </c>
      <c r="I615">
        <v>24080000</v>
      </c>
      <c r="J615">
        <v>752</v>
      </c>
      <c r="K615">
        <v>0</v>
      </c>
      <c r="L615">
        <v>13865</v>
      </c>
      <c r="M615">
        <v>13.446358</v>
      </c>
      <c r="N615">
        <v>101.4387</v>
      </c>
      <c r="O615">
        <v>24.1</v>
      </c>
      <c r="P615">
        <v>0</v>
      </c>
      <c r="Q615">
        <v>0.03</v>
      </c>
      <c r="R615">
        <v>0.35</v>
      </c>
      <c r="S615">
        <v>0.6</v>
      </c>
      <c r="T615">
        <v>6.82</v>
      </c>
      <c r="U615">
        <v>10.59</v>
      </c>
      <c r="V615">
        <v>0</v>
      </c>
      <c r="W615">
        <v>0</v>
      </c>
      <c r="X615">
        <v>12854.487353</v>
      </c>
      <c r="Y615">
        <v>7945292.4395000003</v>
      </c>
    </row>
    <row r="616" spans="1:25" x14ac:dyDescent="0.55000000000000004">
      <c r="A616">
        <v>614</v>
      </c>
      <c r="B616" t="s">
        <v>20</v>
      </c>
      <c r="C616">
        <v>45</v>
      </c>
      <c r="D616">
        <v>8</v>
      </c>
      <c r="E616" t="s">
        <v>107</v>
      </c>
      <c r="F616" t="s">
        <v>108</v>
      </c>
      <c r="G616">
        <v>24</v>
      </c>
      <c r="H616">
        <v>2</v>
      </c>
      <c r="I616">
        <v>24080000</v>
      </c>
      <c r="J616">
        <v>759</v>
      </c>
      <c r="K616">
        <v>0</v>
      </c>
      <c r="L616">
        <v>13866</v>
      </c>
      <c r="M616">
        <v>13.446358</v>
      </c>
      <c r="N616">
        <v>101.52182999999999</v>
      </c>
      <c r="O616">
        <v>24.77</v>
      </c>
      <c r="P616">
        <v>0.04</v>
      </c>
      <c r="Q616">
        <v>7.0000000000000007E-2</v>
      </c>
      <c r="R616">
        <v>0.24</v>
      </c>
      <c r="S616">
        <v>3.86</v>
      </c>
      <c r="T616">
        <v>17.459999</v>
      </c>
      <c r="U616">
        <v>8.1199999999999992</v>
      </c>
      <c r="V616">
        <v>0</v>
      </c>
      <c r="W616">
        <v>0</v>
      </c>
      <c r="X616">
        <v>18128.397922</v>
      </c>
      <c r="Y616">
        <v>15582073.8346</v>
      </c>
    </row>
    <row r="617" spans="1:25" x14ac:dyDescent="0.55000000000000004">
      <c r="A617">
        <v>615</v>
      </c>
      <c r="B617" t="s">
        <v>20</v>
      </c>
      <c r="C617">
        <v>45</v>
      </c>
      <c r="D617">
        <v>8</v>
      </c>
      <c r="E617" t="s">
        <v>107</v>
      </c>
      <c r="F617" t="s">
        <v>108</v>
      </c>
      <c r="G617">
        <v>24</v>
      </c>
      <c r="H617">
        <v>2</v>
      </c>
      <c r="I617">
        <v>24080000</v>
      </c>
      <c r="J617">
        <v>773</v>
      </c>
      <c r="K617">
        <v>0</v>
      </c>
      <c r="L617">
        <v>13870</v>
      </c>
      <c r="M617">
        <v>13.446358</v>
      </c>
      <c r="N617">
        <v>101.85438000000001</v>
      </c>
      <c r="O617">
        <v>1.38</v>
      </c>
      <c r="P617">
        <v>0.03</v>
      </c>
      <c r="Q617">
        <v>7.0000000000000007E-2</v>
      </c>
      <c r="R617">
        <v>0</v>
      </c>
      <c r="S617">
        <v>0.02</v>
      </c>
      <c r="T617">
        <v>6.81</v>
      </c>
      <c r="U617">
        <v>22.530000999999999</v>
      </c>
      <c r="V617">
        <v>0.3</v>
      </c>
      <c r="W617">
        <v>0</v>
      </c>
      <c r="X617">
        <v>5810.2697029999999</v>
      </c>
      <c r="Y617">
        <v>685616.79831099999</v>
      </c>
    </row>
    <row r="618" spans="1:25" x14ac:dyDescent="0.55000000000000004">
      <c r="A618">
        <v>616</v>
      </c>
      <c r="B618" t="s">
        <v>20</v>
      </c>
      <c r="C618">
        <v>45</v>
      </c>
      <c r="D618">
        <v>8</v>
      </c>
      <c r="E618" t="s">
        <v>107</v>
      </c>
      <c r="F618" t="s">
        <v>108</v>
      </c>
      <c r="G618">
        <v>24</v>
      </c>
      <c r="H618">
        <v>2</v>
      </c>
      <c r="I618">
        <v>24080000</v>
      </c>
      <c r="J618">
        <v>785</v>
      </c>
      <c r="K618">
        <v>0</v>
      </c>
      <c r="L618">
        <v>14104</v>
      </c>
      <c r="M618">
        <v>13.608017</v>
      </c>
      <c r="N618">
        <v>101.35556</v>
      </c>
      <c r="O618">
        <v>19.41</v>
      </c>
      <c r="P618">
        <v>0.08</v>
      </c>
      <c r="Q618">
        <v>0.55000000000000004</v>
      </c>
      <c r="R618">
        <v>8.59</v>
      </c>
      <c r="S618">
        <v>4.33</v>
      </c>
      <c r="T618">
        <v>22.6</v>
      </c>
      <c r="U618">
        <v>66.849997999999999</v>
      </c>
      <c r="V618">
        <v>0.64</v>
      </c>
      <c r="W618">
        <v>0.01</v>
      </c>
      <c r="X618">
        <v>3607.331048</v>
      </c>
      <c r="Y618">
        <v>157919.02572500001</v>
      </c>
    </row>
    <row r="619" spans="1:25" x14ac:dyDescent="0.55000000000000004">
      <c r="A619">
        <v>617</v>
      </c>
      <c r="B619" t="s">
        <v>20</v>
      </c>
      <c r="C619">
        <v>45</v>
      </c>
      <c r="D619">
        <v>8</v>
      </c>
      <c r="E619" t="s">
        <v>107</v>
      </c>
      <c r="F619" t="s">
        <v>108</v>
      </c>
      <c r="G619">
        <v>24</v>
      </c>
      <c r="H619">
        <v>2</v>
      </c>
      <c r="I619">
        <v>24080000</v>
      </c>
      <c r="J619">
        <v>786</v>
      </c>
      <c r="K619">
        <v>0</v>
      </c>
      <c r="L619">
        <v>13985</v>
      </c>
      <c r="M619">
        <v>13.527199</v>
      </c>
      <c r="N619">
        <v>101.4387</v>
      </c>
      <c r="O619">
        <v>13.93</v>
      </c>
      <c r="P619">
        <v>0</v>
      </c>
      <c r="Q619">
        <v>0.04</v>
      </c>
      <c r="R619">
        <v>0.13</v>
      </c>
      <c r="S619">
        <v>0</v>
      </c>
      <c r="T619">
        <v>13.69</v>
      </c>
      <c r="U619">
        <v>2.91</v>
      </c>
      <c r="V619">
        <v>0</v>
      </c>
      <c r="W619">
        <v>0.01</v>
      </c>
      <c r="X619">
        <v>32153.566083999998</v>
      </c>
      <c r="Y619">
        <v>46352065.322999999</v>
      </c>
    </row>
    <row r="620" spans="1:25" x14ac:dyDescent="0.55000000000000004">
      <c r="A620">
        <v>618</v>
      </c>
      <c r="B620" t="s">
        <v>20</v>
      </c>
      <c r="C620">
        <v>45</v>
      </c>
      <c r="D620">
        <v>8</v>
      </c>
      <c r="E620" t="s">
        <v>107</v>
      </c>
      <c r="F620" t="s">
        <v>108</v>
      </c>
      <c r="G620">
        <v>24</v>
      </c>
      <c r="H620">
        <v>2</v>
      </c>
      <c r="I620">
        <v>24080000</v>
      </c>
      <c r="J620">
        <v>787</v>
      </c>
      <c r="K620">
        <v>0</v>
      </c>
      <c r="L620">
        <v>14105</v>
      </c>
      <c r="M620">
        <v>13.608017</v>
      </c>
      <c r="N620">
        <v>101.4387</v>
      </c>
      <c r="O620">
        <v>10.130000000000001</v>
      </c>
      <c r="P620">
        <v>0</v>
      </c>
      <c r="Q620">
        <v>0.43</v>
      </c>
      <c r="R620">
        <v>0.25</v>
      </c>
      <c r="S620">
        <v>2.06</v>
      </c>
      <c r="T620">
        <v>13.75</v>
      </c>
      <c r="U620">
        <v>4.55</v>
      </c>
      <c r="V620">
        <v>0.49</v>
      </c>
      <c r="W620">
        <v>0.31</v>
      </c>
      <c r="X620">
        <v>33785.807908000002</v>
      </c>
      <c r="Y620">
        <v>73520355.820199996</v>
      </c>
    </row>
    <row r="621" spans="1:25" x14ac:dyDescent="0.55000000000000004">
      <c r="A621">
        <v>619</v>
      </c>
      <c r="B621" t="s">
        <v>20</v>
      </c>
      <c r="C621">
        <v>45</v>
      </c>
      <c r="D621">
        <v>8</v>
      </c>
      <c r="E621" t="s">
        <v>107</v>
      </c>
      <c r="F621" t="s">
        <v>108</v>
      </c>
      <c r="G621">
        <v>24</v>
      </c>
      <c r="H621">
        <v>2</v>
      </c>
      <c r="I621">
        <v>24080000</v>
      </c>
      <c r="J621">
        <v>788</v>
      </c>
      <c r="K621">
        <v>0</v>
      </c>
      <c r="L621">
        <v>13986</v>
      </c>
      <c r="M621">
        <v>13.527199</v>
      </c>
      <c r="N621">
        <v>101.52182999999999</v>
      </c>
      <c r="O621">
        <v>1.44</v>
      </c>
      <c r="P621">
        <v>0</v>
      </c>
      <c r="Q621">
        <v>0.05</v>
      </c>
      <c r="R621">
        <v>0.25</v>
      </c>
      <c r="S621">
        <v>2.67</v>
      </c>
      <c r="T621">
        <v>24.35</v>
      </c>
      <c r="U621">
        <v>4.47</v>
      </c>
      <c r="V621">
        <v>0</v>
      </c>
      <c r="W621">
        <v>0.02</v>
      </c>
      <c r="X621">
        <v>36811.144325000001</v>
      </c>
      <c r="Y621">
        <v>66447258.6853</v>
      </c>
    </row>
    <row r="622" spans="1:25" x14ac:dyDescent="0.55000000000000004">
      <c r="A622">
        <v>620</v>
      </c>
      <c r="B622" t="s">
        <v>20</v>
      </c>
      <c r="C622">
        <v>45</v>
      </c>
      <c r="D622">
        <v>8</v>
      </c>
      <c r="E622" t="s">
        <v>107</v>
      </c>
      <c r="F622" t="s">
        <v>108</v>
      </c>
      <c r="G622">
        <v>24</v>
      </c>
      <c r="H622">
        <v>2</v>
      </c>
      <c r="I622">
        <v>24080000</v>
      </c>
      <c r="J622">
        <v>792</v>
      </c>
      <c r="K622">
        <v>0</v>
      </c>
      <c r="L622">
        <v>14225</v>
      </c>
      <c r="M622">
        <v>13.688805</v>
      </c>
      <c r="N622">
        <v>101.4387</v>
      </c>
      <c r="O622">
        <v>23.57</v>
      </c>
      <c r="P622">
        <v>0.03</v>
      </c>
      <c r="Q622">
        <v>1.1599999999999999</v>
      </c>
      <c r="R622">
        <v>9.65</v>
      </c>
      <c r="S622">
        <v>0.71</v>
      </c>
      <c r="T622">
        <v>24.84</v>
      </c>
      <c r="U622">
        <v>1.1200000000000001</v>
      </c>
      <c r="V622">
        <v>16.77</v>
      </c>
      <c r="W622">
        <v>0</v>
      </c>
      <c r="X622">
        <v>20792.576818000001</v>
      </c>
      <c r="Y622">
        <v>23921361.5011</v>
      </c>
    </row>
    <row r="623" spans="1:25" x14ac:dyDescent="0.55000000000000004">
      <c r="A623">
        <v>621</v>
      </c>
      <c r="B623" t="s">
        <v>20</v>
      </c>
      <c r="C623">
        <v>45</v>
      </c>
      <c r="D623">
        <v>8</v>
      </c>
      <c r="E623" t="s">
        <v>107</v>
      </c>
      <c r="F623" t="s">
        <v>108</v>
      </c>
      <c r="G623">
        <v>24</v>
      </c>
      <c r="H623">
        <v>2</v>
      </c>
      <c r="I623">
        <v>24080000</v>
      </c>
      <c r="J623">
        <v>793</v>
      </c>
      <c r="K623">
        <v>0</v>
      </c>
      <c r="L623">
        <v>14106</v>
      </c>
      <c r="M623">
        <v>13.608017</v>
      </c>
      <c r="N623">
        <v>101.52182999999999</v>
      </c>
      <c r="O623">
        <v>5.33</v>
      </c>
      <c r="P623">
        <v>0</v>
      </c>
      <c r="Q623">
        <v>0.34</v>
      </c>
      <c r="R623">
        <v>7.0000000000000007E-2</v>
      </c>
      <c r="S623">
        <v>0.28999999999999998</v>
      </c>
      <c r="T623">
        <v>15.32</v>
      </c>
      <c r="U623">
        <v>3.87</v>
      </c>
      <c r="V623">
        <v>0.01</v>
      </c>
      <c r="W623">
        <v>0.87</v>
      </c>
      <c r="X623">
        <v>35890.399417000001</v>
      </c>
      <c r="Y623">
        <v>80506749.616799995</v>
      </c>
    </row>
    <row r="624" spans="1:25" x14ac:dyDescent="0.55000000000000004">
      <c r="A624">
        <v>622</v>
      </c>
      <c r="B624" t="s">
        <v>20</v>
      </c>
      <c r="C624">
        <v>45</v>
      </c>
      <c r="D624">
        <v>8</v>
      </c>
      <c r="E624" t="s">
        <v>107</v>
      </c>
      <c r="F624" t="s">
        <v>108</v>
      </c>
      <c r="G624">
        <v>24</v>
      </c>
      <c r="H624">
        <v>2</v>
      </c>
      <c r="I624">
        <v>24080000</v>
      </c>
      <c r="J624">
        <v>797</v>
      </c>
      <c r="K624">
        <v>0</v>
      </c>
      <c r="L624">
        <v>14107</v>
      </c>
      <c r="M624">
        <v>13.608017</v>
      </c>
      <c r="N624">
        <v>101.60496500000001</v>
      </c>
      <c r="O624">
        <v>7.0000000000000007E-2</v>
      </c>
      <c r="P624">
        <v>4.57</v>
      </c>
      <c r="Q624">
        <v>0.17</v>
      </c>
      <c r="R624">
        <v>0.04</v>
      </c>
      <c r="S624">
        <v>4.59</v>
      </c>
      <c r="T624">
        <v>4.12</v>
      </c>
      <c r="U624">
        <v>6.87</v>
      </c>
      <c r="V624">
        <v>0</v>
      </c>
      <c r="W624">
        <v>0</v>
      </c>
      <c r="X624">
        <v>39193.228259000003</v>
      </c>
      <c r="Y624">
        <v>73009587.116400003</v>
      </c>
    </row>
    <row r="625" spans="1:25" x14ac:dyDescent="0.55000000000000004">
      <c r="A625">
        <v>623</v>
      </c>
      <c r="B625" t="s">
        <v>20</v>
      </c>
      <c r="C625">
        <v>45</v>
      </c>
      <c r="D625">
        <v>8</v>
      </c>
      <c r="E625" t="s">
        <v>107</v>
      </c>
      <c r="F625" t="s">
        <v>108</v>
      </c>
      <c r="G625">
        <v>24</v>
      </c>
      <c r="H625">
        <v>2</v>
      </c>
      <c r="I625">
        <v>24080000</v>
      </c>
      <c r="J625">
        <v>798</v>
      </c>
      <c r="K625">
        <v>0</v>
      </c>
      <c r="L625">
        <v>13988</v>
      </c>
      <c r="M625">
        <v>13.527199</v>
      </c>
      <c r="N625">
        <v>101.68810000000001</v>
      </c>
      <c r="O625">
        <v>0.13</v>
      </c>
      <c r="P625">
        <v>2.13</v>
      </c>
      <c r="Q625">
        <v>0.01</v>
      </c>
      <c r="R625">
        <v>0.03</v>
      </c>
      <c r="S625">
        <v>0.35</v>
      </c>
      <c r="T625">
        <v>4.53</v>
      </c>
      <c r="U625">
        <v>17.260000000000002</v>
      </c>
      <c r="V625">
        <v>0</v>
      </c>
      <c r="W625">
        <v>0</v>
      </c>
      <c r="X625">
        <v>10141.707299</v>
      </c>
      <c r="Y625">
        <v>4538242.0498099998</v>
      </c>
    </row>
    <row r="626" spans="1:25" x14ac:dyDescent="0.55000000000000004">
      <c r="A626">
        <v>624</v>
      </c>
      <c r="B626" t="s">
        <v>20</v>
      </c>
      <c r="C626">
        <v>45</v>
      </c>
      <c r="D626">
        <v>8</v>
      </c>
      <c r="E626" t="s">
        <v>107</v>
      </c>
      <c r="F626" t="s">
        <v>108</v>
      </c>
      <c r="G626">
        <v>24</v>
      </c>
      <c r="H626">
        <v>2</v>
      </c>
      <c r="I626">
        <v>24080000</v>
      </c>
      <c r="J626">
        <v>799</v>
      </c>
      <c r="K626">
        <v>0</v>
      </c>
      <c r="L626">
        <v>14108</v>
      </c>
      <c r="M626">
        <v>13.608017</v>
      </c>
      <c r="N626">
        <v>101.68810000000001</v>
      </c>
      <c r="O626">
        <v>0.13</v>
      </c>
      <c r="P626">
        <v>10.92</v>
      </c>
      <c r="Q626">
        <v>4.92</v>
      </c>
      <c r="R626">
        <v>0.09</v>
      </c>
      <c r="S626">
        <v>0.02</v>
      </c>
      <c r="T626">
        <v>2.4700000000000002</v>
      </c>
      <c r="U626">
        <v>11.48</v>
      </c>
      <c r="V626">
        <v>0</v>
      </c>
      <c r="W626">
        <v>0</v>
      </c>
      <c r="X626">
        <v>34084.542874999999</v>
      </c>
      <c r="Y626">
        <v>72084969.560100004</v>
      </c>
    </row>
    <row r="627" spans="1:25" x14ac:dyDescent="0.55000000000000004">
      <c r="A627">
        <v>625</v>
      </c>
      <c r="B627" t="s">
        <v>20</v>
      </c>
      <c r="C627">
        <v>45</v>
      </c>
      <c r="D627">
        <v>8</v>
      </c>
      <c r="E627" t="s">
        <v>107</v>
      </c>
      <c r="F627" t="s">
        <v>108</v>
      </c>
      <c r="G627">
        <v>24</v>
      </c>
      <c r="H627">
        <v>2</v>
      </c>
      <c r="I627">
        <v>24080000</v>
      </c>
      <c r="J627">
        <v>800</v>
      </c>
      <c r="K627">
        <v>0</v>
      </c>
      <c r="L627">
        <v>13987</v>
      </c>
      <c r="M627">
        <v>13.527199</v>
      </c>
      <c r="N627">
        <v>101.60496500000001</v>
      </c>
      <c r="O627">
        <v>0.25</v>
      </c>
      <c r="P627">
        <v>0.06</v>
      </c>
      <c r="Q627">
        <v>0.01</v>
      </c>
      <c r="R627">
        <v>0.04</v>
      </c>
      <c r="S627">
        <v>2.34</v>
      </c>
      <c r="T627">
        <v>8.9600000000000009</v>
      </c>
      <c r="U627">
        <v>4.8899999999999997</v>
      </c>
      <c r="V627">
        <v>0</v>
      </c>
      <c r="W627">
        <v>0</v>
      </c>
      <c r="X627">
        <v>16368.873509999999</v>
      </c>
      <c r="Y627">
        <v>6688111.8384600002</v>
      </c>
    </row>
    <row r="628" spans="1:25" x14ac:dyDescent="0.55000000000000004">
      <c r="A628">
        <v>626</v>
      </c>
      <c r="B628" t="s">
        <v>20</v>
      </c>
      <c r="C628">
        <v>45</v>
      </c>
      <c r="D628">
        <v>8</v>
      </c>
      <c r="E628" t="s">
        <v>107</v>
      </c>
      <c r="F628" t="s">
        <v>108</v>
      </c>
      <c r="G628">
        <v>24</v>
      </c>
      <c r="H628">
        <v>2</v>
      </c>
      <c r="I628">
        <v>24080000</v>
      </c>
      <c r="J628">
        <v>801</v>
      </c>
      <c r="K628">
        <v>0</v>
      </c>
      <c r="L628">
        <v>13990</v>
      </c>
      <c r="M628">
        <v>13.527199</v>
      </c>
      <c r="N628">
        <v>101.85438000000001</v>
      </c>
      <c r="O628">
        <v>0.01</v>
      </c>
      <c r="P628">
        <v>0.32</v>
      </c>
      <c r="Q628">
        <v>0.1</v>
      </c>
      <c r="R628">
        <v>0.01</v>
      </c>
      <c r="S628">
        <v>0</v>
      </c>
      <c r="T628">
        <v>9.67</v>
      </c>
      <c r="U628">
        <v>20.43</v>
      </c>
      <c r="V628">
        <v>0.44</v>
      </c>
      <c r="W628">
        <v>0</v>
      </c>
      <c r="X628">
        <v>36138.972283000003</v>
      </c>
      <c r="Y628">
        <v>70141303.017700002</v>
      </c>
    </row>
    <row r="629" spans="1:25" x14ac:dyDescent="0.55000000000000004">
      <c r="A629">
        <v>627</v>
      </c>
      <c r="B629" t="s">
        <v>20</v>
      </c>
      <c r="C629">
        <v>45</v>
      </c>
      <c r="D629">
        <v>8</v>
      </c>
      <c r="E629" t="s">
        <v>107</v>
      </c>
      <c r="F629" t="s">
        <v>108</v>
      </c>
      <c r="G629">
        <v>24</v>
      </c>
      <c r="H629">
        <v>2</v>
      </c>
      <c r="I629">
        <v>24080000</v>
      </c>
      <c r="J629">
        <v>802</v>
      </c>
      <c r="K629">
        <v>0</v>
      </c>
      <c r="L629">
        <v>13989</v>
      </c>
      <c r="M629">
        <v>13.527199</v>
      </c>
      <c r="N629">
        <v>101.77124000000001</v>
      </c>
      <c r="O629">
        <v>0</v>
      </c>
      <c r="P629">
        <v>16.670000000000002</v>
      </c>
      <c r="Q629">
        <v>0.24</v>
      </c>
      <c r="R629">
        <v>0</v>
      </c>
      <c r="S629">
        <v>0.4</v>
      </c>
      <c r="T629">
        <v>2.94</v>
      </c>
      <c r="U629">
        <v>57.279998999999997</v>
      </c>
      <c r="V629">
        <v>0.71</v>
      </c>
      <c r="W629">
        <v>0</v>
      </c>
      <c r="X629">
        <v>29983.716916000001</v>
      </c>
      <c r="Y629">
        <v>29626033.583999999</v>
      </c>
    </row>
    <row r="630" spans="1:25" x14ac:dyDescent="0.55000000000000004">
      <c r="A630">
        <v>628</v>
      </c>
      <c r="B630" t="s">
        <v>20</v>
      </c>
      <c r="C630">
        <v>45</v>
      </c>
      <c r="D630">
        <v>8</v>
      </c>
      <c r="E630" t="s">
        <v>107</v>
      </c>
      <c r="F630" t="s">
        <v>108</v>
      </c>
      <c r="G630">
        <v>24</v>
      </c>
      <c r="H630">
        <v>2</v>
      </c>
      <c r="I630">
        <v>24080000</v>
      </c>
      <c r="J630">
        <v>803</v>
      </c>
      <c r="K630">
        <v>0</v>
      </c>
      <c r="L630">
        <v>14110</v>
      </c>
      <c r="M630">
        <v>13.608017</v>
      </c>
      <c r="N630">
        <v>101.85438000000001</v>
      </c>
      <c r="O630">
        <v>0.02</v>
      </c>
      <c r="P630">
        <v>29.18</v>
      </c>
      <c r="Q630">
        <v>0.01</v>
      </c>
      <c r="R630">
        <v>0.15</v>
      </c>
      <c r="S630">
        <v>0.02</v>
      </c>
      <c r="T630">
        <v>4.41</v>
      </c>
      <c r="U630">
        <v>36.279998999999997</v>
      </c>
      <c r="V630">
        <v>0</v>
      </c>
      <c r="W630">
        <v>0</v>
      </c>
      <c r="X630">
        <v>34942.502530999998</v>
      </c>
      <c r="Y630">
        <v>56979432.251900002</v>
      </c>
    </row>
    <row r="631" spans="1:25" x14ac:dyDescent="0.55000000000000004">
      <c r="A631">
        <v>629</v>
      </c>
      <c r="B631" t="s">
        <v>20</v>
      </c>
      <c r="C631">
        <v>45</v>
      </c>
      <c r="D631">
        <v>8</v>
      </c>
      <c r="E631" t="s">
        <v>107</v>
      </c>
      <c r="F631" t="s">
        <v>108</v>
      </c>
      <c r="G631">
        <v>24</v>
      </c>
      <c r="H631">
        <v>2</v>
      </c>
      <c r="I631">
        <v>24080000</v>
      </c>
      <c r="J631">
        <v>804</v>
      </c>
      <c r="K631">
        <v>0</v>
      </c>
      <c r="L631">
        <v>14109</v>
      </c>
      <c r="M631">
        <v>13.608017</v>
      </c>
      <c r="N631">
        <v>101.77124000000001</v>
      </c>
      <c r="O631">
        <v>0.02</v>
      </c>
      <c r="P631">
        <v>56.299999</v>
      </c>
      <c r="Q631">
        <v>0.2</v>
      </c>
      <c r="R631">
        <v>0.2</v>
      </c>
      <c r="S631">
        <v>0</v>
      </c>
      <c r="T631">
        <v>4.16</v>
      </c>
      <c r="U631">
        <v>20.85</v>
      </c>
      <c r="V631">
        <v>0</v>
      </c>
      <c r="W631">
        <v>0</v>
      </c>
      <c r="X631">
        <v>35898.888959999997</v>
      </c>
      <c r="Y631">
        <v>80544817.337899998</v>
      </c>
    </row>
    <row r="632" spans="1:25" x14ac:dyDescent="0.55000000000000004">
      <c r="A632">
        <v>630</v>
      </c>
      <c r="B632" t="s">
        <v>20</v>
      </c>
      <c r="C632">
        <v>45</v>
      </c>
      <c r="D632">
        <v>8</v>
      </c>
      <c r="E632" t="s">
        <v>107</v>
      </c>
      <c r="F632" t="s">
        <v>108</v>
      </c>
      <c r="G632">
        <v>24</v>
      </c>
      <c r="H632">
        <v>2</v>
      </c>
      <c r="I632">
        <v>24080000</v>
      </c>
      <c r="J632">
        <v>805</v>
      </c>
      <c r="K632">
        <v>0</v>
      </c>
      <c r="L632">
        <v>14226</v>
      </c>
      <c r="M632">
        <v>13.688805</v>
      </c>
      <c r="N632">
        <v>101.52182999999999</v>
      </c>
      <c r="O632">
        <v>19.02</v>
      </c>
      <c r="P632">
        <v>0.55000000000000004</v>
      </c>
      <c r="Q632">
        <v>1.35</v>
      </c>
      <c r="R632">
        <v>0.64</v>
      </c>
      <c r="S632">
        <v>0.89</v>
      </c>
      <c r="T632">
        <v>12.59</v>
      </c>
      <c r="U632">
        <v>1.3</v>
      </c>
      <c r="V632">
        <v>0.27</v>
      </c>
      <c r="W632">
        <v>0</v>
      </c>
      <c r="X632">
        <v>33758.913817000001</v>
      </c>
      <c r="Y632">
        <v>50566336.478799999</v>
      </c>
    </row>
    <row r="633" spans="1:25" x14ac:dyDescent="0.55000000000000004">
      <c r="A633">
        <v>631</v>
      </c>
      <c r="B633" t="s">
        <v>20</v>
      </c>
      <c r="C633">
        <v>45</v>
      </c>
      <c r="D633">
        <v>8</v>
      </c>
      <c r="E633" t="s">
        <v>107</v>
      </c>
      <c r="F633" t="s">
        <v>108</v>
      </c>
      <c r="G633">
        <v>24</v>
      </c>
      <c r="H633">
        <v>2</v>
      </c>
      <c r="I633">
        <v>24080000</v>
      </c>
      <c r="J633">
        <v>806</v>
      </c>
      <c r="K633">
        <v>0</v>
      </c>
      <c r="L633">
        <v>14227</v>
      </c>
      <c r="M633">
        <v>13.688805</v>
      </c>
      <c r="N633">
        <v>101.60496500000001</v>
      </c>
      <c r="O633">
        <v>5.61</v>
      </c>
      <c r="P633">
        <v>0.08</v>
      </c>
      <c r="Q633">
        <v>0.64</v>
      </c>
      <c r="R633">
        <v>0.13</v>
      </c>
      <c r="S633">
        <v>0.49</v>
      </c>
      <c r="T633">
        <v>2.81</v>
      </c>
      <c r="U633">
        <v>2.13</v>
      </c>
      <c r="V633">
        <v>1.42</v>
      </c>
      <c r="W633">
        <v>0</v>
      </c>
      <c r="X633">
        <v>35610.935477999999</v>
      </c>
      <c r="Y633">
        <v>79808722.608099997</v>
      </c>
    </row>
    <row r="634" spans="1:25" x14ac:dyDescent="0.55000000000000004">
      <c r="A634">
        <v>632</v>
      </c>
      <c r="B634" t="s">
        <v>20</v>
      </c>
      <c r="C634">
        <v>45</v>
      </c>
      <c r="D634">
        <v>8</v>
      </c>
      <c r="E634" t="s">
        <v>107</v>
      </c>
      <c r="F634" t="s">
        <v>108</v>
      </c>
      <c r="G634">
        <v>24</v>
      </c>
      <c r="H634">
        <v>2</v>
      </c>
      <c r="I634">
        <v>24080000</v>
      </c>
      <c r="J634">
        <v>808</v>
      </c>
      <c r="K634">
        <v>0</v>
      </c>
      <c r="L634">
        <v>14349</v>
      </c>
      <c r="M634">
        <v>13.769569000000001</v>
      </c>
      <c r="N634">
        <v>101.77124000000001</v>
      </c>
      <c r="O634">
        <v>18.690000999999999</v>
      </c>
      <c r="P634">
        <v>0.03</v>
      </c>
      <c r="Q634">
        <v>2.9</v>
      </c>
      <c r="R634">
        <v>0</v>
      </c>
      <c r="S634">
        <v>0.78</v>
      </c>
      <c r="T634">
        <v>2.5299999999999998</v>
      </c>
      <c r="U634">
        <v>17.280000999999999</v>
      </c>
      <c r="V634">
        <v>0.01</v>
      </c>
      <c r="W634">
        <v>0</v>
      </c>
      <c r="X634">
        <v>22404.157378</v>
      </c>
      <c r="Y634">
        <v>22783980.370200001</v>
      </c>
    </row>
    <row r="635" spans="1:25" x14ac:dyDescent="0.55000000000000004">
      <c r="A635">
        <v>633</v>
      </c>
      <c r="B635" t="s">
        <v>20</v>
      </c>
      <c r="C635">
        <v>45</v>
      </c>
      <c r="D635">
        <v>8</v>
      </c>
      <c r="E635" t="s">
        <v>107</v>
      </c>
      <c r="F635" t="s">
        <v>108</v>
      </c>
      <c r="G635">
        <v>24</v>
      </c>
      <c r="H635">
        <v>2</v>
      </c>
      <c r="I635">
        <v>24080000</v>
      </c>
      <c r="J635">
        <v>810</v>
      </c>
      <c r="K635">
        <v>0</v>
      </c>
      <c r="L635">
        <v>14347</v>
      </c>
      <c r="M635">
        <v>13.769569000000001</v>
      </c>
      <c r="N635">
        <v>101.60496500000001</v>
      </c>
      <c r="O635">
        <v>2.39</v>
      </c>
      <c r="P635">
        <v>0.17</v>
      </c>
      <c r="Q635">
        <v>0.6</v>
      </c>
      <c r="R635">
        <v>3.17</v>
      </c>
      <c r="S635">
        <v>0.81</v>
      </c>
      <c r="T635">
        <v>0.56000000000000005</v>
      </c>
      <c r="U635">
        <v>5.08</v>
      </c>
      <c r="V635">
        <v>1.77</v>
      </c>
      <c r="W635">
        <v>0</v>
      </c>
      <c r="X635">
        <v>16393.597091</v>
      </c>
      <c r="Y635">
        <v>8528943.4532099999</v>
      </c>
    </row>
    <row r="636" spans="1:25" x14ac:dyDescent="0.55000000000000004">
      <c r="A636">
        <v>634</v>
      </c>
      <c r="B636" t="s">
        <v>20</v>
      </c>
      <c r="C636">
        <v>45</v>
      </c>
      <c r="D636">
        <v>8</v>
      </c>
      <c r="E636" t="s">
        <v>107</v>
      </c>
      <c r="F636" t="s">
        <v>108</v>
      </c>
      <c r="G636">
        <v>24</v>
      </c>
      <c r="H636">
        <v>2</v>
      </c>
      <c r="I636">
        <v>24080000</v>
      </c>
      <c r="J636">
        <v>811</v>
      </c>
      <c r="K636">
        <v>0</v>
      </c>
      <c r="L636">
        <v>14228</v>
      </c>
      <c r="M636">
        <v>13.688805</v>
      </c>
      <c r="N636">
        <v>101.68810000000001</v>
      </c>
      <c r="O636">
        <v>1.39</v>
      </c>
      <c r="P636">
        <v>3.2</v>
      </c>
      <c r="Q636">
        <v>2.11</v>
      </c>
      <c r="R636">
        <v>0.16</v>
      </c>
      <c r="S636">
        <v>0.18</v>
      </c>
      <c r="T636">
        <v>0.63</v>
      </c>
      <c r="U636">
        <v>17.790001</v>
      </c>
      <c r="V636">
        <v>0</v>
      </c>
      <c r="W636">
        <v>0</v>
      </c>
      <c r="X636">
        <v>35883.974282000003</v>
      </c>
      <c r="Y636">
        <v>80477915.269299999</v>
      </c>
    </row>
    <row r="637" spans="1:25" x14ac:dyDescent="0.55000000000000004">
      <c r="A637">
        <v>635</v>
      </c>
      <c r="B637" t="s">
        <v>20</v>
      </c>
      <c r="C637">
        <v>45</v>
      </c>
      <c r="D637">
        <v>8</v>
      </c>
      <c r="E637" t="s">
        <v>107</v>
      </c>
      <c r="F637" t="s">
        <v>108</v>
      </c>
      <c r="G637">
        <v>24</v>
      </c>
      <c r="H637">
        <v>2</v>
      </c>
      <c r="I637">
        <v>24080000</v>
      </c>
      <c r="J637">
        <v>813</v>
      </c>
      <c r="K637">
        <v>0</v>
      </c>
      <c r="L637">
        <v>14348</v>
      </c>
      <c r="M637">
        <v>13.769569000000001</v>
      </c>
      <c r="N637">
        <v>101.68810000000001</v>
      </c>
      <c r="O637">
        <v>4.33</v>
      </c>
      <c r="P637">
        <v>0.13</v>
      </c>
      <c r="Q637">
        <v>7.0000000000000007E-2</v>
      </c>
      <c r="R637">
        <v>0.38</v>
      </c>
      <c r="S637">
        <v>0.37</v>
      </c>
      <c r="T637">
        <v>0.83</v>
      </c>
      <c r="U637">
        <v>8.35</v>
      </c>
      <c r="V637">
        <v>0.01</v>
      </c>
      <c r="W637">
        <v>0</v>
      </c>
      <c r="X637">
        <v>25101.946645</v>
      </c>
      <c r="Y637">
        <v>20824562.4597</v>
      </c>
    </row>
    <row r="638" spans="1:25" x14ac:dyDescent="0.55000000000000004">
      <c r="A638">
        <v>636</v>
      </c>
      <c r="B638" t="s">
        <v>20</v>
      </c>
      <c r="C638">
        <v>45</v>
      </c>
      <c r="D638">
        <v>8</v>
      </c>
      <c r="E638" t="s">
        <v>107</v>
      </c>
      <c r="F638" t="s">
        <v>108</v>
      </c>
      <c r="G638">
        <v>24</v>
      </c>
      <c r="H638">
        <v>2</v>
      </c>
      <c r="I638">
        <v>24080000</v>
      </c>
      <c r="J638">
        <v>814</v>
      </c>
      <c r="K638">
        <v>0</v>
      </c>
      <c r="L638">
        <v>14229</v>
      </c>
      <c r="M638">
        <v>13.688805</v>
      </c>
      <c r="N638">
        <v>101.77124000000001</v>
      </c>
      <c r="O638">
        <v>2.46</v>
      </c>
      <c r="P638">
        <v>2.59</v>
      </c>
      <c r="Q638">
        <v>11.1</v>
      </c>
      <c r="R638">
        <v>0.08</v>
      </c>
      <c r="S638">
        <v>0.61</v>
      </c>
      <c r="T638">
        <v>2.36</v>
      </c>
      <c r="U638">
        <v>39.209999000000003</v>
      </c>
      <c r="V638">
        <v>0</v>
      </c>
      <c r="W638">
        <v>0</v>
      </c>
      <c r="X638">
        <v>36159.797766000003</v>
      </c>
      <c r="Y638">
        <v>74061268.223399997</v>
      </c>
    </row>
    <row r="639" spans="1:25" x14ac:dyDescent="0.55000000000000004">
      <c r="A639">
        <v>637</v>
      </c>
      <c r="B639" t="s">
        <v>20</v>
      </c>
      <c r="C639">
        <v>45</v>
      </c>
      <c r="D639">
        <v>8</v>
      </c>
      <c r="E639" t="s">
        <v>107</v>
      </c>
      <c r="F639" t="s">
        <v>108</v>
      </c>
      <c r="G639">
        <v>24</v>
      </c>
      <c r="H639">
        <v>2</v>
      </c>
      <c r="I639">
        <v>24080000</v>
      </c>
      <c r="J639">
        <v>815</v>
      </c>
      <c r="K639">
        <v>0</v>
      </c>
      <c r="L639">
        <v>14230</v>
      </c>
      <c r="M639">
        <v>13.688805</v>
      </c>
      <c r="N639">
        <v>101.85438000000001</v>
      </c>
      <c r="O639">
        <v>0.66</v>
      </c>
      <c r="P639">
        <v>7</v>
      </c>
      <c r="Q639">
        <v>8.0500000000000007</v>
      </c>
      <c r="R639">
        <v>0.53</v>
      </c>
      <c r="S639">
        <v>0.57999999999999996</v>
      </c>
      <c r="T639">
        <v>7.13</v>
      </c>
      <c r="U639">
        <v>56.110000999999997</v>
      </c>
      <c r="V639">
        <v>0</v>
      </c>
      <c r="W639">
        <v>0</v>
      </c>
      <c r="X639">
        <v>17459.096420000002</v>
      </c>
      <c r="Y639">
        <v>16640590.448100001</v>
      </c>
    </row>
    <row r="640" spans="1:25" x14ac:dyDescent="0.55000000000000004">
      <c r="A640">
        <v>638</v>
      </c>
      <c r="B640" t="s">
        <v>20</v>
      </c>
      <c r="C640">
        <v>45</v>
      </c>
      <c r="D640">
        <v>8</v>
      </c>
      <c r="E640" t="s">
        <v>107</v>
      </c>
      <c r="F640" t="s">
        <v>108</v>
      </c>
      <c r="G640">
        <v>24</v>
      </c>
      <c r="H640">
        <v>2</v>
      </c>
      <c r="I640">
        <v>24080000</v>
      </c>
      <c r="J640">
        <v>1014</v>
      </c>
      <c r="K640">
        <v>0</v>
      </c>
      <c r="L640">
        <v>14111</v>
      </c>
      <c r="M640">
        <v>13.608017</v>
      </c>
      <c r="N640">
        <v>101.93751</v>
      </c>
      <c r="O640">
        <v>0.09</v>
      </c>
      <c r="P640">
        <v>8.0399999999999991</v>
      </c>
      <c r="Q640">
        <v>0.25</v>
      </c>
      <c r="R640">
        <v>7.0000000000000007E-2</v>
      </c>
      <c r="S640">
        <v>0.28000000000000003</v>
      </c>
      <c r="T640">
        <v>7.13</v>
      </c>
      <c r="U640">
        <v>39.360000999999997</v>
      </c>
      <c r="V640">
        <v>0.01</v>
      </c>
      <c r="W640">
        <v>0</v>
      </c>
      <c r="X640">
        <v>7310.2557230000002</v>
      </c>
      <c r="Y640">
        <v>3076982.7257699999</v>
      </c>
    </row>
    <row r="641" spans="1:25" x14ac:dyDescent="0.55000000000000004">
      <c r="A641">
        <v>639</v>
      </c>
      <c r="B641" t="s">
        <v>20</v>
      </c>
      <c r="C641">
        <v>45</v>
      </c>
      <c r="D641">
        <v>8</v>
      </c>
      <c r="E641" t="s">
        <v>107</v>
      </c>
      <c r="F641" t="s">
        <v>108</v>
      </c>
      <c r="G641">
        <v>24</v>
      </c>
      <c r="H641">
        <v>2</v>
      </c>
      <c r="I641">
        <v>24080000</v>
      </c>
      <c r="J641">
        <v>1016</v>
      </c>
      <c r="K641">
        <v>0</v>
      </c>
      <c r="L641">
        <v>13991</v>
      </c>
      <c r="M641">
        <v>13.527199</v>
      </c>
      <c r="N641">
        <v>101.93751</v>
      </c>
      <c r="O641">
        <v>0.01</v>
      </c>
      <c r="P641">
        <v>0</v>
      </c>
      <c r="Q641">
        <v>0.02</v>
      </c>
      <c r="R641">
        <v>0.12</v>
      </c>
      <c r="S641">
        <v>0.01</v>
      </c>
      <c r="T641">
        <v>7.56</v>
      </c>
      <c r="U641">
        <v>13.65</v>
      </c>
      <c r="V641">
        <v>0</v>
      </c>
      <c r="W641">
        <v>0.02</v>
      </c>
      <c r="X641">
        <v>7622.942728</v>
      </c>
      <c r="Y641">
        <v>1544207.21422</v>
      </c>
    </row>
    <row r="642" spans="1:25" x14ac:dyDescent="0.55000000000000004">
      <c r="A642">
        <v>640</v>
      </c>
      <c r="B642" t="s">
        <v>20</v>
      </c>
      <c r="C642">
        <v>46</v>
      </c>
      <c r="D642">
        <v>9</v>
      </c>
      <c r="E642" t="s">
        <v>109</v>
      </c>
      <c r="F642" t="s">
        <v>110</v>
      </c>
      <c r="G642">
        <v>24</v>
      </c>
      <c r="H642">
        <v>2</v>
      </c>
      <c r="I642">
        <v>24090000</v>
      </c>
      <c r="J642">
        <v>749</v>
      </c>
      <c r="K642">
        <v>0</v>
      </c>
      <c r="L642">
        <v>13864</v>
      </c>
      <c r="M642">
        <v>13.446358</v>
      </c>
      <c r="N642">
        <v>101.35556</v>
      </c>
      <c r="O642">
        <v>32.409999999999997</v>
      </c>
      <c r="P642">
        <v>0</v>
      </c>
      <c r="Q642">
        <v>0.01</v>
      </c>
      <c r="R642">
        <v>0.28999999999999998</v>
      </c>
      <c r="S642">
        <v>0</v>
      </c>
      <c r="T642">
        <v>8.4700000000000006</v>
      </c>
      <c r="U642">
        <v>5.85</v>
      </c>
      <c r="V642">
        <v>0</v>
      </c>
      <c r="W642">
        <v>0</v>
      </c>
      <c r="X642">
        <v>15426.020001999999</v>
      </c>
      <c r="Y642">
        <v>9832175.8541299999</v>
      </c>
    </row>
    <row r="643" spans="1:25" x14ac:dyDescent="0.55000000000000004">
      <c r="A643">
        <v>641</v>
      </c>
      <c r="B643" t="s">
        <v>20</v>
      </c>
      <c r="C643">
        <v>46</v>
      </c>
      <c r="D643">
        <v>9</v>
      </c>
      <c r="E643" t="s">
        <v>109</v>
      </c>
      <c r="F643" t="s">
        <v>110</v>
      </c>
      <c r="G643">
        <v>24</v>
      </c>
      <c r="H643">
        <v>2</v>
      </c>
      <c r="I643">
        <v>24090000</v>
      </c>
      <c r="J643">
        <v>752</v>
      </c>
      <c r="K643">
        <v>0</v>
      </c>
      <c r="L643">
        <v>13865</v>
      </c>
      <c r="M643">
        <v>13.446358</v>
      </c>
      <c r="N643">
        <v>101.4387</v>
      </c>
      <c r="O643">
        <v>24.1</v>
      </c>
      <c r="P643">
        <v>0</v>
      </c>
      <c r="Q643">
        <v>0.03</v>
      </c>
      <c r="R643">
        <v>0.35</v>
      </c>
      <c r="S643">
        <v>0.6</v>
      </c>
      <c r="T643">
        <v>6.82</v>
      </c>
      <c r="U643">
        <v>10.59</v>
      </c>
      <c r="V643">
        <v>0</v>
      </c>
      <c r="W643">
        <v>0</v>
      </c>
      <c r="X643">
        <v>33248.547573999997</v>
      </c>
      <c r="Y643">
        <v>34149050.073600002</v>
      </c>
    </row>
    <row r="644" spans="1:25" x14ac:dyDescent="0.55000000000000004">
      <c r="A644">
        <v>642</v>
      </c>
      <c r="B644" t="s">
        <v>20</v>
      </c>
      <c r="C644">
        <v>46</v>
      </c>
      <c r="D644">
        <v>9</v>
      </c>
      <c r="E644" t="s">
        <v>109</v>
      </c>
      <c r="F644" t="s">
        <v>110</v>
      </c>
      <c r="G644">
        <v>24</v>
      </c>
      <c r="H644">
        <v>2</v>
      </c>
      <c r="I644">
        <v>24090000</v>
      </c>
      <c r="J644">
        <v>759</v>
      </c>
      <c r="K644">
        <v>0</v>
      </c>
      <c r="L644">
        <v>13866</v>
      </c>
      <c r="M644">
        <v>13.446358</v>
      </c>
      <c r="N644">
        <v>101.52182999999999</v>
      </c>
      <c r="O644">
        <v>24.77</v>
      </c>
      <c r="P644">
        <v>0.04</v>
      </c>
      <c r="Q644">
        <v>7.0000000000000007E-2</v>
      </c>
      <c r="R644">
        <v>0.24</v>
      </c>
      <c r="S644">
        <v>3.86</v>
      </c>
      <c r="T644">
        <v>17.459999</v>
      </c>
      <c r="U644">
        <v>8.1199999999999992</v>
      </c>
      <c r="V644">
        <v>0</v>
      </c>
      <c r="W644">
        <v>0</v>
      </c>
      <c r="X644">
        <v>6574.1836599999997</v>
      </c>
      <c r="Y644">
        <v>1447973.92484</v>
      </c>
    </row>
    <row r="645" spans="1:25" x14ac:dyDescent="0.55000000000000004">
      <c r="A645">
        <v>643</v>
      </c>
      <c r="B645" t="s">
        <v>20</v>
      </c>
      <c r="C645">
        <v>46</v>
      </c>
      <c r="D645">
        <v>9</v>
      </c>
      <c r="E645" t="s">
        <v>109</v>
      </c>
      <c r="F645" t="s">
        <v>110</v>
      </c>
      <c r="G645">
        <v>24</v>
      </c>
      <c r="H645">
        <v>2</v>
      </c>
      <c r="I645">
        <v>24090000</v>
      </c>
      <c r="J645">
        <v>775</v>
      </c>
      <c r="K645">
        <v>0</v>
      </c>
      <c r="L645">
        <v>13983</v>
      </c>
      <c r="M645">
        <v>13.527199</v>
      </c>
      <c r="N645">
        <v>101.27242</v>
      </c>
      <c r="O645">
        <v>13.37</v>
      </c>
      <c r="P645">
        <v>0</v>
      </c>
      <c r="Q645">
        <v>7.0000000000000007E-2</v>
      </c>
      <c r="R645">
        <v>1.89</v>
      </c>
      <c r="S645">
        <v>3.09</v>
      </c>
      <c r="T645">
        <v>28.48</v>
      </c>
      <c r="U645">
        <v>7.43</v>
      </c>
      <c r="V645">
        <v>0</v>
      </c>
      <c r="W645">
        <v>0</v>
      </c>
      <c r="X645">
        <v>24263.275048</v>
      </c>
      <c r="Y645">
        <v>17571492.0902</v>
      </c>
    </row>
    <row r="646" spans="1:25" x14ac:dyDescent="0.55000000000000004">
      <c r="A646">
        <v>644</v>
      </c>
      <c r="B646" t="s">
        <v>20</v>
      </c>
      <c r="C646">
        <v>46</v>
      </c>
      <c r="D646">
        <v>9</v>
      </c>
      <c r="E646" t="s">
        <v>109</v>
      </c>
      <c r="F646" t="s">
        <v>110</v>
      </c>
      <c r="G646">
        <v>24</v>
      </c>
      <c r="H646">
        <v>2</v>
      </c>
      <c r="I646">
        <v>24090000</v>
      </c>
      <c r="J646">
        <v>776</v>
      </c>
      <c r="K646">
        <v>0</v>
      </c>
      <c r="L646">
        <v>14102</v>
      </c>
      <c r="M646">
        <v>13.608017</v>
      </c>
      <c r="N646">
        <v>101.189285</v>
      </c>
      <c r="O646">
        <v>43.639999000000003</v>
      </c>
      <c r="P646">
        <v>0</v>
      </c>
      <c r="Q646">
        <v>0.56000000000000005</v>
      </c>
      <c r="R646">
        <v>0.14000000000000001</v>
      </c>
      <c r="S646">
        <v>1.47</v>
      </c>
      <c r="T646">
        <v>8.0399999999999991</v>
      </c>
      <c r="U646">
        <v>8.4600000000000009</v>
      </c>
      <c r="V646">
        <v>0.19</v>
      </c>
      <c r="W646">
        <v>0</v>
      </c>
      <c r="X646">
        <v>11998.182551</v>
      </c>
      <c r="Y646">
        <v>5318714.6356800003</v>
      </c>
    </row>
    <row r="647" spans="1:25" x14ac:dyDescent="0.55000000000000004">
      <c r="A647">
        <v>645</v>
      </c>
      <c r="B647" t="s">
        <v>20</v>
      </c>
      <c r="C647">
        <v>46</v>
      </c>
      <c r="D647">
        <v>9</v>
      </c>
      <c r="E647" t="s">
        <v>109</v>
      </c>
      <c r="F647" t="s">
        <v>110</v>
      </c>
      <c r="G647">
        <v>24</v>
      </c>
      <c r="H647">
        <v>2</v>
      </c>
      <c r="I647">
        <v>24090000</v>
      </c>
      <c r="J647">
        <v>777</v>
      </c>
      <c r="K647">
        <v>0</v>
      </c>
      <c r="L647">
        <v>14223</v>
      </c>
      <c r="M647">
        <v>13.688805</v>
      </c>
      <c r="N647">
        <v>101.27242</v>
      </c>
      <c r="O647">
        <v>23.59</v>
      </c>
      <c r="P647">
        <v>0.16</v>
      </c>
      <c r="Q647">
        <v>7.06</v>
      </c>
      <c r="R647">
        <v>0.03</v>
      </c>
      <c r="S647">
        <v>0.77</v>
      </c>
      <c r="T647">
        <v>9.77</v>
      </c>
      <c r="U647">
        <v>12.61</v>
      </c>
      <c r="V647">
        <v>2.08</v>
      </c>
      <c r="W647">
        <v>0</v>
      </c>
      <c r="X647">
        <v>23040.608284000002</v>
      </c>
      <c r="Y647">
        <v>12858486.686000001</v>
      </c>
    </row>
    <row r="648" spans="1:25" x14ac:dyDescent="0.55000000000000004">
      <c r="A648">
        <v>646</v>
      </c>
      <c r="B648" t="s">
        <v>20</v>
      </c>
      <c r="C648">
        <v>46</v>
      </c>
      <c r="D648">
        <v>9</v>
      </c>
      <c r="E648" t="s">
        <v>109</v>
      </c>
      <c r="F648" t="s">
        <v>110</v>
      </c>
      <c r="G648">
        <v>24</v>
      </c>
      <c r="H648">
        <v>2</v>
      </c>
      <c r="I648">
        <v>24090000</v>
      </c>
      <c r="J648">
        <v>778</v>
      </c>
      <c r="K648">
        <v>0</v>
      </c>
      <c r="L648">
        <v>14222</v>
      </c>
      <c r="M648">
        <v>13.688805</v>
      </c>
      <c r="N648">
        <v>101.189285</v>
      </c>
      <c r="O648">
        <v>53.779998999999997</v>
      </c>
      <c r="P648">
        <v>0</v>
      </c>
      <c r="Q648">
        <v>12.64</v>
      </c>
      <c r="R648">
        <v>0.01</v>
      </c>
      <c r="S648">
        <v>2.96</v>
      </c>
      <c r="T648">
        <v>13.06</v>
      </c>
      <c r="U648">
        <v>16.760000000000002</v>
      </c>
      <c r="V648">
        <v>0.04</v>
      </c>
      <c r="W648">
        <v>0</v>
      </c>
      <c r="X648">
        <v>4684.6084049999999</v>
      </c>
      <c r="Y648">
        <v>1345175.5061300001</v>
      </c>
    </row>
    <row r="649" spans="1:25" x14ac:dyDescent="0.55000000000000004">
      <c r="A649">
        <v>647</v>
      </c>
      <c r="B649" t="s">
        <v>20</v>
      </c>
      <c r="C649">
        <v>46</v>
      </c>
      <c r="D649">
        <v>9</v>
      </c>
      <c r="E649" t="s">
        <v>109</v>
      </c>
      <c r="F649" t="s">
        <v>110</v>
      </c>
      <c r="G649">
        <v>24</v>
      </c>
      <c r="H649">
        <v>2</v>
      </c>
      <c r="I649">
        <v>24090000</v>
      </c>
      <c r="J649">
        <v>779</v>
      </c>
      <c r="K649">
        <v>0</v>
      </c>
      <c r="L649">
        <v>14103</v>
      </c>
      <c r="M649">
        <v>13.608017</v>
      </c>
      <c r="N649">
        <v>101.27242</v>
      </c>
      <c r="O649">
        <v>55.900002000000001</v>
      </c>
      <c r="P649">
        <v>11.87</v>
      </c>
      <c r="Q649">
        <v>0.64</v>
      </c>
      <c r="R649">
        <v>3.48</v>
      </c>
      <c r="S649">
        <v>3.59</v>
      </c>
      <c r="T649">
        <v>6.66</v>
      </c>
      <c r="U649">
        <v>20.74</v>
      </c>
      <c r="V649">
        <v>0.14000000000000001</v>
      </c>
      <c r="W649">
        <v>0.05</v>
      </c>
      <c r="X649">
        <v>34982.407973000001</v>
      </c>
      <c r="Y649">
        <v>76681253.721399993</v>
      </c>
    </row>
    <row r="650" spans="1:25" x14ac:dyDescent="0.55000000000000004">
      <c r="A650">
        <v>648</v>
      </c>
      <c r="B650" t="s">
        <v>20</v>
      </c>
      <c r="C650">
        <v>46</v>
      </c>
      <c r="D650">
        <v>9</v>
      </c>
      <c r="E650" t="s">
        <v>109</v>
      </c>
      <c r="F650" t="s">
        <v>110</v>
      </c>
      <c r="G650">
        <v>24</v>
      </c>
      <c r="H650">
        <v>2</v>
      </c>
      <c r="I650">
        <v>24090000</v>
      </c>
      <c r="J650">
        <v>784</v>
      </c>
      <c r="K650">
        <v>0</v>
      </c>
      <c r="L650">
        <v>13984</v>
      </c>
      <c r="M650">
        <v>13.527199</v>
      </c>
      <c r="N650">
        <v>101.35556</v>
      </c>
      <c r="O650">
        <v>67.080001999999993</v>
      </c>
      <c r="P650">
        <v>0</v>
      </c>
      <c r="Q650">
        <v>0</v>
      </c>
      <c r="R650">
        <v>0.04</v>
      </c>
      <c r="S650">
        <v>0</v>
      </c>
      <c r="T650">
        <v>13.54</v>
      </c>
      <c r="U650">
        <v>5.29</v>
      </c>
      <c r="V650">
        <v>0</v>
      </c>
      <c r="W650">
        <v>0</v>
      </c>
      <c r="X650">
        <v>34625.763128999999</v>
      </c>
      <c r="Y650">
        <v>77537674.233500004</v>
      </c>
    </row>
    <row r="651" spans="1:25" x14ac:dyDescent="0.55000000000000004">
      <c r="A651">
        <v>649</v>
      </c>
      <c r="B651" t="s">
        <v>20</v>
      </c>
      <c r="C651">
        <v>46</v>
      </c>
      <c r="D651">
        <v>9</v>
      </c>
      <c r="E651" t="s">
        <v>109</v>
      </c>
      <c r="F651" t="s">
        <v>110</v>
      </c>
      <c r="G651">
        <v>24</v>
      </c>
      <c r="H651">
        <v>2</v>
      </c>
      <c r="I651">
        <v>24090000</v>
      </c>
      <c r="J651">
        <v>785</v>
      </c>
      <c r="K651">
        <v>0</v>
      </c>
      <c r="L651">
        <v>14104</v>
      </c>
      <c r="M651">
        <v>13.608017</v>
      </c>
      <c r="N651">
        <v>101.35556</v>
      </c>
      <c r="O651">
        <v>19.41</v>
      </c>
      <c r="P651">
        <v>0.08</v>
      </c>
      <c r="Q651">
        <v>0.55000000000000004</v>
      </c>
      <c r="R651">
        <v>8.59</v>
      </c>
      <c r="S651">
        <v>4.33</v>
      </c>
      <c r="T651">
        <v>22.6</v>
      </c>
      <c r="U651">
        <v>66.849997999999999</v>
      </c>
      <c r="V651">
        <v>0.64</v>
      </c>
      <c r="W651">
        <v>0.01</v>
      </c>
      <c r="X651">
        <v>34534.082678999999</v>
      </c>
      <c r="Y651">
        <v>54995417.3715</v>
      </c>
    </row>
    <row r="652" spans="1:25" x14ac:dyDescent="0.55000000000000004">
      <c r="A652">
        <v>650</v>
      </c>
      <c r="B652" t="s">
        <v>20</v>
      </c>
      <c r="C652">
        <v>46</v>
      </c>
      <c r="D652">
        <v>9</v>
      </c>
      <c r="E652" t="s">
        <v>109</v>
      </c>
      <c r="F652" t="s">
        <v>110</v>
      </c>
      <c r="G652">
        <v>24</v>
      </c>
      <c r="H652">
        <v>2</v>
      </c>
      <c r="I652">
        <v>24090000</v>
      </c>
      <c r="J652">
        <v>786</v>
      </c>
      <c r="K652">
        <v>0</v>
      </c>
      <c r="L652">
        <v>13985</v>
      </c>
      <c r="M652">
        <v>13.527199</v>
      </c>
      <c r="N652">
        <v>101.4387</v>
      </c>
      <c r="O652">
        <v>13.93</v>
      </c>
      <c r="P652">
        <v>0</v>
      </c>
      <c r="Q652">
        <v>0.04</v>
      </c>
      <c r="R652">
        <v>0.13</v>
      </c>
      <c r="S652">
        <v>0</v>
      </c>
      <c r="T652">
        <v>13.69</v>
      </c>
      <c r="U652">
        <v>2.91</v>
      </c>
      <c r="V652">
        <v>0</v>
      </c>
      <c r="W652">
        <v>0.01</v>
      </c>
      <c r="X652">
        <v>29702.761838999999</v>
      </c>
      <c r="Y652">
        <v>34200703.076300003</v>
      </c>
    </row>
    <row r="653" spans="1:25" x14ac:dyDescent="0.55000000000000004">
      <c r="A653">
        <v>651</v>
      </c>
      <c r="B653" t="s">
        <v>20</v>
      </c>
      <c r="C653">
        <v>46</v>
      </c>
      <c r="D653">
        <v>9</v>
      </c>
      <c r="E653" t="s">
        <v>109</v>
      </c>
      <c r="F653" t="s">
        <v>110</v>
      </c>
      <c r="G653">
        <v>24</v>
      </c>
      <c r="H653">
        <v>2</v>
      </c>
      <c r="I653">
        <v>24090000</v>
      </c>
      <c r="J653">
        <v>787</v>
      </c>
      <c r="K653">
        <v>0</v>
      </c>
      <c r="L653">
        <v>14105</v>
      </c>
      <c r="M653">
        <v>13.608017</v>
      </c>
      <c r="N653">
        <v>101.4387</v>
      </c>
      <c r="O653">
        <v>10.130000000000001</v>
      </c>
      <c r="P653">
        <v>0</v>
      </c>
      <c r="Q653">
        <v>0.43</v>
      </c>
      <c r="R653">
        <v>0.25</v>
      </c>
      <c r="S653">
        <v>2.06</v>
      </c>
      <c r="T653">
        <v>13.75</v>
      </c>
      <c r="U653">
        <v>4.55</v>
      </c>
      <c r="V653">
        <v>0.49</v>
      </c>
      <c r="W653">
        <v>0.31</v>
      </c>
      <c r="X653">
        <v>8002.8247339999998</v>
      </c>
      <c r="Y653">
        <v>1966507.1512800001</v>
      </c>
    </row>
    <row r="654" spans="1:25" x14ac:dyDescent="0.55000000000000004">
      <c r="A654">
        <v>652</v>
      </c>
      <c r="B654" t="s">
        <v>20</v>
      </c>
      <c r="C654">
        <v>46</v>
      </c>
      <c r="D654">
        <v>9</v>
      </c>
      <c r="E654" t="s">
        <v>109</v>
      </c>
      <c r="F654" t="s">
        <v>110</v>
      </c>
      <c r="G654">
        <v>24</v>
      </c>
      <c r="H654">
        <v>2</v>
      </c>
      <c r="I654">
        <v>24090000</v>
      </c>
      <c r="J654">
        <v>789</v>
      </c>
      <c r="K654">
        <v>0</v>
      </c>
      <c r="L654">
        <v>14224</v>
      </c>
      <c r="M654">
        <v>13.688805</v>
      </c>
      <c r="N654">
        <v>101.35556</v>
      </c>
      <c r="O654">
        <v>34.509998000000003</v>
      </c>
      <c r="P654">
        <v>4.0199999999999996</v>
      </c>
      <c r="Q654">
        <v>0.9</v>
      </c>
      <c r="R654">
        <v>1.62</v>
      </c>
      <c r="S654">
        <v>0.94</v>
      </c>
      <c r="T654">
        <v>9.74</v>
      </c>
      <c r="U654">
        <v>6.83</v>
      </c>
      <c r="V654">
        <v>17.989999999999998</v>
      </c>
      <c r="W654">
        <v>0</v>
      </c>
      <c r="X654">
        <v>138.05047200000001</v>
      </c>
      <c r="Y654">
        <v>763.42704900000001</v>
      </c>
    </row>
    <row r="655" spans="1:25" x14ac:dyDescent="0.55000000000000004">
      <c r="A655">
        <v>653</v>
      </c>
      <c r="B655" t="s">
        <v>20</v>
      </c>
      <c r="C655">
        <v>47</v>
      </c>
      <c r="D655">
        <v>10</v>
      </c>
      <c r="E655" t="s">
        <v>111</v>
      </c>
      <c r="F655" t="s">
        <v>112</v>
      </c>
      <c r="G655">
        <v>24</v>
      </c>
      <c r="H655">
        <v>2</v>
      </c>
      <c r="I655">
        <v>24100000</v>
      </c>
      <c r="J655">
        <v>753</v>
      </c>
      <c r="K655">
        <v>0</v>
      </c>
      <c r="L655">
        <v>13746</v>
      </c>
      <c r="M655">
        <v>13.365479000000001</v>
      </c>
      <c r="N655">
        <v>101.52182999999999</v>
      </c>
      <c r="O655">
        <v>2.58</v>
      </c>
      <c r="P655">
        <v>0.37</v>
      </c>
      <c r="Q655">
        <v>5.22</v>
      </c>
      <c r="R655">
        <v>0.3</v>
      </c>
      <c r="S655">
        <v>2.71</v>
      </c>
      <c r="T655">
        <v>19.52</v>
      </c>
      <c r="U655">
        <v>9.2100000000000009</v>
      </c>
      <c r="V655">
        <v>0</v>
      </c>
      <c r="W655">
        <v>0</v>
      </c>
      <c r="X655">
        <v>19695.240990999999</v>
      </c>
      <c r="Y655">
        <v>9056430.7834099997</v>
      </c>
    </row>
    <row r="656" spans="1:25" x14ac:dyDescent="0.55000000000000004">
      <c r="A656">
        <v>654</v>
      </c>
      <c r="B656" t="s">
        <v>20</v>
      </c>
      <c r="C656">
        <v>47</v>
      </c>
      <c r="D656">
        <v>10</v>
      </c>
      <c r="E656" t="s">
        <v>111</v>
      </c>
      <c r="F656" t="s">
        <v>112</v>
      </c>
      <c r="G656">
        <v>24</v>
      </c>
      <c r="H656">
        <v>2</v>
      </c>
      <c r="I656">
        <v>24100000</v>
      </c>
      <c r="J656">
        <v>756</v>
      </c>
      <c r="K656">
        <v>0</v>
      </c>
      <c r="L656">
        <v>13628</v>
      </c>
      <c r="M656">
        <v>13.284592</v>
      </c>
      <c r="N656">
        <v>101.68810000000001</v>
      </c>
      <c r="O656">
        <v>0.83</v>
      </c>
      <c r="P656">
        <v>0.08</v>
      </c>
      <c r="Q656">
        <v>0.53</v>
      </c>
      <c r="R656">
        <v>0.23</v>
      </c>
      <c r="S656">
        <v>19.620000999999998</v>
      </c>
      <c r="T656">
        <v>10.66</v>
      </c>
      <c r="U656">
        <v>29.82</v>
      </c>
      <c r="V656">
        <v>0.01</v>
      </c>
      <c r="W656">
        <v>0.01</v>
      </c>
      <c r="X656">
        <v>34096.505635000001</v>
      </c>
      <c r="Y656">
        <v>69440916.479900002</v>
      </c>
    </row>
    <row r="657" spans="1:25" x14ac:dyDescent="0.55000000000000004">
      <c r="A657">
        <v>655</v>
      </c>
      <c r="B657" t="s">
        <v>20</v>
      </c>
      <c r="C657">
        <v>47</v>
      </c>
      <c r="D657">
        <v>10</v>
      </c>
      <c r="E657" t="s">
        <v>111</v>
      </c>
      <c r="F657" t="s">
        <v>112</v>
      </c>
      <c r="G657">
        <v>24</v>
      </c>
      <c r="H657">
        <v>2</v>
      </c>
      <c r="I657">
        <v>24100000</v>
      </c>
      <c r="J657">
        <v>758</v>
      </c>
      <c r="K657">
        <v>0</v>
      </c>
      <c r="L657">
        <v>13508</v>
      </c>
      <c r="M657">
        <v>13.203666999999999</v>
      </c>
      <c r="N657">
        <v>101.68810000000001</v>
      </c>
      <c r="O657">
        <v>7.24</v>
      </c>
      <c r="P657">
        <v>0.11</v>
      </c>
      <c r="Q657">
        <v>0.27</v>
      </c>
      <c r="R657">
        <v>0.15</v>
      </c>
      <c r="S657">
        <v>34.200001</v>
      </c>
      <c r="T657">
        <v>43.549999</v>
      </c>
      <c r="U657">
        <v>12.57</v>
      </c>
      <c r="V657">
        <v>6.21</v>
      </c>
      <c r="W657">
        <v>0.05</v>
      </c>
      <c r="X657">
        <v>21926.829758</v>
      </c>
      <c r="Y657">
        <v>21343454.315200001</v>
      </c>
    </row>
    <row r="658" spans="1:25" x14ac:dyDescent="0.55000000000000004">
      <c r="A658">
        <v>656</v>
      </c>
      <c r="B658" t="s">
        <v>20</v>
      </c>
      <c r="C658">
        <v>47</v>
      </c>
      <c r="D658">
        <v>10</v>
      </c>
      <c r="E658" t="s">
        <v>111</v>
      </c>
      <c r="F658" t="s">
        <v>112</v>
      </c>
      <c r="G658">
        <v>24</v>
      </c>
      <c r="H658">
        <v>2</v>
      </c>
      <c r="I658">
        <v>24100000</v>
      </c>
      <c r="J658">
        <v>759</v>
      </c>
      <c r="K658">
        <v>0</v>
      </c>
      <c r="L658">
        <v>13866</v>
      </c>
      <c r="M658">
        <v>13.446358</v>
      </c>
      <c r="N658">
        <v>101.52182999999999</v>
      </c>
      <c r="O658">
        <v>24.77</v>
      </c>
      <c r="P658">
        <v>0.04</v>
      </c>
      <c r="Q658">
        <v>7.0000000000000007E-2</v>
      </c>
      <c r="R658">
        <v>0.24</v>
      </c>
      <c r="S658">
        <v>3.86</v>
      </c>
      <c r="T658">
        <v>17.459999</v>
      </c>
      <c r="U658">
        <v>8.1199999999999992</v>
      </c>
      <c r="V658">
        <v>0</v>
      </c>
      <c r="W658">
        <v>0</v>
      </c>
      <c r="X658">
        <v>34368.963628999998</v>
      </c>
      <c r="Y658">
        <v>51391224.318599999</v>
      </c>
    </row>
    <row r="659" spans="1:25" x14ac:dyDescent="0.55000000000000004">
      <c r="A659">
        <v>657</v>
      </c>
      <c r="B659" t="s">
        <v>20</v>
      </c>
      <c r="C659">
        <v>47</v>
      </c>
      <c r="D659">
        <v>10</v>
      </c>
      <c r="E659" t="s">
        <v>111</v>
      </c>
      <c r="F659" t="s">
        <v>112</v>
      </c>
      <c r="G659">
        <v>24</v>
      </c>
      <c r="H659">
        <v>2</v>
      </c>
      <c r="I659">
        <v>24100000</v>
      </c>
      <c r="J659">
        <v>760</v>
      </c>
      <c r="K659">
        <v>0</v>
      </c>
      <c r="L659">
        <v>13627</v>
      </c>
      <c r="M659">
        <v>13.284592</v>
      </c>
      <c r="N659">
        <v>101.60496500000001</v>
      </c>
      <c r="O659">
        <v>0.1</v>
      </c>
      <c r="P659">
        <v>0.17</v>
      </c>
      <c r="Q659">
        <v>0.02</v>
      </c>
      <c r="R659">
        <v>0.34</v>
      </c>
      <c r="S659">
        <v>2.35</v>
      </c>
      <c r="T659">
        <v>23.09</v>
      </c>
      <c r="U659">
        <v>24.9</v>
      </c>
      <c r="V659">
        <v>0.13</v>
      </c>
      <c r="W659">
        <v>0</v>
      </c>
      <c r="X659">
        <v>21258.61361</v>
      </c>
      <c r="Y659">
        <v>17891896.4844</v>
      </c>
    </row>
    <row r="660" spans="1:25" x14ac:dyDescent="0.55000000000000004">
      <c r="A660">
        <v>658</v>
      </c>
      <c r="B660" t="s">
        <v>20</v>
      </c>
      <c r="C660">
        <v>47</v>
      </c>
      <c r="D660">
        <v>10</v>
      </c>
      <c r="E660" t="s">
        <v>111</v>
      </c>
      <c r="F660" t="s">
        <v>112</v>
      </c>
      <c r="G660">
        <v>24</v>
      </c>
      <c r="H660">
        <v>2</v>
      </c>
      <c r="I660">
        <v>24100000</v>
      </c>
      <c r="J660">
        <v>761</v>
      </c>
      <c r="K660">
        <v>0</v>
      </c>
      <c r="L660">
        <v>13747</v>
      </c>
      <c r="M660">
        <v>13.365479000000001</v>
      </c>
      <c r="N660">
        <v>101.60496500000001</v>
      </c>
      <c r="O660">
        <v>5.31</v>
      </c>
      <c r="P660">
        <v>8.61</v>
      </c>
      <c r="Q660">
        <v>0.78</v>
      </c>
      <c r="R660">
        <v>0</v>
      </c>
      <c r="S660">
        <v>1.48</v>
      </c>
      <c r="T660">
        <v>7.16</v>
      </c>
      <c r="U660">
        <v>15.18</v>
      </c>
      <c r="V660">
        <v>0</v>
      </c>
      <c r="W660">
        <v>0</v>
      </c>
      <c r="X660">
        <v>36168.102124999998</v>
      </c>
      <c r="Y660">
        <v>79058859.363600001</v>
      </c>
    </row>
    <row r="661" spans="1:25" x14ac:dyDescent="0.55000000000000004">
      <c r="A661">
        <v>659</v>
      </c>
      <c r="B661" t="s">
        <v>20</v>
      </c>
      <c r="C661">
        <v>47</v>
      </c>
      <c r="D661">
        <v>10</v>
      </c>
      <c r="E661" t="s">
        <v>111</v>
      </c>
      <c r="F661" t="s">
        <v>112</v>
      </c>
      <c r="G661">
        <v>24</v>
      </c>
      <c r="H661">
        <v>2</v>
      </c>
      <c r="I661">
        <v>24100000</v>
      </c>
      <c r="J661">
        <v>762</v>
      </c>
      <c r="K661">
        <v>0</v>
      </c>
      <c r="L661">
        <v>13867</v>
      </c>
      <c r="M661">
        <v>13.446358</v>
      </c>
      <c r="N661">
        <v>101.60496500000001</v>
      </c>
      <c r="O661">
        <v>8.5299999999999994</v>
      </c>
      <c r="P661">
        <v>5.34</v>
      </c>
      <c r="Q661">
        <v>0</v>
      </c>
      <c r="R661">
        <v>0</v>
      </c>
      <c r="S661">
        <v>0.42</v>
      </c>
      <c r="T661">
        <v>1.06</v>
      </c>
      <c r="U661">
        <v>14.02</v>
      </c>
      <c r="V661">
        <v>0.01</v>
      </c>
      <c r="W661">
        <v>0</v>
      </c>
      <c r="X661">
        <v>35917.741811</v>
      </c>
      <c r="Y661">
        <v>80629458.203199998</v>
      </c>
    </row>
    <row r="662" spans="1:25" x14ac:dyDescent="0.55000000000000004">
      <c r="A662">
        <v>660</v>
      </c>
      <c r="B662" t="s">
        <v>20</v>
      </c>
      <c r="C662">
        <v>47</v>
      </c>
      <c r="D662">
        <v>10</v>
      </c>
      <c r="E662" t="s">
        <v>111</v>
      </c>
      <c r="F662" t="s">
        <v>112</v>
      </c>
      <c r="G662">
        <v>24</v>
      </c>
      <c r="H662">
        <v>2</v>
      </c>
      <c r="I662">
        <v>24100000</v>
      </c>
      <c r="J662">
        <v>763</v>
      </c>
      <c r="K662">
        <v>0</v>
      </c>
      <c r="L662">
        <v>13748</v>
      </c>
      <c r="M662">
        <v>13.365479000000001</v>
      </c>
      <c r="N662">
        <v>101.68810000000001</v>
      </c>
      <c r="O662">
        <v>1.74</v>
      </c>
      <c r="P662">
        <v>0.43</v>
      </c>
      <c r="Q662">
        <v>11.72</v>
      </c>
      <c r="R662">
        <v>0</v>
      </c>
      <c r="S662">
        <v>19.549999</v>
      </c>
      <c r="T662">
        <v>2.78</v>
      </c>
      <c r="U662">
        <v>38.18</v>
      </c>
      <c r="V662">
        <v>0</v>
      </c>
      <c r="W662">
        <v>0</v>
      </c>
      <c r="X662">
        <v>35931.604045</v>
      </c>
      <c r="Y662">
        <v>80691685.002299994</v>
      </c>
    </row>
    <row r="663" spans="1:25" x14ac:dyDescent="0.55000000000000004">
      <c r="A663">
        <v>661</v>
      </c>
      <c r="B663" t="s">
        <v>20</v>
      </c>
      <c r="C663">
        <v>47</v>
      </c>
      <c r="D663">
        <v>10</v>
      </c>
      <c r="E663" t="s">
        <v>111</v>
      </c>
      <c r="F663" t="s">
        <v>112</v>
      </c>
      <c r="G663">
        <v>24</v>
      </c>
      <c r="H663">
        <v>2</v>
      </c>
      <c r="I663">
        <v>24100000</v>
      </c>
      <c r="J663">
        <v>766</v>
      </c>
      <c r="K663">
        <v>0</v>
      </c>
      <c r="L663">
        <v>13630</v>
      </c>
      <c r="M663">
        <v>13.284592</v>
      </c>
      <c r="N663">
        <v>101.85438000000001</v>
      </c>
      <c r="O663">
        <v>26.780000999999999</v>
      </c>
      <c r="P663">
        <v>0.52</v>
      </c>
      <c r="Q663">
        <v>1.69</v>
      </c>
      <c r="R663">
        <v>3.77</v>
      </c>
      <c r="S663">
        <v>2.56</v>
      </c>
      <c r="T663">
        <v>16.93</v>
      </c>
      <c r="U663">
        <v>20.25</v>
      </c>
      <c r="V663">
        <v>0.02</v>
      </c>
      <c r="W663">
        <v>0.04</v>
      </c>
      <c r="X663">
        <v>37008.747709000003</v>
      </c>
      <c r="Y663">
        <v>79890963.687900007</v>
      </c>
    </row>
    <row r="664" spans="1:25" x14ac:dyDescent="0.55000000000000004">
      <c r="A664">
        <v>662</v>
      </c>
      <c r="B664" t="s">
        <v>20</v>
      </c>
      <c r="C664">
        <v>47</v>
      </c>
      <c r="D664">
        <v>10</v>
      </c>
      <c r="E664" t="s">
        <v>111</v>
      </c>
      <c r="F664" t="s">
        <v>112</v>
      </c>
      <c r="G664">
        <v>24</v>
      </c>
      <c r="H664">
        <v>2</v>
      </c>
      <c r="I664">
        <v>24100000</v>
      </c>
      <c r="J664">
        <v>767</v>
      </c>
      <c r="K664">
        <v>0</v>
      </c>
      <c r="L664">
        <v>13509</v>
      </c>
      <c r="M664">
        <v>13.203666999999999</v>
      </c>
      <c r="N664">
        <v>101.77124000000001</v>
      </c>
      <c r="O664">
        <v>78.720000999999996</v>
      </c>
      <c r="P664">
        <v>3.92</v>
      </c>
      <c r="Q664">
        <v>1.0900000000000001</v>
      </c>
      <c r="R664">
        <v>0.15</v>
      </c>
      <c r="S664">
        <v>52.889999000000003</v>
      </c>
      <c r="T664">
        <v>14.79</v>
      </c>
      <c r="U664">
        <v>19.59</v>
      </c>
      <c r="V664">
        <v>7.0000000000000007E-2</v>
      </c>
      <c r="W664">
        <v>0.19</v>
      </c>
      <c r="X664">
        <v>31383.942727000001</v>
      </c>
      <c r="Y664">
        <v>51373782.540700004</v>
      </c>
    </row>
    <row r="665" spans="1:25" x14ac:dyDescent="0.55000000000000004">
      <c r="A665">
        <v>663</v>
      </c>
      <c r="B665" t="s">
        <v>20</v>
      </c>
      <c r="C665">
        <v>47</v>
      </c>
      <c r="D665">
        <v>10</v>
      </c>
      <c r="E665" t="s">
        <v>111</v>
      </c>
      <c r="F665" t="s">
        <v>112</v>
      </c>
      <c r="G665">
        <v>24</v>
      </c>
      <c r="H665">
        <v>2</v>
      </c>
      <c r="I665">
        <v>24100000</v>
      </c>
      <c r="J665">
        <v>768</v>
      </c>
      <c r="K665">
        <v>0</v>
      </c>
      <c r="L665">
        <v>13510</v>
      </c>
      <c r="M665">
        <v>13.203666999999999</v>
      </c>
      <c r="N665">
        <v>101.85438000000001</v>
      </c>
      <c r="O665">
        <v>35.790000999999997</v>
      </c>
      <c r="P665">
        <v>0.12</v>
      </c>
      <c r="Q665">
        <v>0.45</v>
      </c>
      <c r="R665">
        <v>4.7</v>
      </c>
      <c r="S665">
        <v>27.59</v>
      </c>
      <c r="T665">
        <v>32.630001</v>
      </c>
      <c r="U665">
        <v>10.87</v>
      </c>
      <c r="V665">
        <v>0</v>
      </c>
      <c r="W665">
        <v>0.19</v>
      </c>
      <c r="X665">
        <v>25345.509007000001</v>
      </c>
      <c r="Y665">
        <v>9378922.3737199996</v>
      </c>
    </row>
    <row r="666" spans="1:25" x14ac:dyDescent="0.55000000000000004">
      <c r="A666">
        <v>664</v>
      </c>
      <c r="B666" t="s">
        <v>20</v>
      </c>
      <c r="C666">
        <v>47</v>
      </c>
      <c r="D666">
        <v>10</v>
      </c>
      <c r="E666" t="s">
        <v>111</v>
      </c>
      <c r="F666" t="s">
        <v>112</v>
      </c>
      <c r="G666">
        <v>24</v>
      </c>
      <c r="H666">
        <v>2</v>
      </c>
      <c r="I666">
        <v>24100000</v>
      </c>
      <c r="J666">
        <v>769</v>
      </c>
      <c r="K666">
        <v>0</v>
      </c>
      <c r="L666">
        <v>13869</v>
      </c>
      <c r="M666">
        <v>13.446358</v>
      </c>
      <c r="N666">
        <v>101.77124000000001</v>
      </c>
      <c r="O666">
        <v>0.72</v>
      </c>
      <c r="P666">
        <v>0.12</v>
      </c>
      <c r="Q666">
        <v>0.03</v>
      </c>
      <c r="R666">
        <v>0</v>
      </c>
      <c r="S666">
        <v>5.0199999999999996</v>
      </c>
      <c r="T666">
        <v>3.7</v>
      </c>
      <c r="U666">
        <v>13.77</v>
      </c>
      <c r="V666">
        <v>0.14000000000000001</v>
      </c>
      <c r="W666">
        <v>0</v>
      </c>
      <c r="X666">
        <v>35923.484048999999</v>
      </c>
      <c r="Y666">
        <v>80655225.662799999</v>
      </c>
    </row>
    <row r="667" spans="1:25" x14ac:dyDescent="0.55000000000000004">
      <c r="A667">
        <v>665</v>
      </c>
      <c r="B667" t="s">
        <v>20</v>
      </c>
      <c r="C667">
        <v>47</v>
      </c>
      <c r="D667">
        <v>10</v>
      </c>
      <c r="E667" t="s">
        <v>111</v>
      </c>
      <c r="F667" t="s">
        <v>112</v>
      </c>
      <c r="G667">
        <v>24</v>
      </c>
      <c r="H667">
        <v>2</v>
      </c>
      <c r="I667">
        <v>24100000</v>
      </c>
      <c r="J667">
        <v>770</v>
      </c>
      <c r="K667">
        <v>0</v>
      </c>
      <c r="L667">
        <v>13868</v>
      </c>
      <c r="M667">
        <v>13.446358</v>
      </c>
      <c r="N667">
        <v>101.68810000000001</v>
      </c>
      <c r="O667">
        <v>0.47</v>
      </c>
      <c r="P667">
        <v>22.16</v>
      </c>
      <c r="Q667">
        <v>0.61</v>
      </c>
      <c r="R667">
        <v>0</v>
      </c>
      <c r="S667">
        <v>7.78</v>
      </c>
      <c r="T667">
        <v>3.07</v>
      </c>
      <c r="U667">
        <v>16.93</v>
      </c>
      <c r="V667">
        <v>0.75</v>
      </c>
      <c r="W667">
        <v>0</v>
      </c>
      <c r="X667">
        <v>35920.576718999997</v>
      </c>
      <c r="Y667">
        <v>80642178.846900001</v>
      </c>
    </row>
    <row r="668" spans="1:25" x14ac:dyDescent="0.55000000000000004">
      <c r="A668">
        <v>666</v>
      </c>
      <c r="B668" t="s">
        <v>20</v>
      </c>
      <c r="C668">
        <v>47</v>
      </c>
      <c r="D668">
        <v>10</v>
      </c>
      <c r="E668" t="s">
        <v>111</v>
      </c>
      <c r="F668" t="s">
        <v>112</v>
      </c>
      <c r="G668">
        <v>24</v>
      </c>
      <c r="H668">
        <v>2</v>
      </c>
      <c r="I668">
        <v>24100000</v>
      </c>
      <c r="J668">
        <v>771</v>
      </c>
      <c r="K668">
        <v>0</v>
      </c>
      <c r="L668">
        <v>13749</v>
      </c>
      <c r="M668">
        <v>13.365479000000001</v>
      </c>
      <c r="N668">
        <v>101.77124000000001</v>
      </c>
      <c r="O668">
        <v>2.4700000000000002</v>
      </c>
      <c r="P668">
        <v>1.02</v>
      </c>
      <c r="Q668">
        <v>1.69</v>
      </c>
      <c r="R668">
        <v>0</v>
      </c>
      <c r="S668">
        <v>0.18</v>
      </c>
      <c r="T668">
        <v>16.170000000000002</v>
      </c>
      <c r="U668">
        <v>36.18</v>
      </c>
      <c r="V668">
        <v>0.11</v>
      </c>
      <c r="W668">
        <v>0</v>
      </c>
      <c r="X668">
        <v>35934.513890000002</v>
      </c>
      <c r="Y668">
        <v>80704747.042799994</v>
      </c>
    </row>
    <row r="669" spans="1:25" x14ac:dyDescent="0.55000000000000004">
      <c r="A669">
        <v>667</v>
      </c>
      <c r="B669" t="s">
        <v>20</v>
      </c>
      <c r="C669">
        <v>47</v>
      </c>
      <c r="D669">
        <v>10</v>
      </c>
      <c r="E669" t="s">
        <v>111</v>
      </c>
      <c r="F669" t="s">
        <v>112</v>
      </c>
      <c r="G669">
        <v>24</v>
      </c>
      <c r="H669">
        <v>2</v>
      </c>
      <c r="I669">
        <v>24100000</v>
      </c>
      <c r="J669">
        <v>772</v>
      </c>
      <c r="K669">
        <v>0</v>
      </c>
      <c r="L669">
        <v>13629</v>
      </c>
      <c r="M669">
        <v>13.284592</v>
      </c>
      <c r="N669">
        <v>101.77124000000001</v>
      </c>
      <c r="O669">
        <v>31.450001</v>
      </c>
      <c r="P669">
        <v>15.05</v>
      </c>
      <c r="Q669">
        <v>19.030000999999999</v>
      </c>
      <c r="R669">
        <v>0.19</v>
      </c>
      <c r="S669">
        <v>13.59</v>
      </c>
      <c r="T669">
        <v>26.24</v>
      </c>
      <c r="U669">
        <v>29.719999000000001</v>
      </c>
      <c r="V669">
        <v>0</v>
      </c>
      <c r="W669">
        <v>0.01</v>
      </c>
      <c r="X669">
        <v>35945.510124</v>
      </c>
      <c r="Y669">
        <v>80754132.998099998</v>
      </c>
    </row>
    <row r="670" spans="1:25" x14ac:dyDescent="0.55000000000000004">
      <c r="A670">
        <v>668</v>
      </c>
      <c r="B670" t="s">
        <v>20</v>
      </c>
      <c r="C670">
        <v>47</v>
      </c>
      <c r="D670">
        <v>10</v>
      </c>
      <c r="E670" t="s">
        <v>111</v>
      </c>
      <c r="F670" t="s">
        <v>112</v>
      </c>
      <c r="G670">
        <v>24</v>
      </c>
      <c r="H670">
        <v>2</v>
      </c>
      <c r="I670">
        <v>24100000</v>
      </c>
      <c r="J670">
        <v>773</v>
      </c>
      <c r="K670">
        <v>0</v>
      </c>
      <c r="L670">
        <v>13870</v>
      </c>
      <c r="M670">
        <v>13.446358</v>
      </c>
      <c r="N670">
        <v>101.85438000000001</v>
      </c>
      <c r="O670">
        <v>1.38</v>
      </c>
      <c r="P670">
        <v>0.03</v>
      </c>
      <c r="Q670">
        <v>7.0000000000000007E-2</v>
      </c>
      <c r="R670">
        <v>0</v>
      </c>
      <c r="S670">
        <v>0.02</v>
      </c>
      <c r="T670">
        <v>6.81</v>
      </c>
      <c r="U670">
        <v>22.530000999999999</v>
      </c>
      <c r="V670">
        <v>0.3</v>
      </c>
      <c r="W670">
        <v>0</v>
      </c>
      <c r="X670">
        <v>35351.537730999997</v>
      </c>
      <c r="Y670">
        <v>78433275.928900003</v>
      </c>
    </row>
    <row r="671" spans="1:25" x14ac:dyDescent="0.55000000000000004">
      <c r="A671">
        <v>669</v>
      </c>
      <c r="B671" t="s">
        <v>20</v>
      </c>
      <c r="C671">
        <v>47</v>
      </c>
      <c r="D671">
        <v>10</v>
      </c>
      <c r="E671" t="s">
        <v>111</v>
      </c>
      <c r="F671" t="s">
        <v>112</v>
      </c>
      <c r="G671">
        <v>24</v>
      </c>
      <c r="H671">
        <v>2</v>
      </c>
      <c r="I671">
        <v>24100000</v>
      </c>
      <c r="J671">
        <v>774</v>
      </c>
      <c r="K671">
        <v>0</v>
      </c>
      <c r="L671">
        <v>13750</v>
      </c>
      <c r="M671">
        <v>13.365479000000001</v>
      </c>
      <c r="N671">
        <v>101.85438000000001</v>
      </c>
      <c r="O671">
        <v>25.18</v>
      </c>
      <c r="P671">
        <v>0.1</v>
      </c>
      <c r="Q671">
        <v>0.67</v>
      </c>
      <c r="R671">
        <v>0.05</v>
      </c>
      <c r="S671">
        <v>0.08</v>
      </c>
      <c r="T671">
        <v>13.94</v>
      </c>
      <c r="U671">
        <v>34.18</v>
      </c>
      <c r="V671">
        <v>5.95</v>
      </c>
      <c r="W671">
        <v>0</v>
      </c>
      <c r="X671">
        <v>35935.870020000002</v>
      </c>
      <c r="Y671">
        <v>80710854.091800004</v>
      </c>
    </row>
    <row r="672" spans="1:25" x14ac:dyDescent="0.55000000000000004">
      <c r="A672">
        <v>670</v>
      </c>
      <c r="B672" t="s">
        <v>20</v>
      </c>
      <c r="C672">
        <v>47</v>
      </c>
      <c r="D672">
        <v>10</v>
      </c>
      <c r="E672" t="s">
        <v>111</v>
      </c>
      <c r="F672" t="s">
        <v>112</v>
      </c>
      <c r="G672">
        <v>24</v>
      </c>
      <c r="H672">
        <v>2</v>
      </c>
      <c r="I672">
        <v>24100000</v>
      </c>
      <c r="J672">
        <v>788</v>
      </c>
      <c r="K672">
        <v>0</v>
      </c>
      <c r="L672">
        <v>13986</v>
      </c>
      <c r="M672">
        <v>13.527199</v>
      </c>
      <c r="N672">
        <v>101.52182999999999</v>
      </c>
      <c r="O672">
        <v>1.44</v>
      </c>
      <c r="P672">
        <v>0</v>
      </c>
      <c r="Q672">
        <v>0.05</v>
      </c>
      <c r="R672">
        <v>0.25</v>
      </c>
      <c r="S672">
        <v>2.67</v>
      </c>
      <c r="T672">
        <v>24.35</v>
      </c>
      <c r="U672">
        <v>4.47</v>
      </c>
      <c r="V672">
        <v>0</v>
      </c>
      <c r="W672">
        <v>0.02</v>
      </c>
      <c r="X672">
        <v>21457.724887</v>
      </c>
      <c r="Y672">
        <v>14112719.133400001</v>
      </c>
    </row>
    <row r="673" spans="1:25" x14ac:dyDescent="0.55000000000000004">
      <c r="A673">
        <v>671</v>
      </c>
      <c r="B673" t="s">
        <v>20</v>
      </c>
      <c r="C673">
        <v>47</v>
      </c>
      <c r="D673">
        <v>10</v>
      </c>
      <c r="E673" t="s">
        <v>111</v>
      </c>
      <c r="F673" t="s">
        <v>112</v>
      </c>
      <c r="G673">
        <v>24</v>
      </c>
      <c r="H673">
        <v>2</v>
      </c>
      <c r="I673">
        <v>24100000</v>
      </c>
      <c r="J673">
        <v>797</v>
      </c>
      <c r="K673">
        <v>0</v>
      </c>
      <c r="L673">
        <v>14107</v>
      </c>
      <c r="M673">
        <v>13.608017</v>
      </c>
      <c r="N673">
        <v>101.60496500000001</v>
      </c>
      <c r="O673">
        <v>7.0000000000000007E-2</v>
      </c>
      <c r="P673">
        <v>4.57</v>
      </c>
      <c r="Q673">
        <v>0.17</v>
      </c>
      <c r="R673">
        <v>0.04</v>
      </c>
      <c r="S673">
        <v>4.59</v>
      </c>
      <c r="T673">
        <v>4.12</v>
      </c>
      <c r="U673">
        <v>6.87</v>
      </c>
      <c r="V673">
        <v>0</v>
      </c>
      <c r="W673">
        <v>0</v>
      </c>
      <c r="X673">
        <v>16238.075150000001</v>
      </c>
      <c r="Y673">
        <v>7509526.6104800003</v>
      </c>
    </row>
    <row r="674" spans="1:25" x14ac:dyDescent="0.55000000000000004">
      <c r="A674">
        <v>672</v>
      </c>
      <c r="B674" t="s">
        <v>20</v>
      </c>
      <c r="C674">
        <v>47</v>
      </c>
      <c r="D674">
        <v>10</v>
      </c>
      <c r="E674" t="s">
        <v>111</v>
      </c>
      <c r="F674" t="s">
        <v>112</v>
      </c>
      <c r="G674">
        <v>24</v>
      </c>
      <c r="H674">
        <v>2</v>
      </c>
      <c r="I674">
        <v>24100000</v>
      </c>
      <c r="J674">
        <v>798</v>
      </c>
      <c r="K674">
        <v>0</v>
      </c>
      <c r="L674">
        <v>13988</v>
      </c>
      <c r="M674">
        <v>13.527199</v>
      </c>
      <c r="N674">
        <v>101.68810000000001</v>
      </c>
      <c r="O674">
        <v>0.13</v>
      </c>
      <c r="P674">
        <v>2.13</v>
      </c>
      <c r="Q674">
        <v>0.01</v>
      </c>
      <c r="R674">
        <v>0.03</v>
      </c>
      <c r="S674">
        <v>0.35</v>
      </c>
      <c r="T674">
        <v>4.53</v>
      </c>
      <c r="U674">
        <v>17.260000000000002</v>
      </c>
      <c r="V674">
        <v>0</v>
      </c>
      <c r="W674">
        <v>0</v>
      </c>
      <c r="X674">
        <v>34716.677747000002</v>
      </c>
      <c r="Y674">
        <v>76046819.501100004</v>
      </c>
    </row>
    <row r="675" spans="1:25" x14ac:dyDescent="0.55000000000000004">
      <c r="A675">
        <v>673</v>
      </c>
      <c r="B675" t="s">
        <v>20</v>
      </c>
      <c r="C675">
        <v>47</v>
      </c>
      <c r="D675">
        <v>10</v>
      </c>
      <c r="E675" t="s">
        <v>111</v>
      </c>
      <c r="F675" t="s">
        <v>112</v>
      </c>
      <c r="G675">
        <v>24</v>
      </c>
      <c r="H675">
        <v>2</v>
      </c>
      <c r="I675">
        <v>24100000</v>
      </c>
      <c r="J675">
        <v>799</v>
      </c>
      <c r="K675">
        <v>0</v>
      </c>
      <c r="L675">
        <v>14108</v>
      </c>
      <c r="M675">
        <v>13.608017</v>
      </c>
      <c r="N675">
        <v>101.68810000000001</v>
      </c>
      <c r="O675">
        <v>0.13</v>
      </c>
      <c r="P675">
        <v>10.92</v>
      </c>
      <c r="Q675">
        <v>4.92</v>
      </c>
      <c r="R675">
        <v>0.09</v>
      </c>
      <c r="S675">
        <v>0.02</v>
      </c>
      <c r="T675">
        <v>2.4700000000000002</v>
      </c>
      <c r="U675">
        <v>11.48</v>
      </c>
      <c r="V675">
        <v>0</v>
      </c>
      <c r="W675">
        <v>0</v>
      </c>
      <c r="X675">
        <v>13583.307051</v>
      </c>
      <c r="Y675">
        <v>8446833.3341700006</v>
      </c>
    </row>
    <row r="676" spans="1:25" x14ac:dyDescent="0.55000000000000004">
      <c r="A676">
        <v>674</v>
      </c>
      <c r="B676" t="s">
        <v>20</v>
      </c>
      <c r="C676">
        <v>47</v>
      </c>
      <c r="D676">
        <v>10</v>
      </c>
      <c r="E676" t="s">
        <v>111</v>
      </c>
      <c r="F676" t="s">
        <v>112</v>
      </c>
      <c r="G676">
        <v>24</v>
      </c>
      <c r="H676">
        <v>2</v>
      </c>
      <c r="I676">
        <v>24100000</v>
      </c>
      <c r="J676">
        <v>800</v>
      </c>
      <c r="K676">
        <v>0</v>
      </c>
      <c r="L676">
        <v>13987</v>
      </c>
      <c r="M676">
        <v>13.527199</v>
      </c>
      <c r="N676">
        <v>101.60496500000001</v>
      </c>
      <c r="O676">
        <v>0.25</v>
      </c>
      <c r="P676">
        <v>0.06</v>
      </c>
      <c r="Q676">
        <v>0.01</v>
      </c>
      <c r="R676">
        <v>0.04</v>
      </c>
      <c r="S676">
        <v>2.34</v>
      </c>
      <c r="T676">
        <v>8.9600000000000009</v>
      </c>
      <c r="U676">
        <v>4.8899999999999997</v>
      </c>
      <c r="V676">
        <v>0</v>
      </c>
      <c r="W676">
        <v>0</v>
      </c>
      <c r="X676">
        <v>38190.826442999998</v>
      </c>
      <c r="Y676">
        <v>73884245.097599998</v>
      </c>
    </row>
    <row r="677" spans="1:25" x14ac:dyDescent="0.55000000000000004">
      <c r="A677">
        <v>675</v>
      </c>
      <c r="B677" t="s">
        <v>20</v>
      </c>
      <c r="C677">
        <v>47</v>
      </c>
      <c r="D677">
        <v>10</v>
      </c>
      <c r="E677" t="s">
        <v>111</v>
      </c>
      <c r="F677" t="s">
        <v>112</v>
      </c>
      <c r="G677">
        <v>24</v>
      </c>
      <c r="H677">
        <v>2</v>
      </c>
      <c r="I677">
        <v>24100000</v>
      </c>
      <c r="J677">
        <v>801</v>
      </c>
      <c r="K677">
        <v>0</v>
      </c>
      <c r="L677">
        <v>13990</v>
      </c>
      <c r="M677">
        <v>13.527199</v>
      </c>
      <c r="N677">
        <v>101.85438000000001</v>
      </c>
      <c r="O677">
        <v>0.01</v>
      </c>
      <c r="P677">
        <v>0.32</v>
      </c>
      <c r="Q677">
        <v>0.1</v>
      </c>
      <c r="R677">
        <v>0.01</v>
      </c>
      <c r="S677">
        <v>0</v>
      </c>
      <c r="T677">
        <v>9.67</v>
      </c>
      <c r="U677">
        <v>20.43</v>
      </c>
      <c r="V677">
        <v>0.44</v>
      </c>
      <c r="W677">
        <v>0</v>
      </c>
      <c r="X677">
        <v>14996.230664999999</v>
      </c>
      <c r="Y677">
        <v>3903105.2878299998</v>
      </c>
    </row>
    <row r="678" spans="1:25" x14ac:dyDescent="0.55000000000000004">
      <c r="A678">
        <v>676</v>
      </c>
      <c r="B678" t="s">
        <v>20</v>
      </c>
      <c r="C678">
        <v>47</v>
      </c>
      <c r="D678">
        <v>10</v>
      </c>
      <c r="E678" t="s">
        <v>111</v>
      </c>
      <c r="F678" t="s">
        <v>112</v>
      </c>
      <c r="G678">
        <v>24</v>
      </c>
      <c r="H678">
        <v>2</v>
      </c>
      <c r="I678">
        <v>24100000</v>
      </c>
      <c r="J678">
        <v>802</v>
      </c>
      <c r="K678">
        <v>0</v>
      </c>
      <c r="L678">
        <v>13989</v>
      </c>
      <c r="M678">
        <v>13.527199</v>
      </c>
      <c r="N678">
        <v>101.77124000000001</v>
      </c>
      <c r="O678">
        <v>0</v>
      </c>
      <c r="P678">
        <v>16.670000000000002</v>
      </c>
      <c r="Q678">
        <v>0.24</v>
      </c>
      <c r="R678">
        <v>0</v>
      </c>
      <c r="S678">
        <v>0.4</v>
      </c>
      <c r="T678">
        <v>2.94</v>
      </c>
      <c r="U678">
        <v>57.279998999999997</v>
      </c>
      <c r="V678">
        <v>0.71</v>
      </c>
      <c r="W678">
        <v>0</v>
      </c>
      <c r="X678">
        <v>30159.111070999999</v>
      </c>
      <c r="Y678">
        <v>50972058.2984</v>
      </c>
    </row>
    <row r="679" spans="1:25" x14ac:dyDescent="0.55000000000000004">
      <c r="A679">
        <v>677</v>
      </c>
      <c r="B679" t="s">
        <v>20</v>
      </c>
      <c r="C679">
        <v>47</v>
      </c>
      <c r="D679">
        <v>10</v>
      </c>
      <c r="E679" t="s">
        <v>111</v>
      </c>
      <c r="F679" t="s">
        <v>112</v>
      </c>
      <c r="G679">
        <v>24</v>
      </c>
      <c r="H679">
        <v>2</v>
      </c>
      <c r="I679">
        <v>24100000</v>
      </c>
      <c r="J679">
        <v>975</v>
      </c>
      <c r="K679">
        <v>0</v>
      </c>
      <c r="L679">
        <v>13511</v>
      </c>
      <c r="M679">
        <v>13.203666999999999</v>
      </c>
      <c r="N679">
        <v>101.93751</v>
      </c>
      <c r="O679">
        <v>53.84</v>
      </c>
      <c r="P679">
        <v>0.16</v>
      </c>
      <c r="Q679">
        <v>1.47</v>
      </c>
      <c r="R679">
        <v>4.0999999999999996</v>
      </c>
      <c r="S679">
        <v>2.42</v>
      </c>
      <c r="T679">
        <v>32.599997999999999</v>
      </c>
      <c r="U679">
        <v>5.51</v>
      </c>
      <c r="V679">
        <v>0</v>
      </c>
      <c r="W679">
        <v>0.09</v>
      </c>
      <c r="X679">
        <v>2898.8211240000001</v>
      </c>
      <c r="Y679">
        <v>357203.582223</v>
      </c>
    </row>
    <row r="680" spans="1:25" x14ac:dyDescent="0.55000000000000004">
      <c r="A680">
        <v>678</v>
      </c>
      <c r="B680" t="s">
        <v>20</v>
      </c>
      <c r="C680">
        <v>47</v>
      </c>
      <c r="D680">
        <v>10</v>
      </c>
      <c r="E680" t="s">
        <v>111</v>
      </c>
      <c r="F680" t="s">
        <v>112</v>
      </c>
      <c r="G680">
        <v>24</v>
      </c>
      <c r="H680">
        <v>2</v>
      </c>
      <c r="I680">
        <v>24100000</v>
      </c>
      <c r="J680">
        <v>982</v>
      </c>
      <c r="K680">
        <v>0</v>
      </c>
      <c r="L680">
        <v>13752</v>
      </c>
      <c r="M680">
        <v>13.365479000000001</v>
      </c>
      <c r="N680">
        <v>102.020645</v>
      </c>
      <c r="O680">
        <v>1.91</v>
      </c>
      <c r="P680">
        <v>0.43</v>
      </c>
      <c r="Q680">
        <v>10.199999999999999</v>
      </c>
      <c r="R680">
        <v>1.77</v>
      </c>
      <c r="S680">
        <v>3.01</v>
      </c>
      <c r="T680">
        <v>8.15</v>
      </c>
      <c r="U680">
        <v>66.080001999999993</v>
      </c>
      <c r="V680">
        <v>0.05</v>
      </c>
      <c r="W680">
        <v>0.1</v>
      </c>
      <c r="X680">
        <v>13670.547629000001</v>
      </c>
      <c r="Y680">
        <v>3582185.6680999999</v>
      </c>
    </row>
    <row r="681" spans="1:25" x14ac:dyDescent="0.55000000000000004">
      <c r="A681">
        <v>679</v>
      </c>
      <c r="B681" t="s">
        <v>20</v>
      </c>
      <c r="C681">
        <v>47</v>
      </c>
      <c r="D681">
        <v>10</v>
      </c>
      <c r="E681" t="s">
        <v>111</v>
      </c>
      <c r="F681" t="s">
        <v>112</v>
      </c>
      <c r="G681">
        <v>24</v>
      </c>
      <c r="H681">
        <v>2</v>
      </c>
      <c r="I681">
        <v>24100000</v>
      </c>
      <c r="J681">
        <v>983</v>
      </c>
      <c r="K681">
        <v>0</v>
      </c>
      <c r="L681">
        <v>13751</v>
      </c>
      <c r="M681">
        <v>13.365479000000001</v>
      </c>
      <c r="N681">
        <v>101.93751</v>
      </c>
      <c r="O681">
        <v>0.75</v>
      </c>
      <c r="P681">
        <v>0.48</v>
      </c>
      <c r="Q681">
        <v>0.08</v>
      </c>
      <c r="R681">
        <v>0.51</v>
      </c>
      <c r="S681">
        <v>2.91</v>
      </c>
      <c r="T681">
        <v>5.45</v>
      </c>
      <c r="U681">
        <v>37.07</v>
      </c>
      <c r="V681">
        <v>2.42</v>
      </c>
      <c r="W681">
        <v>0</v>
      </c>
      <c r="X681">
        <v>35856.368437999998</v>
      </c>
      <c r="Y681">
        <v>79555717.361399993</v>
      </c>
    </row>
    <row r="682" spans="1:25" x14ac:dyDescent="0.55000000000000004">
      <c r="A682">
        <v>680</v>
      </c>
      <c r="B682" t="s">
        <v>20</v>
      </c>
      <c r="C682">
        <v>47</v>
      </c>
      <c r="D682">
        <v>10</v>
      </c>
      <c r="E682" t="s">
        <v>111</v>
      </c>
      <c r="F682" t="s">
        <v>112</v>
      </c>
      <c r="G682">
        <v>24</v>
      </c>
      <c r="H682">
        <v>2</v>
      </c>
      <c r="I682">
        <v>24100000</v>
      </c>
      <c r="J682">
        <v>985</v>
      </c>
      <c r="K682">
        <v>0</v>
      </c>
      <c r="L682">
        <v>13871</v>
      </c>
      <c r="M682">
        <v>13.446358</v>
      </c>
      <c r="N682">
        <v>101.93751</v>
      </c>
      <c r="O682">
        <v>1.22</v>
      </c>
      <c r="P682">
        <v>0.04</v>
      </c>
      <c r="Q682">
        <v>0.22</v>
      </c>
      <c r="R682">
        <v>0.02</v>
      </c>
      <c r="S682">
        <v>0.19</v>
      </c>
      <c r="T682">
        <v>8.06</v>
      </c>
      <c r="U682">
        <v>31.709999</v>
      </c>
      <c r="V682">
        <v>0</v>
      </c>
      <c r="W682">
        <v>0</v>
      </c>
      <c r="X682">
        <v>31395.882598</v>
      </c>
      <c r="Y682">
        <v>43994020.922399998</v>
      </c>
    </row>
    <row r="683" spans="1:25" x14ac:dyDescent="0.55000000000000004">
      <c r="A683">
        <v>681</v>
      </c>
      <c r="B683" t="s">
        <v>20</v>
      </c>
      <c r="C683">
        <v>47</v>
      </c>
      <c r="D683">
        <v>10</v>
      </c>
      <c r="E683" t="s">
        <v>111</v>
      </c>
      <c r="F683" t="s">
        <v>112</v>
      </c>
      <c r="G683">
        <v>24</v>
      </c>
      <c r="H683">
        <v>2</v>
      </c>
      <c r="I683">
        <v>24100000</v>
      </c>
      <c r="J683">
        <v>987</v>
      </c>
      <c r="K683">
        <v>0</v>
      </c>
      <c r="L683">
        <v>13631</v>
      </c>
      <c r="M683">
        <v>13.284592</v>
      </c>
      <c r="N683">
        <v>101.93751</v>
      </c>
      <c r="O683">
        <v>10.11</v>
      </c>
      <c r="P683">
        <v>0.08</v>
      </c>
      <c r="Q683">
        <v>0.11</v>
      </c>
      <c r="R683">
        <v>10.49</v>
      </c>
      <c r="S683">
        <v>0.94</v>
      </c>
      <c r="T683">
        <v>8.0500000000000007</v>
      </c>
      <c r="U683">
        <v>17.239999999999998</v>
      </c>
      <c r="V683">
        <v>0.01</v>
      </c>
      <c r="W683">
        <v>0.04</v>
      </c>
      <c r="X683">
        <v>31695.130495000001</v>
      </c>
      <c r="Y683">
        <v>28197464.420299999</v>
      </c>
    </row>
    <row r="684" spans="1:25" x14ac:dyDescent="0.55000000000000004">
      <c r="A684">
        <v>682</v>
      </c>
      <c r="B684" t="s">
        <v>20</v>
      </c>
      <c r="C684">
        <v>48</v>
      </c>
      <c r="D684">
        <v>11</v>
      </c>
      <c r="E684" t="s">
        <v>113</v>
      </c>
      <c r="F684" t="s">
        <v>114</v>
      </c>
      <c r="G684">
        <v>24</v>
      </c>
      <c r="H684">
        <v>2</v>
      </c>
      <c r="I684">
        <v>24110000</v>
      </c>
      <c r="J684">
        <v>729</v>
      </c>
      <c r="K684">
        <v>0</v>
      </c>
      <c r="L684">
        <v>14341</v>
      </c>
      <c r="M684">
        <v>13.769569000000001</v>
      </c>
      <c r="N684">
        <v>101.10615</v>
      </c>
      <c r="O684">
        <v>63.450001</v>
      </c>
      <c r="P684">
        <v>0.01</v>
      </c>
      <c r="Q684">
        <v>9.68</v>
      </c>
      <c r="R684">
        <v>0.17</v>
      </c>
      <c r="S684">
        <v>0.84</v>
      </c>
      <c r="T684">
        <v>8.25</v>
      </c>
      <c r="U684">
        <v>34.369999</v>
      </c>
      <c r="V684">
        <v>0</v>
      </c>
      <c r="W684">
        <v>0</v>
      </c>
      <c r="X684">
        <v>24588.615140999998</v>
      </c>
      <c r="Y684">
        <v>27339317.470400002</v>
      </c>
    </row>
    <row r="685" spans="1:25" x14ac:dyDescent="0.55000000000000004">
      <c r="A685">
        <v>683</v>
      </c>
      <c r="B685" t="s">
        <v>20</v>
      </c>
      <c r="C685">
        <v>48</v>
      </c>
      <c r="D685">
        <v>11</v>
      </c>
      <c r="E685" t="s">
        <v>113</v>
      </c>
      <c r="F685" t="s">
        <v>114</v>
      </c>
      <c r="G685">
        <v>24</v>
      </c>
      <c r="H685">
        <v>2</v>
      </c>
      <c r="I685">
        <v>24110000</v>
      </c>
      <c r="J685">
        <v>731</v>
      </c>
      <c r="K685">
        <v>0</v>
      </c>
      <c r="L685">
        <v>14221</v>
      </c>
      <c r="M685">
        <v>13.688805</v>
      </c>
      <c r="N685">
        <v>101.10615</v>
      </c>
      <c r="O685">
        <v>18.200001</v>
      </c>
      <c r="P685">
        <v>0</v>
      </c>
      <c r="Q685">
        <v>3.39</v>
      </c>
      <c r="R685">
        <v>0.27</v>
      </c>
      <c r="S685">
        <v>0.08</v>
      </c>
      <c r="T685">
        <v>8.5500000000000007</v>
      </c>
      <c r="U685">
        <v>31.200001</v>
      </c>
      <c r="V685">
        <v>0</v>
      </c>
      <c r="W685">
        <v>0</v>
      </c>
      <c r="X685">
        <v>6295.7373870000001</v>
      </c>
      <c r="Y685">
        <v>2031604.93502</v>
      </c>
    </row>
    <row r="686" spans="1:25" x14ac:dyDescent="0.55000000000000004">
      <c r="A686">
        <v>684</v>
      </c>
      <c r="B686" t="s">
        <v>20</v>
      </c>
      <c r="C686">
        <v>48</v>
      </c>
      <c r="D686">
        <v>11</v>
      </c>
      <c r="E686" t="s">
        <v>113</v>
      </c>
      <c r="F686" t="s">
        <v>114</v>
      </c>
      <c r="G686">
        <v>24</v>
      </c>
      <c r="H686">
        <v>2</v>
      </c>
      <c r="I686">
        <v>24110000</v>
      </c>
      <c r="J686">
        <v>732</v>
      </c>
      <c r="K686">
        <v>0</v>
      </c>
      <c r="L686">
        <v>14461</v>
      </c>
      <c r="M686">
        <v>13.850304</v>
      </c>
      <c r="N686">
        <v>101.10615</v>
      </c>
      <c r="O686">
        <v>39.360000999999997</v>
      </c>
      <c r="P686">
        <v>0.01</v>
      </c>
      <c r="Q686">
        <v>9.23</v>
      </c>
      <c r="R686">
        <v>0.04</v>
      </c>
      <c r="S686">
        <v>0</v>
      </c>
      <c r="T686">
        <v>11.64</v>
      </c>
      <c r="U686">
        <v>7.03</v>
      </c>
      <c r="V686">
        <v>0</v>
      </c>
      <c r="W686">
        <v>0</v>
      </c>
      <c r="X686">
        <v>16643.183587</v>
      </c>
      <c r="Y686">
        <v>15571763.3796</v>
      </c>
    </row>
    <row r="687" spans="1:25" x14ac:dyDescent="0.55000000000000004">
      <c r="A687">
        <v>685</v>
      </c>
      <c r="B687" t="s">
        <v>20</v>
      </c>
      <c r="C687">
        <v>48</v>
      </c>
      <c r="D687">
        <v>11</v>
      </c>
      <c r="E687" t="s">
        <v>113</v>
      </c>
      <c r="F687" t="s">
        <v>114</v>
      </c>
      <c r="G687">
        <v>24</v>
      </c>
      <c r="H687">
        <v>2</v>
      </c>
      <c r="I687">
        <v>24110000</v>
      </c>
      <c r="J687">
        <v>778</v>
      </c>
      <c r="K687">
        <v>0</v>
      </c>
      <c r="L687">
        <v>14222</v>
      </c>
      <c r="M687">
        <v>13.688805</v>
      </c>
      <c r="N687">
        <v>101.189285</v>
      </c>
      <c r="O687">
        <v>53.779998999999997</v>
      </c>
      <c r="P687">
        <v>0</v>
      </c>
      <c r="Q687">
        <v>12.64</v>
      </c>
      <c r="R687">
        <v>0.01</v>
      </c>
      <c r="S687">
        <v>2.96</v>
      </c>
      <c r="T687">
        <v>13.06</v>
      </c>
      <c r="U687">
        <v>16.760000000000002</v>
      </c>
      <c r="V687">
        <v>0.04</v>
      </c>
      <c r="W687">
        <v>0</v>
      </c>
      <c r="X687">
        <v>18961.764825999999</v>
      </c>
      <c r="Y687">
        <v>11086715.5208</v>
      </c>
    </row>
    <row r="688" spans="1:25" x14ac:dyDescent="0.55000000000000004">
      <c r="A688">
        <v>686</v>
      </c>
      <c r="B688" t="s">
        <v>20</v>
      </c>
      <c r="C688">
        <v>48</v>
      </c>
      <c r="D688">
        <v>11</v>
      </c>
      <c r="E688" t="s">
        <v>113</v>
      </c>
      <c r="F688" t="s">
        <v>114</v>
      </c>
      <c r="G688">
        <v>24</v>
      </c>
      <c r="H688">
        <v>2</v>
      </c>
      <c r="I688">
        <v>24110000</v>
      </c>
      <c r="J688">
        <v>781</v>
      </c>
      <c r="K688">
        <v>0</v>
      </c>
      <c r="L688">
        <v>14342</v>
      </c>
      <c r="M688">
        <v>13.769569000000001</v>
      </c>
      <c r="N688">
        <v>101.189285</v>
      </c>
      <c r="O688">
        <v>76.089995999999999</v>
      </c>
      <c r="P688">
        <v>5.27</v>
      </c>
      <c r="Q688">
        <v>5.12</v>
      </c>
      <c r="R688">
        <v>0.22</v>
      </c>
      <c r="S688">
        <v>1.91</v>
      </c>
      <c r="T688">
        <v>10.66</v>
      </c>
      <c r="U688">
        <v>41.119999</v>
      </c>
      <c r="V688">
        <v>0</v>
      </c>
      <c r="W688">
        <v>0</v>
      </c>
      <c r="X688">
        <v>41726.887160999999</v>
      </c>
      <c r="Y688">
        <v>41639886.807700001</v>
      </c>
    </row>
    <row r="689" spans="1:25" x14ac:dyDescent="0.55000000000000004">
      <c r="A689">
        <v>687</v>
      </c>
      <c r="B689" t="s">
        <v>20</v>
      </c>
      <c r="C689">
        <v>48</v>
      </c>
      <c r="D689">
        <v>11</v>
      </c>
      <c r="E689" t="s">
        <v>113</v>
      </c>
      <c r="F689" t="s">
        <v>114</v>
      </c>
      <c r="G689">
        <v>24</v>
      </c>
      <c r="H689">
        <v>2</v>
      </c>
      <c r="I689">
        <v>24110000</v>
      </c>
      <c r="J689">
        <v>783</v>
      </c>
      <c r="K689">
        <v>0</v>
      </c>
      <c r="L689">
        <v>14462</v>
      </c>
      <c r="M689">
        <v>13.850304</v>
      </c>
      <c r="N689">
        <v>101.189285</v>
      </c>
      <c r="O689">
        <v>26.26</v>
      </c>
      <c r="P689">
        <v>0.56999999999999995</v>
      </c>
      <c r="Q689">
        <v>8.17</v>
      </c>
      <c r="R689">
        <v>0.02</v>
      </c>
      <c r="S689">
        <v>0.4</v>
      </c>
      <c r="T689">
        <v>30.01</v>
      </c>
      <c r="U689">
        <v>27.219999000000001</v>
      </c>
      <c r="V689">
        <v>0</v>
      </c>
      <c r="W689">
        <v>0</v>
      </c>
      <c r="X689">
        <v>17739.169852999999</v>
      </c>
      <c r="Y689">
        <v>9499325.22645</v>
      </c>
    </row>
    <row r="690" spans="1:25" x14ac:dyDescent="0.55000000000000004">
      <c r="A690">
        <v>688</v>
      </c>
      <c r="B690" t="s">
        <v>20</v>
      </c>
      <c r="C690">
        <v>49</v>
      </c>
      <c r="D690">
        <v>1</v>
      </c>
      <c r="E690" t="s">
        <v>115</v>
      </c>
      <c r="F690" t="s">
        <v>116</v>
      </c>
      <c r="G690">
        <v>25</v>
      </c>
      <c r="H690">
        <v>2</v>
      </c>
      <c r="I690">
        <v>25010000</v>
      </c>
      <c r="J690">
        <v>890</v>
      </c>
      <c r="K690">
        <v>0</v>
      </c>
      <c r="L690">
        <v>14823</v>
      </c>
      <c r="M690">
        <v>14.092331</v>
      </c>
      <c r="N690">
        <v>101.27242</v>
      </c>
      <c r="O690">
        <v>0.15</v>
      </c>
      <c r="P690">
        <v>0.09</v>
      </c>
      <c r="Q690">
        <v>2.81</v>
      </c>
      <c r="R690">
        <v>0.82</v>
      </c>
      <c r="S690">
        <v>3.92</v>
      </c>
      <c r="T690">
        <v>3.65</v>
      </c>
      <c r="U690">
        <v>62.110000999999997</v>
      </c>
      <c r="V690">
        <v>0</v>
      </c>
      <c r="W690">
        <v>0</v>
      </c>
      <c r="X690">
        <v>24977.416463000001</v>
      </c>
      <c r="Y690">
        <v>10609278.2338</v>
      </c>
    </row>
    <row r="691" spans="1:25" x14ac:dyDescent="0.55000000000000004">
      <c r="A691">
        <v>689</v>
      </c>
      <c r="B691" t="s">
        <v>20</v>
      </c>
      <c r="C691">
        <v>49</v>
      </c>
      <c r="D691">
        <v>1</v>
      </c>
      <c r="E691" t="s">
        <v>115</v>
      </c>
      <c r="F691" t="s">
        <v>116</v>
      </c>
      <c r="G691">
        <v>25</v>
      </c>
      <c r="H691">
        <v>2</v>
      </c>
      <c r="I691">
        <v>25010000</v>
      </c>
      <c r="J691">
        <v>892</v>
      </c>
      <c r="K691">
        <v>0</v>
      </c>
      <c r="L691">
        <v>14703</v>
      </c>
      <c r="M691">
        <v>14.011680999999999</v>
      </c>
      <c r="N691">
        <v>101.27242</v>
      </c>
      <c r="O691">
        <v>0.03</v>
      </c>
      <c r="P691">
        <v>0.61</v>
      </c>
      <c r="Q691">
        <v>20.09</v>
      </c>
      <c r="R691">
        <v>0.46</v>
      </c>
      <c r="S691">
        <v>0.56000000000000005</v>
      </c>
      <c r="T691">
        <v>7.34</v>
      </c>
      <c r="U691">
        <v>7.2</v>
      </c>
      <c r="V691">
        <v>0</v>
      </c>
      <c r="W691">
        <v>0</v>
      </c>
      <c r="X691">
        <v>23051.672384000001</v>
      </c>
      <c r="Y691">
        <v>16042715.210999999</v>
      </c>
    </row>
    <row r="692" spans="1:25" x14ac:dyDescent="0.55000000000000004">
      <c r="A692">
        <v>690</v>
      </c>
      <c r="B692" t="s">
        <v>20</v>
      </c>
      <c r="C692">
        <v>49</v>
      </c>
      <c r="D692">
        <v>1</v>
      </c>
      <c r="E692" t="s">
        <v>115</v>
      </c>
      <c r="F692" t="s">
        <v>116</v>
      </c>
      <c r="G692">
        <v>25</v>
      </c>
      <c r="H692">
        <v>2</v>
      </c>
      <c r="I692">
        <v>25010000</v>
      </c>
      <c r="J692">
        <v>893</v>
      </c>
      <c r="K692">
        <v>0</v>
      </c>
      <c r="L692">
        <v>14584</v>
      </c>
      <c r="M692">
        <v>13.931006999999999</v>
      </c>
      <c r="N692">
        <v>101.35556</v>
      </c>
      <c r="O692">
        <v>4.92</v>
      </c>
      <c r="P692">
        <v>4.8600000000000003</v>
      </c>
      <c r="Q692">
        <v>0.84</v>
      </c>
      <c r="R692">
        <v>0.83</v>
      </c>
      <c r="S692">
        <v>18.790001</v>
      </c>
      <c r="T692">
        <v>6.35</v>
      </c>
      <c r="U692">
        <v>43.5</v>
      </c>
      <c r="V692">
        <v>0</v>
      </c>
      <c r="W692">
        <v>0</v>
      </c>
      <c r="X692">
        <v>13366.764789000001</v>
      </c>
      <c r="Y692">
        <v>9197587.9448600002</v>
      </c>
    </row>
    <row r="693" spans="1:25" x14ac:dyDescent="0.55000000000000004">
      <c r="A693">
        <v>691</v>
      </c>
      <c r="B693" t="s">
        <v>20</v>
      </c>
      <c r="C693">
        <v>49</v>
      </c>
      <c r="D693">
        <v>1</v>
      </c>
      <c r="E693" t="s">
        <v>115</v>
      </c>
      <c r="F693" t="s">
        <v>116</v>
      </c>
      <c r="G693">
        <v>25</v>
      </c>
      <c r="H693">
        <v>2</v>
      </c>
      <c r="I693">
        <v>25010000</v>
      </c>
      <c r="J693">
        <v>894</v>
      </c>
      <c r="K693">
        <v>0</v>
      </c>
      <c r="L693">
        <v>14943</v>
      </c>
      <c r="M693">
        <v>14.172943</v>
      </c>
      <c r="N693">
        <v>101.27242</v>
      </c>
      <c r="O693">
        <v>1.44</v>
      </c>
      <c r="P693">
        <v>0</v>
      </c>
      <c r="Q693">
        <v>0.2</v>
      </c>
      <c r="R693">
        <v>5.63</v>
      </c>
      <c r="S693">
        <v>1.37</v>
      </c>
      <c r="T693">
        <v>12.46</v>
      </c>
      <c r="U693">
        <v>83.419998000000007</v>
      </c>
      <c r="V693">
        <v>0.57999999999999996</v>
      </c>
      <c r="W693">
        <v>0</v>
      </c>
      <c r="X693">
        <v>13544.854934000001</v>
      </c>
      <c r="Y693">
        <v>8439588.6072899997</v>
      </c>
    </row>
    <row r="694" spans="1:25" x14ac:dyDescent="0.55000000000000004">
      <c r="A694">
        <v>692</v>
      </c>
      <c r="B694" t="s">
        <v>20</v>
      </c>
      <c r="C694">
        <v>49</v>
      </c>
      <c r="D694">
        <v>1</v>
      </c>
      <c r="E694" t="s">
        <v>115</v>
      </c>
      <c r="F694" t="s">
        <v>116</v>
      </c>
      <c r="G694">
        <v>25</v>
      </c>
      <c r="H694">
        <v>2</v>
      </c>
      <c r="I694">
        <v>25010000</v>
      </c>
      <c r="J694">
        <v>896</v>
      </c>
      <c r="K694">
        <v>0</v>
      </c>
      <c r="L694">
        <v>14704</v>
      </c>
      <c r="M694">
        <v>14.011680999999999</v>
      </c>
      <c r="N694">
        <v>101.35556</v>
      </c>
      <c r="O694">
        <v>0.01</v>
      </c>
      <c r="P694">
        <v>1.04</v>
      </c>
      <c r="Q694">
        <v>2.44</v>
      </c>
      <c r="R694">
        <v>0.52</v>
      </c>
      <c r="S694">
        <v>5.01</v>
      </c>
      <c r="T694">
        <v>6</v>
      </c>
      <c r="U694">
        <v>33.369999</v>
      </c>
      <c r="V694">
        <v>0</v>
      </c>
      <c r="W694">
        <v>0</v>
      </c>
      <c r="X694">
        <v>36800.592960000002</v>
      </c>
      <c r="Y694">
        <v>75137737.147400007</v>
      </c>
    </row>
    <row r="695" spans="1:25" x14ac:dyDescent="0.55000000000000004">
      <c r="A695">
        <v>693</v>
      </c>
      <c r="B695" t="s">
        <v>20</v>
      </c>
      <c r="C695">
        <v>49</v>
      </c>
      <c r="D695">
        <v>1</v>
      </c>
      <c r="E695" t="s">
        <v>115</v>
      </c>
      <c r="F695" t="s">
        <v>116</v>
      </c>
      <c r="G695">
        <v>25</v>
      </c>
      <c r="H695">
        <v>2</v>
      </c>
      <c r="I695">
        <v>25010000</v>
      </c>
      <c r="J695">
        <v>900</v>
      </c>
      <c r="K695">
        <v>0</v>
      </c>
      <c r="L695">
        <v>14825</v>
      </c>
      <c r="M695">
        <v>14.092331</v>
      </c>
      <c r="N695">
        <v>101.4387</v>
      </c>
      <c r="O695">
        <v>0.81</v>
      </c>
      <c r="P695">
        <v>0.26</v>
      </c>
      <c r="Q695">
        <v>0.03</v>
      </c>
      <c r="R695">
        <v>1.18</v>
      </c>
      <c r="S695">
        <v>1.3</v>
      </c>
      <c r="T695">
        <v>3.92</v>
      </c>
      <c r="U695">
        <v>12.12</v>
      </c>
      <c r="V695">
        <v>0</v>
      </c>
      <c r="W695">
        <v>0</v>
      </c>
      <c r="X695">
        <v>38119.868188</v>
      </c>
      <c r="Y695">
        <v>78799480.585299999</v>
      </c>
    </row>
    <row r="696" spans="1:25" x14ac:dyDescent="0.55000000000000004">
      <c r="A696">
        <v>694</v>
      </c>
      <c r="B696" t="s">
        <v>20</v>
      </c>
      <c r="C696">
        <v>49</v>
      </c>
      <c r="D696">
        <v>1</v>
      </c>
      <c r="E696" t="s">
        <v>115</v>
      </c>
      <c r="F696" t="s">
        <v>116</v>
      </c>
      <c r="G696">
        <v>25</v>
      </c>
      <c r="H696">
        <v>2</v>
      </c>
      <c r="I696">
        <v>25010000</v>
      </c>
      <c r="J696">
        <v>901</v>
      </c>
      <c r="K696">
        <v>0</v>
      </c>
      <c r="L696">
        <v>14824</v>
      </c>
      <c r="M696">
        <v>14.092331</v>
      </c>
      <c r="N696">
        <v>101.35556</v>
      </c>
      <c r="O696">
        <v>0.1</v>
      </c>
      <c r="P696">
        <v>7.0000000000000007E-2</v>
      </c>
      <c r="Q696">
        <v>0.44</v>
      </c>
      <c r="R696">
        <v>0.75</v>
      </c>
      <c r="S696">
        <v>1.9</v>
      </c>
      <c r="T696">
        <v>5.47</v>
      </c>
      <c r="U696">
        <v>11.5</v>
      </c>
      <c r="V696">
        <v>0</v>
      </c>
      <c r="W696">
        <v>0</v>
      </c>
      <c r="X696">
        <v>36572.947227999997</v>
      </c>
      <c r="Y696">
        <v>79406933.585299999</v>
      </c>
    </row>
    <row r="697" spans="1:25" x14ac:dyDescent="0.55000000000000004">
      <c r="A697">
        <v>695</v>
      </c>
      <c r="B697" t="s">
        <v>20</v>
      </c>
      <c r="C697">
        <v>49</v>
      </c>
      <c r="D697">
        <v>1</v>
      </c>
      <c r="E697" t="s">
        <v>115</v>
      </c>
      <c r="F697" t="s">
        <v>116</v>
      </c>
      <c r="G697">
        <v>25</v>
      </c>
      <c r="H697">
        <v>2</v>
      </c>
      <c r="I697">
        <v>25010000</v>
      </c>
      <c r="J697">
        <v>902</v>
      </c>
      <c r="K697">
        <v>0</v>
      </c>
      <c r="L697">
        <v>14705</v>
      </c>
      <c r="M697">
        <v>14.011680999999999</v>
      </c>
      <c r="N697">
        <v>101.4387</v>
      </c>
      <c r="O697">
        <v>1.57</v>
      </c>
      <c r="P697">
        <v>2.44</v>
      </c>
      <c r="Q697">
        <v>0.3</v>
      </c>
      <c r="R697">
        <v>0.82</v>
      </c>
      <c r="S697">
        <v>4.45</v>
      </c>
      <c r="T697">
        <v>3.15</v>
      </c>
      <c r="U697">
        <v>32.619999</v>
      </c>
      <c r="V697">
        <v>0</v>
      </c>
      <c r="W697">
        <v>0</v>
      </c>
      <c r="X697">
        <v>32133.128964</v>
      </c>
      <c r="Y697">
        <v>37120871.726800002</v>
      </c>
    </row>
    <row r="698" spans="1:25" x14ac:dyDescent="0.55000000000000004">
      <c r="A698">
        <v>696</v>
      </c>
      <c r="B698" t="s">
        <v>20</v>
      </c>
      <c r="C698">
        <v>49</v>
      </c>
      <c r="D698">
        <v>1</v>
      </c>
      <c r="E698" t="s">
        <v>115</v>
      </c>
      <c r="F698" t="s">
        <v>116</v>
      </c>
      <c r="G698">
        <v>25</v>
      </c>
      <c r="H698">
        <v>2</v>
      </c>
      <c r="I698">
        <v>25010000</v>
      </c>
      <c r="J698">
        <v>904</v>
      </c>
      <c r="K698">
        <v>0</v>
      </c>
      <c r="L698">
        <v>14945</v>
      </c>
      <c r="M698">
        <v>14.172943</v>
      </c>
      <c r="N698">
        <v>101.4387</v>
      </c>
      <c r="O698">
        <v>25.809999000000001</v>
      </c>
      <c r="P698">
        <v>1.81</v>
      </c>
      <c r="Q698">
        <v>0.68</v>
      </c>
      <c r="R698">
        <v>0.28999999999999998</v>
      </c>
      <c r="S698">
        <v>0.61</v>
      </c>
      <c r="T698">
        <v>36.979999999999997</v>
      </c>
      <c r="U698">
        <v>22.959999</v>
      </c>
      <c r="V698">
        <v>0</v>
      </c>
      <c r="W698">
        <v>0</v>
      </c>
      <c r="X698">
        <v>32352.139855000001</v>
      </c>
      <c r="Y698">
        <v>56782810.259800002</v>
      </c>
    </row>
    <row r="699" spans="1:25" x14ac:dyDescent="0.55000000000000004">
      <c r="A699">
        <v>697</v>
      </c>
      <c r="B699" t="s">
        <v>20</v>
      </c>
      <c r="C699">
        <v>49</v>
      </c>
      <c r="D699">
        <v>1</v>
      </c>
      <c r="E699" t="s">
        <v>115</v>
      </c>
      <c r="F699" t="s">
        <v>116</v>
      </c>
      <c r="G699">
        <v>25</v>
      </c>
      <c r="H699">
        <v>2</v>
      </c>
      <c r="I699">
        <v>25010000</v>
      </c>
      <c r="J699">
        <v>905</v>
      </c>
      <c r="K699">
        <v>0</v>
      </c>
      <c r="L699">
        <v>14944</v>
      </c>
      <c r="M699">
        <v>14.172943</v>
      </c>
      <c r="N699">
        <v>101.35556</v>
      </c>
      <c r="O699">
        <v>7.38</v>
      </c>
      <c r="P699">
        <v>0.03</v>
      </c>
      <c r="Q699">
        <v>0.49</v>
      </c>
      <c r="R699">
        <v>0.27</v>
      </c>
      <c r="S699">
        <v>2.74</v>
      </c>
      <c r="T699">
        <v>48.040000999999997</v>
      </c>
      <c r="U699">
        <v>62.509998000000003</v>
      </c>
      <c r="V699">
        <v>0</v>
      </c>
      <c r="W699">
        <v>0</v>
      </c>
      <c r="X699">
        <v>34727.623936999997</v>
      </c>
      <c r="Y699">
        <v>63888682.1435</v>
      </c>
    </row>
    <row r="700" spans="1:25" x14ac:dyDescent="0.55000000000000004">
      <c r="A700">
        <v>698</v>
      </c>
      <c r="B700" t="s">
        <v>20</v>
      </c>
      <c r="C700">
        <v>49</v>
      </c>
      <c r="D700">
        <v>1</v>
      </c>
      <c r="E700" t="s">
        <v>115</v>
      </c>
      <c r="F700" t="s">
        <v>116</v>
      </c>
      <c r="G700">
        <v>25</v>
      </c>
      <c r="H700">
        <v>2</v>
      </c>
      <c r="I700">
        <v>25010000</v>
      </c>
      <c r="J700">
        <v>907</v>
      </c>
      <c r="K700">
        <v>0</v>
      </c>
      <c r="L700">
        <v>15065</v>
      </c>
      <c r="M700">
        <v>14.253532</v>
      </c>
      <c r="N700">
        <v>101.4387</v>
      </c>
      <c r="O700">
        <v>3.54</v>
      </c>
      <c r="P700">
        <v>0.44</v>
      </c>
      <c r="Q700">
        <v>2.02</v>
      </c>
      <c r="R700">
        <v>1.9</v>
      </c>
      <c r="S700">
        <v>3</v>
      </c>
      <c r="T700">
        <v>59.029998999999997</v>
      </c>
      <c r="U700">
        <v>4.5</v>
      </c>
      <c r="V700">
        <v>0</v>
      </c>
      <c r="W700">
        <v>0</v>
      </c>
      <c r="X700">
        <v>20746.997285000001</v>
      </c>
      <c r="Y700">
        <v>20579602.4373</v>
      </c>
    </row>
    <row r="701" spans="1:25" x14ac:dyDescent="0.55000000000000004">
      <c r="A701">
        <v>699</v>
      </c>
      <c r="B701" t="s">
        <v>20</v>
      </c>
      <c r="C701">
        <v>49</v>
      </c>
      <c r="D701">
        <v>1</v>
      </c>
      <c r="E701" t="s">
        <v>115</v>
      </c>
      <c r="F701" t="s">
        <v>116</v>
      </c>
      <c r="G701">
        <v>25</v>
      </c>
      <c r="H701">
        <v>2</v>
      </c>
      <c r="I701">
        <v>25010000</v>
      </c>
      <c r="J701">
        <v>908</v>
      </c>
      <c r="K701">
        <v>0</v>
      </c>
      <c r="L701">
        <v>15064</v>
      </c>
      <c r="M701">
        <v>14.253532</v>
      </c>
      <c r="N701">
        <v>101.35556</v>
      </c>
      <c r="O701">
        <v>0.51</v>
      </c>
      <c r="P701">
        <v>2.38</v>
      </c>
      <c r="Q701">
        <v>1.99</v>
      </c>
      <c r="R701">
        <v>1.2</v>
      </c>
      <c r="S701">
        <v>0.44</v>
      </c>
      <c r="T701">
        <v>77.680000000000007</v>
      </c>
      <c r="U701">
        <v>12.14</v>
      </c>
      <c r="V701">
        <v>0</v>
      </c>
      <c r="W701">
        <v>0</v>
      </c>
      <c r="X701">
        <v>18033.483361999999</v>
      </c>
      <c r="Y701">
        <v>10717005.531400001</v>
      </c>
    </row>
    <row r="702" spans="1:25" x14ac:dyDescent="0.55000000000000004">
      <c r="A702">
        <v>700</v>
      </c>
      <c r="B702" t="s">
        <v>20</v>
      </c>
      <c r="C702">
        <v>49</v>
      </c>
      <c r="D702">
        <v>1</v>
      </c>
      <c r="E702" t="s">
        <v>115</v>
      </c>
      <c r="F702" t="s">
        <v>116</v>
      </c>
      <c r="G702">
        <v>25</v>
      </c>
      <c r="H702">
        <v>2</v>
      </c>
      <c r="I702">
        <v>25010000</v>
      </c>
      <c r="J702">
        <v>924</v>
      </c>
      <c r="K702">
        <v>0</v>
      </c>
      <c r="L702">
        <v>14826</v>
      </c>
      <c r="M702">
        <v>14.092331</v>
      </c>
      <c r="N702">
        <v>101.52182999999999</v>
      </c>
      <c r="O702">
        <v>1</v>
      </c>
      <c r="P702">
        <v>0.18</v>
      </c>
      <c r="Q702">
        <v>0.06</v>
      </c>
      <c r="R702">
        <v>1.1399999999999999</v>
      </c>
      <c r="S702">
        <v>13.44</v>
      </c>
      <c r="T702">
        <v>4.99</v>
      </c>
      <c r="U702">
        <v>15.33</v>
      </c>
      <c r="V702">
        <v>0</v>
      </c>
      <c r="W702">
        <v>0</v>
      </c>
      <c r="X702">
        <v>20304.146624000001</v>
      </c>
      <c r="Y702">
        <v>7399135.6078199996</v>
      </c>
    </row>
    <row r="703" spans="1:25" x14ac:dyDescent="0.55000000000000004">
      <c r="A703">
        <v>701</v>
      </c>
      <c r="B703" t="s">
        <v>20</v>
      </c>
      <c r="C703">
        <v>50</v>
      </c>
      <c r="D703">
        <v>2</v>
      </c>
      <c r="E703" t="s">
        <v>117</v>
      </c>
      <c r="F703" t="s">
        <v>118</v>
      </c>
      <c r="G703">
        <v>25</v>
      </c>
      <c r="H703">
        <v>2</v>
      </c>
      <c r="I703">
        <v>25020000</v>
      </c>
      <c r="J703">
        <v>803</v>
      </c>
      <c r="K703">
        <v>0</v>
      </c>
      <c r="L703">
        <v>14110</v>
      </c>
      <c r="M703">
        <v>13.608017</v>
      </c>
      <c r="N703">
        <v>101.85438000000001</v>
      </c>
      <c r="O703">
        <v>0.02</v>
      </c>
      <c r="P703">
        <v>29.18</v>
      </c>
      <c r="Q703">
        <v>0.01</v>
      </c>
      <c r="R703">
        <v>0.15</v>
      </c>
      <c r="S703">
        <v>0.02</v>
      </c>
      <c r="T703">
        <v>4.41</v>
      </c>
      <c r="U703">
        <v>36.279998999999997</v>
      </c>
      <c r="V703">
        <v>0</v>
      </c>
      <c r="W703">
        <v>0</v>
      </c>
      <c r="X703">
        <v>26693.218505000001</v>
      </c>
      <c r="Y703">
        <v>23571457.650400002</v>
      </c>
    </row>
    <row r="704" spans="1:25" x14ac:dyDescent="0.55000000000000004">
      <c r="A704">
        <v>702</v>
      </c>
      <c r="B704" t="s">
        <v>20</v>
      </c>
      <c r="C704">
        <v>50</v>
      </c>
      <c r="D704">
        <v>2</v>
      </c>
      <c r="E704" t="s">
        <v>117</v>
      </c>
      <c r="F704" t="s">
        <v>118</v>
      </c>
      <c r="G704">
        <v>25</v>
      </c>
      <c r="H704">
        <v>2</v>
      </c>
      <c r="I704">
        <v>25020000</v>
      </c>
      <c r="J704">
        <v>808</v>
      </c>
      <c r="K704">
        <v>0</v>
      </c>
      <c r="L704">
        <v>14349</v>
      </c>
      <c r="M704">
        <v>13.769569000000001</v>
      </c>
      <c r="N704">
        <v>101.77124000000001</v>
      </c>
      <c r="O704">
        <v>18.690000999999999</v>
      </c>
      <c r="P704">
        <v>0.03</v>
      </c>
      <c r="Q704">
        <v>2.9</v>
      </c>
      <c r="R704">
        <v>0</v>
      </c>
      <c r="S704">
        <v>0.78</v>
      </c>
      <c r="T704">
        <v>2.5299999999999998</v>
      </c>
      <c r="U704">
        <v>17.280000999999999</v>
      </c>
      <c r="V704">
        <v>0.01</v>
      </c>
      <c r="W704">
        <v>0</v>
      </c>
      <c r="X704">
        <v>37502.638580999999</v>
      </c>
      <c r="Y704">
        <v>57653397.569600001</v>
      </c>
    </row>
    <row r="705" spans="1:25" x14ac:dyDescent="0.55000000000000004">
      <c r="A705">
        <v>703</v>
      </c>
      <c r="B705" t="s">
        <v>20</v>
      </c>
      <c r="C705">
        <v>50</v>
      </c>
      <c r="D705">
        <v>2</v>
      </c>
      <c r="E705" t="s">
        <v>117</v>
      </c>
      <c r="F705" t="s">
        <v>118</v>
      </c>
      <c r="G705">
        <v>25</v>
      </c>
      <c r="H705">
        <v>2</v>
      </c>
      <c r="I705">
        <v>25020000</v>
      </c>
      <c r="J705">
        <v>810</v>
      </c>
      <c r="K705">
        <v>0</v>
      </c>
      <c r="L705">
        <v>14347</v>
      </c>
      <c r="M705">
        <v>13.769569000000001</v>
      </c>
      <c r="N705">
        <v>101.60496500000001</v>
      </c>
      <c r="O705">
        <v>2.39</v>
      </c>
      <c r="P705">
        <v>0.17</v>
      </c>
      <c r="Q705">
        <v>0.6</v>
      </c>
      <c r="R705">
        <v>3.17</v>
      </c>
      <c r="S705">
        <v>0.81</v>
      </c>
      <c r="T705">
        <v>0.56000000000000005</v>
      </c>
      <c r="U705">
        <v>5.08</v>
      </c>
      <c r="V705">
        <v>1.77</v>
      </c>
      <c r="W705">
        <v>0</v>
      </c>
      <c r="X705">
        <v>5471.223489</v>
      </c>
      <c r="Y705">
        <v>1142336.8424500001</v>
      </c>
    </row>
    <row r="706" spans="1:25" x14ac:dyDescent="0.55000000000000004">
      <c r="A706">
        <v>704</v>
      </c>
      <c r="B706" t="s">
        <v>20</v>
      </c>
      <c r="C706">
        <v>50</v>
      </c>
      <c r="D706">
        <v>2</v>
      </c>
      <c r="E706" t="s">
        <v>117</v>
      </c>
      <c r="F706" t="s">
        <v>118</v>
      </c>
      <c r="G706">
        <v>25</v>
      </c>
      <c r="H706">
        <v>2</v>
      </c>
      <c r="I706">
        <v>25020000</v>
      </c>
      <c r="J706">
        <v>812</v>
      </c>
      <c r="K706">
        <v>0</v>
      </c>
      <c r="L706">
        <v>14350</v>
      </c>
      <c r="M706">
        <v>13.769569000000001</v>
      </c>
      <c r="N706">
        <v>101.85438000000001</v>
      </c>
      <c r="O706">
        <v>0.94</v>
      </c>
      <c r="P706">
        <v>0.06</v>
      </c>
      <c r="Q706">
        <v>0.28999999999999998</v>
      </c>
      <c r="R706">
        <v>0</v>
      </c>
      <c r="S706">
        <v>0.79</v>
      </c>
      <c r="T706">
        <v>5.31</v>
      </c>
      <c r="U706">
        <v>41.740001999999997</v>
      </c>
      <c r="V706">
        <v>0</v>
      </c>
      <c r="W706">
        <v>0</v>
      </c>
      <c r="X706">
        <v>35876.281741999999</v>
      </c>
      <c r="Y706">
        <v>80443427.309100002</v>
      </c>
    </row>
    <row r="707" spans="1:25" x14ac:dyDescent="0.55000000000000004">
      <c r="A707">
        <v>705</v>
      </c>
      <c r="B707" t="s">
        <v>20</v>
      </c>
      <c r="C707">
        <v>50</v>
      </c>
      <c r="D707">
        <v>2</v>
      </c>
      <c r="E707" t="s">
        <v>117</v>
      </c>
      <c r="F707" t="s">
        <v>118</v>
      </c>
      <c r="G707">
        <v>25</v>
      </c>
      <c r="H707">
        <v>2</v>
      </c>
      <c r="I707">
        <v>25020000</v>
      </c>
      <c r="J707">
        <v>813</v>
      </c>
      <c r="K707">
        <v>0</v>
      </c>
      <c r="L707">
        <v>14348</v>
      </c>
      <c r="M707">
        <v>13.769569000000001</v>
      </c>
      <c r="N707">
        <v>101.68810000000001</v>
      </c>
      <c r="O707">
        <v>4.33</v>
      </c>
      <c r="P707">
        <v>0.13</v>
      </c>
      <c r="Q707">
        <v>7.0000000000000007E-2</v>
      </c>
      <c r="R707">
        <v>0.38</v>
      </c>
      <c r="S707">
        <v>0.37</v>
      </c>
      <c r="T707">
        <v>0.83</v>
      </c>
      <c r="U707">
        <v>8.35</v>
      </c>
      <c r="V707">
        <v>0.01</v>
      </c>
      <c r="W707">
        <v>0</v>
      </c>
      <c r="X707">
        <v>28257.442524999999</v>
      </c>
      <c r="Y707">
        <v>31335885.6998</v>
      </c>
    </row>
    <row r="708" spans="1:25" x14ac:dyDescent="0.55000000000000004">
      <c r="A708">
        <v>706</v>
      </c>
      <c r="B708" t="s">
        <v>20</v>
      </c>
      <c r="C708">
        <v>50</v>
      </c>
      <c r="D708">
        <v>2</v>
      </c>
      <c r="E708" t="s">
        <v>117</v>
      </c>
      <c r="F708" t="s">
        <v>118</v>
      </c>
      <c r="G708">
        <v>25</v>
      </c>
      <c r="H708">
        <v>2</v>
      </c>
      <c r="I708">
        <v>25020000</v>
      </c>
      <c r="J708">
        <v>814</v>
      </c>
      <c r="K708">
        <v>0</v>
      </c>
      <c r="L708">
        <v>14229</v>
      </c>
      <c r="M708">
        <v>13.688805</v>
      </c>
      <c r="N708">
        <v>101.77124000000001</v>
      </c>
      <c r="O708">
        <v>2.46</v>
      </c>
      <c r="P708">
        <v>2.59</v>
      </c>
      <c r="Q708">
        <v>11.1</v>
      </c>
      <c r="R708">
        <v>0.08</v>
      </c>
      <c r="S708">
        <v>0.61</v>
      </c>
      <c r="T708">
        <v>2.36</v>
      </c>
      <c r="U708">
        <v>39.209999000000003</v>
      </c>
      <c r="V708">
        <v>0</v>
      </c>
      <c r="W708">
        <v>0</v>
      </c>
      <c r="X708">
        <v>10567.454313</v>
      </c>
      <c r="Y708">
        <v>6429645.4722699998</v>
      </c>
    </row>
    <row r="709" spans="1:25" x14ac:dyDescent="0.55000000000000004">
      <c r="A709">
        <v>707</v>
      </c>
      <c r="B709" t="s">
        <v>20</v>
      </c>
      <c r="C709">
        <v>50</v>
      </c>
      <c r="D709">
        <v>2</v>
      </c>
      <c r="E709" t="s">
        <v>117</v>
      </c>
      <c r="F709" t="s">
        <v>118</v>
      </c>
      <c r="G709">
        <v>25</v>
      </c>
      <c r="H709">
        <v>2</v>
      </c>
      <c r="I709">
        <v>25020000</v>
      </c>
      <c r="J709">
        <v>815</v>
      </c>
      <c r="K709">
        <v>0</v>
      </c>
      <c r="L709">
        <v>14230</v>
      </c>
      <c r="M709">
        <v>13.688805</v>
      </c>
      <c r="N709">
        <v>101.85438000000001</v>
      </c>
      <c r="O709">
        <v>0.66</v>
      </c>
      <c r="P709">
        <v>7</v>
      </c>
      <c r="Q709">
        <v>8.0500000000000007</v>
      </c>
      <c r="R709">
        <v>0.53</v>
      </c>
      <c r="S709">
        <v>0.57999999999999996</v>
      </c>
      <c r="T709">
        <v>7.13</v>
      </c>
      <c r="U709">
        <v>56.110000999999997</v>
      </c>
      <c r="V709">
        <v>0</v>
      </c>
      <c r="W709">
        <v>0</v>
      </c>
      <c r="X709">
        <v>36896.786864000002</v>
      </c>
      <c r="Y709">
        <v>63856384.2148</v>
      </c>
    </row>
    <row r="710" spans="1:25" x14ac:dyDescent="0.55000000000000004">
      <c r="A710">
        <v>708</v>
      </c>
      <c r="B710" t="s">
        <v>20</v>
      </c>
      <c r="C710">
        <v>50</v>
      </c>
      <c r="D710">
        <v>2</v>
      </c>
      <c r="E710" t="s">
        <v>117</v>
      </c>
      <c r="F710" t="s">
        <v>118</v>
      </c>
      <c r="G710">
        <v>25</v>
      </c>
      <c r="H710">
        <v>2</v>
      </c>
      <c r="I710">
        <v>25020000</v>
      </c>
      <c r="J710">
        <v>816</v>
      </c>
      <c r="K710">
        <v>0</v>
      </c>
      <c r="L710">
        <v>14467</v>
      </c>
      <c r="M710">
        <v>13.850304</v>
      </c>
      <c r="N710">
        <v>101.60496500000001</v>
      </c>
      <c r="O710">
        <v>5.68</v>
      </c>
      <c r="P710">
        <v>4.1900000000000004</v>
      </c>
      <c r="Q710">
        <v>0.28000000000000003</v>
      </c>
      <c r="R710">
        <v>6.68</v>
      </c>
      <c r="S710">
        <v>0.93</v>
      </c>
      <c r="T710">
        <v>0.47</v>
      </c>
      <c r="U710">
        <v>38.840000000000003</v>
      </c>
      <c r="V710">
        <v>16.219999000000001</v>
      </c>
      <c r="W710">
        <v>0</v>
      </c>
      <c r="X710">
        <v>24527.352262</v>
      </c>
      <c r="Y710">
        <v>25924937.2608</v>
      </c>
    </row>
    <row r="711" spans="1:25" x14ac:dyDescent="0.55000000000000004">
      <c r="A711">
        <v>709</v>
      </c>
      <c r="B711" t="s">
        <v>20</v>
      </c>
      <c r="C711">
        <v>50</v>
      </c>
      <c r="D711">
        <v>2</v>
      </c>
      <c r="E711" t="s">
        <v>117</v>
      </c>
      <c r="F711" t="s">
        <v>118</v>
      </c>
      <c r="G711">
        <v>25</v>
      </c>
      <c r="H711">
        <v>2</v>
      </c>
      <c r="I711">
        <v>25020000</v>
      </c>
      <c r="J711">
        <v>910</v>
      </c>
      <c r="K711">
        <v>0</v>
      </c>
      <c r="L711">
        <v>14468</v>
      </c>
      <c r="M711">
        <v>13.850304</v>
      </c>
      <c r="N711">
        <v>101.68810000000001</v>
      </c>
      <c r="O711">
        <v>1.19</v>
      </c>
      <c r="P711">
        <v>10.76</v>
      </c>
      <c r="Q711">
        <v>0.01</v>
      </c>
      <c r="R711">
        <v>3.43</v>
      </c>
      <c r="S711">
        <v>1.01</v>
      </c>
      <c r="T711">
        <v>1.17</v>
      </c>
      <c r="U711">
        <v>26.16</v>
      </c>
      <c r="V711">
        <v>4.16</v>
      </c>
      <c r="W711">
        <v>0</v>
      </c>
      <c r="X711">
        <v>35859.185619000003</v>
      </c>
      <c r="Y711">
        <v>80366763.656499997</v>
      </c>
    </row>
    <row r="712" spans="1:25" x14ac:dyDescent="0.55000000000000004">
      <c r="A712">
        <v>710</v>
      </c>
      <c r="B712" t="s">
        <v>20</v>
      </c>
      <c r="C712">
        <v>50</v>
      </c>
      <c r="D712">
        <v>2</v>
      </c>
      <c r="E712" t="s">
        <v>117</v>
      </c>
      <c r="F712" t="s">
        <v>118</v>
      </c>
      <c r="G712">
        <v>25</v>
      </c>
      <c r="H712">
        <v>2</v>
      </c>
      <c r="I712">
        <v>25020000</v>
      </c>
      <c r="J712">
        <v>911</v>
      </c>
      <c r="K712">
        <v>0</v>
      </c>
      <c r="L712">
        <v>14587</v>
      </c>
      <c r="M712">
        <v>13.931006999999999</v>
      </c>
      <c r="N712">
        <v>101.60496500000001</v>
      </c>
      <c r="O712">
        <v>0.01</v>
      </c>
      <c r="P712">
        <v>3.11</v>
      </c>
      <c r="Q712">
        <v>0.51</v>
      </c>
      <c r="R712">
        <v>9.07</v>
      </c>
      <c r="S712">
        <v>3.47</v>
      </c>
      <c r="T712">
        <v>7.43</v>
      </c>
      <c r="U712">
        <v>14.88</v>
      </c>
      <c r="V712">
        <v>0.38</v>
      </c>
      <c r="W712">
        <v>0</v>
      </c>
      <c r="X712">
        <v>28039.953734999999</v>
      </c>
      <c r="Y712">
        <v>36904369.049199998</v>
      </c>
    </row>
    <row r="713" spans="1:25" x14ac:dyDescent="0.55000000000000004">
      <c r="A713">
        <v>711</v>
      </c>
      <c r="B713" t="s">
        <v>20</v>
      </c>
      <c r="C713">
        <v>50</v>
      </c>
      <c r="D713">
        <v>2</v>
      </c>
      <c r="E713" t="s">
        <v>117</v>
      </c>
      <c r="F713" t="s">
        <v>118</v>
      </c>
      <c r="G713">
        <v>25</v>
      </c>
      <c r="H713">
        <v>2</v>
      </c>
      <c r="I713">
        <v>25020000</v>
      </c>
      <c r="J713">
        <v>912</v>
      </c>
      <c r="K713">
        <v>0</v>
      </c>
      <c r="L713">
        <v>14707</v>
      </c>
      <c r="M713">
        <v>14.011680999999999</v>
      </c>
      <c r="N713">
        <v>101.60496500000001</v>
      </c>
      <c r="O713">
        <v>0.02</v>
      </c>
      <c r="P713">
        <v>0.54</v>
      </c>
      <c r="Q713">
        <v>0.16</v>
      </c>
      <c r="R713">
        <v>6.23</v>
      </c>
      <c r="S713">
        <v>5.04</v>
      </c>
      <c r="T713">
        <v>9.09</v>
      </c>
      <c r="U713">
        <v>3.49</v>
      </c>
      <c r="V713">
        <v>0</v>
      </c>
      <c r="W713">
        <v>0</v>
      </c>
      <c r="X713">
        <v>29744.527223000001</v>
      </c>
      <c r="Y713">
        <v>43317224.962499999</v>
      </c>
    </row>
    <row r="714" spans="1:25" x14ac:dyDescent="0.55000000000000004">
      <c r="A714">
        <v>712</v>
      </c>
      <c r="B714" t="s">
        <v>20</v>
      </c>
      <c r="C714">
        <v>50</v>
      </c>
      <c r="D714">
        <v>2</v>
      </c>
      <c r="E714" t="s">
        <v>117</v>
      </c>
      <c r="F714" t="s">
        <v>118</v>
      </c>
      <c r="G714">
        <v>25</v>
      </c>
      <c r="H714">
        <v>2</v>
      </c>
      <c r="I714">
        <v>25020000</v>
      </c>
      <c r="J714">
        <v>913</v>
      </c>
      <c r="K714">
        <v>0</v>
      </c>
      <c r="L714">
        <v>14588</v>
      </c>
      <c r="M714">
        <v>13.931006999999999</v>
      </c>
      <c r="N714">
        <v>101.68810000000001</v>
      </c>
      <c r="O714">
        <v>0.08</v>
      </c>
      <c r="P714">
        <v>0.45</v>
      </c>
      <c r="Q714">
        <v>2.41</v>
      </c>
      <c r="R714">
        <v>0.92</v>
      </c>
      <c r="S714">
        <v>1.21</v>
      </c>
      <c r="T714">
        <v>3.27</v>
      </c>
      <c r="U714">
        <v>9.6999999999999993</v>
      </c>
      <c r="V714">
        <v>0.15</v>
      </c>
      <c r="W714">
        <v>0</v>
      </c>
      <c r="X714">
        <v>35846.299184000003</v>
      </c>
      <c r="Y714">
        <v>80309006.036799997</v>
      </c>
    </row>
    <row r="715" spans="1:25" x14ac:dyDescent="0.55000000000000004">
      <c r="A715">
        <v>713</v>
      </c>
      <c r="B715" t="s">
        <v>20</v>
      </c>
      <c r="C715">
        <v>50</v>
      </c>
      <c r="D715">
        <v>2</v>
      </c>
      <c r="E715" t="s">
        <v>117</v>
      </c>
      <c r="F715" t="s">
        <v>118</v>
      </c>
      <c r="G715">
        <v>25</v>
      </c>
      <c r="H715">
        <v>2</v>
      </c>
      <c r="I715">
        <v>25020000</v>
      </c>
      <c r="J715">
        <v>914</v>
      </c>
      <c r="K715">
        <v>0</v>
      </c>
      <c r="L715">
        <v>14469</v>
      </c>
      <c r="M715">
        <v>13.850304</v>
      </c>
      <c r="N715">
        <v>101.77124000000001</v>
      </c>
      <c r="O715">
        <v>4.99</v>
      </c>
      <c r="P715">
        <v>0.19</v>
      </c>
      <c r="Q715">
        <v>0.01</v>
      </c>
      <c r="R715">
        <v>0.39</v>
      </c>
      <c r="S715">
        <v>0.79</v>
      </c>
      <c r="T715">
        <v>6.16</v>
      </c>
      <c r="U715">
        <v>9.27</v>
      </c>
      <c r="V715">
        <v>0.73</v>
      </c>
      <c r="W715">
        <v>0</v>
      </c>
      <c r="X715">
        <v>35862.079843</v>
      </c>
      <c r="Y715">
        <v>80379729.421100006</v>
      </c>
    </row>
    <row r="716" spans="1:25" x14ac:dyDescent="0.55000000000000004">
      <c r="A716">
        <v>714</v>
      </c>
      <c r="B716" t="s">
        <v>20</v>
      </c>
      <c r="C716">
        <v>50</v>
      </c>
      <c r="D716">
        <v>2</v>
      </c>
      <c r="E716" t="s">
        <v>117</v>
      </c>
      <c r="F716" t="s">
        <v>118</v>
      </c>
      <c r="G716">
        <v>25</v>
      </c>
      <c r="H716">
        <v>2</v>
      </c>
      <c r="I716">
        <v>25020000</v>
      </c>
      <c r="J716">
        <v>915</v>
      </c>
      <c r="K716">
        <v>0</v>
      </c>
      <c r="L716">
        <v>14709</v>
      </c>
      <c r="M716">
        <v>14.011680999999999</v>
      </c>
      <c r="N716">
        <v>101.77124000000001</v>
      </c>
      <c r="O716">
        <v>0.04</v>
      </c>
      <c r="P716">
        <v>0.03</v>
      </c>
      <c r="Q716">
        <v>0.04</v>
      </c>
      <c r="R716">
        <v>0.47</v>
      </c>
      <c r="S716">
        <v>1.84</v>
      </c>
      <c r="T716">
        <v>16.829999999999998</v>
      </c>
      <c r="U716">
        <v>3.17</v>
      </c>
      <c r="V716">
        <v>0.01</v>
      </c>
      <c r="W716">
        <v>0</v>
      </c>
      <c r="X716">
        <v>40718.238504000001</v>
      </c>
      <c r="Y716">
        <v>76395588.069399998</v>
      </c>
    </row>
    <row r="717" spans="1:25" x14ac:dyDescent="0.55000000000000004">
      <c r="A717">
        <v>715</v>
      </c>
      <c r="B717" t="s">
        <v>20</v>
      </c>
      <c r="C717">
        <v>50</v>
      </c>
      <c r="D717">
        <v>2</v>
      </c>
      <c r="E717" t="s">
        <v>117</v>
      </c>
      <c r="F717" t="s">
        <v>118</v>
      </c>
      <c r="G717">
        <v>25</v>
      </c>
      <c r="H717">
        <v>2</v>
      </c>
      <c r="I717">
        <v>25020000</v>
      </c>
      <c r="J717">
        <v>916</v>
      </c>
      <c r="K717">
        <v>0</v>
      </c>
      <c r="L717">
        <v>14708</v>
      </c>
      <c r="M717">
        <v>14.011680999999999</v>
      </c>
      <c r="N717">
        <v>101.68810000000001</v>
      </c>
      <c r="O717">
        <v>0.02</v>
      </c>
      <c r="P717">
        <v>0.79</v>
      </c>
      <c r="Q717">
        <v>0</v>
      </c>
      <c r="R717">
        <v>1.17</v>
      </c>
      <c r="S717">
        <v>9.0299999999999994</v>
      </c>
      <c r="T717">
        <v>13.22</v>
      </c>
      <c r="U717">
        <v>6.3</v>
      </c>
      <c r="V717">
        <v>0</v>
      </c>
      <c r="W717">
        <v>0</v>
      </c>
      <c r="X717">
        <v>35834.265549000003</v>
      </c>
      <c r="Y717">
        <v>80255102.163200006</v>
      </c>
    </row>
    <row r="718" spans="1:25" x14ac:dyDescent="0.55000000000000004">
      <c r="A718">
        <v>716</v>
      </c>
      <c r="B718" t="s">
        <v>20</v>
      </c>
      <c r="C718">
        <v>50</v>
      </c>
      <c r="D718">
        <v>2</v>
      </c>
      <c r="E718" t="s">
        <v>117</v>
      </c>
      <c r="F718" t="s">
        <v>118</v>
      </c>
      <c r="G718">
        <v>25</v>
      </c>
      <c r="H718">
        <v>2</v>
      </c>
      <c r="I718">
        <v>25020000</v>
      </c>
      <c r="J718">
        <v>917</v>
      </c>
      <c r="K718">
        <v>0</v>
      </c>
      <c r="L718">
        <v>14589</v>
      </c>
      <c r="M718">
        <v>13.931006999999999</v>
      </c>
      <c r="N718">
        <v>101.77124000000001</v>
      </c>
      <c r="O718">
        <v>0.7</v>
      </c>
      <c r="P718">
        <v>0.04</v>
      </c>
      <c r="Q718">
        <v>0.21</v>
      </c>
      <c r="R718">
        <v>0.05</v>
      </c>
      <c r="S718">
        <v>2.5299999999999998</v>
      </c>
      <c r="T718">
        <v>5.8</v>
      </c>
      <c r="U718">
        <v>0.53</v>
      </c>
      <c r="V718">
        <v>0.73</v>
      </c>
      <c r="W718">
        <v>0</v>
      </c>
      <c r="X718">
        <v>35849.190721999999</v>
      </c>
      <c r="Y718">
        <v>80321955.078700006</v>
      </c>
    </row>
    <row r="719" spans="1:25" x14ac:dyDescent="0.55000000000000004">
      <c r="A719">
        <v>717</v>
      </c>
      <c r="B719" t="s">
        <v>20</v>
      </c>
      <c r="C719">
        <v>50</v>
      </c>
      <c r="D719">
        <v>2</v>
      </c>
      <c r="E719" t="s">
        <v>117</v>
      </c>
      <c r="F719" t="s">
        <v>118</v>
      </c>
      <c r="G719">
        <v>25</v>
      </c>
      <c r="H719">
        <v>2</v>
      </c>
      <c r="I719">
        <v>25020000</v>
      </c>
      <c r="J719">
        <v>918</v>
      </c>
      <c r="K719">
        <v>0</v>
      </c>
      <c r="L719">
        <v>14470</v>
      </c>
      <c r="M719">
        <v>13.850304</v>
      </c>
      <c r="N719">
        <v>101.85438000000001</v>
      </c>
      <c r="O719">
        <v>12.66</v>
      </c>
      <c r="P719">
        <v>0.01</v>
      </c>
      <c r="Q719">
        <v>0.01</v>
      </c>
      <c r="R719">
        <v>0.01</v>
      </c>
      <c r="S719">
        <v>0.14000000000000001</v>
      </c>
      <c r="T719">
        <v>3.29</v>
      </c>
      <c r="U719">
        <v>8.06</v>
      </c>
      <c r="V719">
        <v>0.16</v>
      </c>
      <c r="W719">
        <v>0</v>
      </c>
      <c r="X719">
        <v>35863.423220999997</v>
      </c>
      <c r="Y719">
        <v>80385766.855599999</v>
      </c>
    </row>
    <row r="720" spans="1:25" x14ac:dyDescent="0.55000000000000004">
      <c r="A720">
        <v>718</v>
      </c>
      <c r="B720" t="s">
        <v>20</v>
      </c>
      <c r="C720">
        <v>50</v>
      </c>
      <c r="D720">
        <v>2</v>
      </c>
      <c r="E720" t="s">
        <v>117</v>
      </c>
      <c r="F720" t="s">
        <v>118</v>
      </c>
      <c r="G720">
        <v>25</v>
      </c>
      <c r="H720">
        <v>2</v>
      </c>
      <c r="I720">
        <v>25020000</v>
      </c>
      <c r="J720">
        <v>919</v>
      </c>
      <c r="K720">
        <v>0</v>
      </c>
      <c r="L720">
        <v>14827</v>
      </c>
      <c r="M720">
        <v>14.092331</v>
      </c>
      <c r="N720">
        <v>101.60496500000001</v>
      </c>
      <c r="O720">
        <v>1.49</v>
      </c>
      <c r="P720">
        <v>7.0000000000000007E-2</v>
      </c>
      <c r="Q720">
        <v>7.0000000000000007E-2</v>
      </c>
      <c r="R720">
        <v>0.41</v>
      </c>
      <c r="S720">
        <v>104.82</v>
      </c>
      <c r="T720">
        <v>6.55</v>
      </c>
      <c r="U720">
        <v>3.94</v>
      </c>
      <c r="V720">
        <v>0</v>
      </c>
      <c r="W720">
        <v>0</v>
      </c>
      <c r="X720">
        <v>14366.78124</v>
      </c>
      <c r="Y720">
        <v>6979919.3205599999</v>
      </c>
    </row>
    <row r="721" spans="1:25" x14ac:dyDescent="0.55000000000000004">
      <c r="A721">
        <v>719</v>
      </c>
      <c r="B721" t="s">
        <v>20</v>
      </c>
      <c r="C721">
        <v>50</v>
      </c>
      <c r="D721">
        <v>2</v>
      </c>
      <c r="E721" t="s">
        <v>117</v>
      </c>
      <c r="F721" t="s">
        <v>118</v>
      </c>
      <c r="G721">
        <v>25</v>
      </c>
      <c r="H721">
        <v>2</v>
      </c>
      <c r="I721">
        <v>25020000</v>
      </c>
      <c r="J721">
        <v>925</v>
      </c>
      <c r="K721">
        <v>0</v>
      </c>
      <c r="L721">
        <v>14590</v>
      </c>
      <c r="M721">
        <v>13.931006999999999</v>
      </c>
      <c r="N721">
        <v>101.85438000000001</v>
      </c>
      <c r="O721">
        <v>0.17</v>
      </c>
      <c r="P721">
        <v>0</v>
      </c>
      <c r="Q721">
        <v>0.11</v>
      </c>
      <c r="R721">
        <v>0.01</v>
      </c>
      <c r="S721">
        <v>0.04</v>
      </c>
      <c r="T721">
        <v>4.84</v>
      </c>
      <c r="U721">
        <v>2.0299999999999998</v>
      </c>
      <c r="V721">
        <v>6.84</v>
      </c>
      <c r="W721">
        <v>0</v>
      </c>
      <c r="X721">
        <v>35850.531901000002</v>
      </c>
      <c r="Y721">
        <v>80327980.541899994</v>
      </c>
    </row>
    <row r="722" spans="1:25" x14ac:dyDescent="0.55000000000000004">
      <c r="A722">
        <v>720</v>
      </c>
      <c r="B722" t="s">
        <v>20</v>
      </c>
      <c r="C722">
        <v>50</v>
      </c>
      <c r="D722">
        <v>2</v>
      </c>
      <c r="E722" t="s">
        <v>117</v>
      </c>
      <c r="F722" t="s">
        <v>118</v>
      </c>
      <c r="G722">
        <v>25</v>
      </c>
      <c r="H722">
        <v>2</v>
      </c>
      <c r="I722">
        <v>25020000</v>
      </c>
      <c r="J722">
        <v>926</v>
      </c>
      <c r="K722">
        <v>0</v>
      </c>
      <c r="L722">
        <v>14829</v>
      </c>
      <c r="M722">
        <v>14.092331</v>
      </c>
      <c r="N722">
        <v>101.77124000000001</v>
      </c>
      <c r="O722">
        <v>0</v>
      </c>
      <c r="P722">
        <v>0.09</v>
      </c>
      <c r="Q722">
        <v>0.06</v>
      </c>
      <c r="R722">
        <v>0.05</v>
      </c>
      <c r="S722">
        <v>0.92</v>
      </c>
      <c r="T722">
        <v>26.950001</v>
      </c>
      <c r="U722">
        <v>2.77</v>
      </c>
      <c r="V722">
        <v>0</v>
      </c>
      <c r="W722">
        <v>0</v>
      </c>
      <c r="X722">
        <v>29944.621414000001</v>
      </c>
      <c r="Y722">
        <v>16130319.929</v>
      </c>
    </row>
    <row r="723" spans="1:25" x14ac:dyDescent="0.55000000000000004">
      <c r="A723">
        <v>721</v>
      </c>
      <c r="B723" t="s">
        <v>20</v>
      </c>
      <c r="C723">
        <v>50</v>
      </c>
      <c r="D723">
        <v>2</v>
      </c>
      <c r="E723" t="s">
        <v>117</v>
      </c>
      <c r="F723" t="s">
        <v>118</v>
      </c>
      <c r="G723">
        <v>25</v>
      </c>
      <c r="H723">
        <v>2</v>
      </c>
      <c r="I723">
        <v>25020000</v>
      </c>
      <c r="J723">
        <v>927</v>
      </c>
      <c r="K723">
        <v>0</v>
      </c>
      <c r="L723">
        <v>14828</v>
      </c>
      <c r="M723">
        <v>14.092331</v>
      </c>
      <c r="N723">
        <v>101.68810000000001</v>
      </c>
      <c r="O723">
        <v>0.02</v>
      </c>
      <c r="P723">
        <v>0.25</v>
      </c>
      <c r="Q723">
        <v>0.08</v>
      </c>
      <c r="R723">
        <v>0.51</v>
      </c>
      <c r="S723">
        <v>4.7699999999999996</v>
      </c>
      <c r="T723">
        <v>10.1</v>
      </c>
      <c r="U723">
        <v>2.5099999999999998</v>
      </c>
      <c r="V723">
        <v>0</v>
      </c>
      <c r="W723">
        <v>0</v>
      </c>
      <c r="X723">
        <v>30669.966649999998</v>
      </c>
      <c r="Y723">
        <v>47187475.762400001</v>
      </c>
    </row>
    <row r="724" spans="1:25" x14ac:dyDescent="0.55000000000000004">
      <c r="A724">
        <v>722</v>
      </c>
      <c r="B724" t="s">
        <v>20</v>
      </c>
      <c r="C724">
        <v>50</v>
      </c>
      <c r="D724">
        <v>2</v>
      </c>
      <c r="E724" t="s">
        <v>117</v>
      </c>
      <c r="F724" t="s">
        <v>118</v>
      </c>
      <c r="G724">
        <v>25</v>
      </c>
      <c r="H724">
        <v>2</v>
      </c>
      <c r="I724">
        <v>25020000</v>
      </c>
      <c r="J724">
        <v>1014</v>
      </c>
      <c r="K724">
        <v>0</v>
      </c>
      <c r="L724">
        <v>14111</v>
      </c>
      <c r="M724">
        <v>13.608017</v>
      </c>
      <c r="N724">
        <v>101.93751</v>
      </c>
      <c r="O724">
        <v>0.09</v>
      </c>
      <c r="P724">
        <v>8.0399999999999991</v>
      </c>
      <c r="Q724">
        <v>0.25</v>
      </c>
      <c r="R724">
        <v>7.0000000000000007E-2</v>
      </c>
      <c r="S724">
        <v>0.28000000000000003</v>
      </c>
      <c r="T724">
        <v>7.13</v>
      </c>
      <c r="U724">
        <v>39.360000999999997</v>
      </c>
      <c r="V724">
        <v>0.01</v>
      </c>
      <c r="W724">
        <v>0</v>
      </c>
      <c r="X724">
        <v>24971.309039</v>
      </c>
      <c r="Y724">
        <v>24324772.3596</v>
      </c>
    </row>
    <row r="725" spans="1:25" x14ac:dyDescent="0.55000000000000004">
      <c r="A725">
        <v>723</v>
      </c>
      <c r="B725" t="s">
        <v>20</v>
      </c>
      <c r="C725">
        <v>50</v>
      </c>
      <c r="D725">
        <v>2</v>
      </c>
      <c r="E725" t="s">
        <v>117</v>
      </c>
      <c r="F725" t="s">
        <v>118</v>
      </c>
      <c r="G725">
        <v>25</v>
      </c>
      <c r="H725">
        <v>2</v>
      </c>
      <c r="I725">
        <v>25020000</v>
      </c>
      <c r="J725">
        <v>1023</v>
      </c>
      <c r="K725">
        <v>0</v>
      </c>
      <c r="L725">
        <v>14231</v>
      </c>
      <c r="M725">
        <v>13.688805</v>
      </c>
      <c r="N725">
        <v>101.93751</v>
      </c>
      <c r="O725">
        <v>0.18</v>
      </c>
      <c r="P725">
        <v>26.549999</v>
      </c>
      <c r="Q725">
        <v>1.17</v>
      </c>
      <c r="R725">
        <v>6.13</v>
      </c>
      <c r="S725">
        <v>0.02</v>
      </c>
      <c r="T725">
        <v>36.470001000000003</v>
      </c>
      <c r="U725">
        <v>22.959999</v>
      </c>
      <c r="V725">
        <v>0</v>
      </c>
      <c r="W725">
        <v>0</v>
      </c>
      <c r="X725">
        <v>28458.002419</v>
      </c>
      <c r="Y725">
        <v>45759282.502300002</v>
      </c>
    </row>
    <row r="726" spans="1:25" x14ac:dyDescent="0.55000000000000004">
      <c r="A726">
        <v>724</v>
      </c>
      <c r="B726" t="s">
        <v>20</v>
      </c>
      <c r="C726">
        <v>50</v>
      </c>
      <c r="D726">
        <v>2</v>
      </c>
      <c r="E726" t="s">
        <v>117</v>
      </c>
      <c r="F726" t="s">
        <v>118</v>
      </c>
      <c r="G726">
        <v>25</v>
      </c>
      <c r="H726">
        <v>2</v>
      </c>
      <c r="I726">
        <v>25020000</v>
      </c>
      <c r="J726">
        <v>1025</v>
      </c>
      <c r="K726">
        <v>0</v>
      </c>
      <c r="L726">
        <v>14471</v>
      </c>
      <c r="M726">
        <v>13.850304</v>
      </c>
      <c r="N726">
        <v>101.93751</v>
      </c>
      <c r="O726">
        <v>0.28999999999999998</v>
      </c>
      <c r="P726">
        <v>0.01</v>
      </c>
      <c r="Q726">
        <v>0.02</v>
      </c>
      <c r="R726">
        <v>0</v>
      </c>
      <c r="S726">
        <v>0.21</v>
      </c>
      <c r="T726">
        <v>2.48</v>
      </c>
      <c r="U726">
        <v>6.85</v>
      </c>
      <c r="V726">
        <v>0.43</v>
      </c>
      <c r="W726">
        <v>0</v>
      </c>
      <c r="X726">
        <v>27835.989619</v>
      </c>
      <c r="Y726">
        <v>23483379.8312</v>
      </c>
    </row>
    <row r="727" spans="1:25" x14ac:dyDescent="0.55000000000000004">
      <c r="A727">
        <v>725</v>
      </c>
      <c r="B727" t="s">
        <v>20</v>
      </c>
      <c r="C727">
        <v>50</v>
      </c>
      <c r="D727">
        <v>2</v>
      </c>
      <c r="E727" t="s">
        <v>117</v>
      </c>
      <c r="F727" t="s">
        <v>118</v>
      </c>
      <c r="G727">
        <v>25</v>
      </c>
      <c r="H727">
        <v>2</v>
      </c>
      <c r="I727">
        <v>25020000</v>
      </c>
      <c r="J727">
        <v>1026</v>
      </c>
      <c r="K727">
        <v>0</v>
      </c>
      <c r="L727">
        <v>14591</v>
      </c>
      <c r="M727">
        <v>13.931006999999999</v>
      </c>
      <c r="N727">
        <v>101.93751</v>
      </c>
      <c r="O727">
        <v>0.03</v>
      </c>
      <c r="P727">
        <v>0.01</v>
      </c>
      <c r="Q727">
        <v>0.09</v>
      </c>
      <c r="R727">
        <v>0.04</v>
      </c>
      <c r="S727">
        <v>0.03</v>
      </c>
      <c r="T727">
        <v>13.92</v>
      </c>
      <c r="U727">
        <v>2.2599999999999998</v>
      </c>
      <c r="V727">
        <v>0</v>
      </c>
      <c r="W727">
        <v>0</v>
      </c>
      <c r="X727">
        <v>34129.178717000003</v>
      </c>
      <c r="Y727">
        <v>27768040.560899999</v>
      </c>
    </row>
    <row r="728" spans="1:25" x14ac:dyDescent="0.55000000000000004">
      <c r="A728">
        <v>726</v>
      </c>
      <c r="B728" t="s">
        <v>20</v>
      </c>
      <c r="C728">
        <v>50</v>
      </c>
      <c r="D728">
        <v>2</v>
      </c>
      <c r="E728" t="s">
        <v>117</v>
      </c>
      <c r="F728" t="s">
        <v>118</v>
      </c>
      <c r="G728">
        <v>25</v>
      </c>
      <c r="H728">
        <v>2</v>
      </c>
      <c r="I728">
        <v>25020000</v>
      </c>
      <c r="J728">
        <v>1028</v>
      </c>
      <c r="K728">
        <v>0</v>
      </c>
      <c r="L728">
        <v>14351</v>
      </c>
      <c r="M728">
        <v>13.769569000000001</v>
      </c>
      <c r="N728">
        <v>101.93751</v>
      </c>
      <c r="O728">
        <v>0.52</v>
      </c>
      <c r="P728">
        <v>4.57</v>
      </c>
      <c r="Q728">
        <v>0.05</v>
      </c>
      <c r="R728">
        <v>0.01</v>
      </c>
      <c r="S728">
        <v>0.49</v>
      </c>
      <c r="T728">
        <v>4.3899999999999997</v>
      </c>
      <c r="U728">
        <v>11.73</v>
      </c>
      <c r="V728">
        <v>0</v>
      </c>
      <c r="W728">
        <v>0</v>
      </c>
      <c r="X728">
        <v>28798.677168999999</v>
      </c>
      <c r="Y728">
        <v>45185267.179399997</v>
      </c>
    </row>
    <row r="729" spans="1:25" x14ac:dyDescent="0.55000000000000004">
      <c r="A729">
        <v>727</v>
      </c>
      <c r="B729" t="s">
        <v>20</v>
      </c>
      <c r="C729">
        <v>50</v>
      </c>
      <c r="D729">
        <v>2</v>
      </c>
      <c r="E729" t="s">
        <v>117</v>
      </c>
      <c r="F729" t="s">
        <v>118</v>
      </c>
      <c r="G729">
        <v>25</v>
      </c>
      <c r="H729">
        <v>2</v>
      </c>
      <c r="I729">
        <v>25020000</v>
      </c>
      <c r="J729">
        <v>1148</v>
      </c>
      <c r="K729">
        <v>0</v>
      </c>
      <c r="L729">
        <v>14711</v>
      </c>
      <c r="M729">
        <v>14.011680999999999</v>
      </c>
      <c r="N729">
        <v>101.93751</v>
      </c>
      <c r="O729">
        <v>0</v>
      </c>
      <c r="P729">
        <v>0.02</v>
      </c>
      <c r="Q729">
        <v>7.0000000000000007E-2</v>
      </c>
      <c r="R729">
        <v>0</v>
      </c>
      <c r="S729">
        <v>0.03</v>
      </c>
      <c r="T729">
        <v>12.56</v>
      </c>
      <c r="U729">
        <v>13.38</v>
      </c>
      <c r="V729">
        <v>0</v>
      </c>
      <c r="W729">
        <v>0</v>
      </c>
      <c r="X729">
        <v>24107.383172999998</v>
      </c>
      <c r="Y729">
        <v>31400438.282000002</v>
      </c>
    </row>
    <row r="730" spans="1:25" x14ac:dyDescent="0.55000000000000004">
      <c r="A730">
        <v>728</v>
      </c>
      <c r="B730" t="s">
        <v>20</v>
      </c>
      <c r="C730">
        <v>50</v>
      </c>
      <c r="D730">
        <v>2</v>
      </c>
      <c r="E730" t="s">
        <v>117</v>
      </c>
      <c r="F730" t="s">
        <v>118</v>
      </c>
      <c r="G730">
        <v>25</v>
      </c>
      <c r="H730">
        <v>2</v>
      </c>
      <c r="I730">
        <v>25020000</v>
      </c>
      <c r="J730">
        <v>1149</v>
      </c>
      <c r="K730">
        <v>0</v>
      </c>
      <c r="L730">
        <v>14830</v>
      </c>
      <c r="M730">
        <v>14.092331</v>
      </c>
      <c r="N730">
        <v>101.85438000000001</v>
      </c>
      <c r="O730">
        <v>0</v>
      </c>
      <c r="P730">
        <v>1.2</v>
      </c>
      <c r="Q730">
        <v>0.19</v>
      </c>
      <c r="R730">
        <v>0.02</v>
      </c>
      <c r="S730">
        <v>7.0000000000000007E-2</v>
      </c>
      <c r="T730">
        <v>21.4</v>
      </c>
      <c r="U730">
        <v>12.48</v>
      </c>
      <c r="V730">
        <v>0</v>
      </c>
      <c r="W730">
        <v>0</v>
      </c>
      <c r="X730">
        <v>37949.638053000002</v>
      </c>
      <c r="Y730">
        <v>52940543.770499997</v>
      </c>
    </row>
    <row r="731" spans="1:25" x14ac:dyDescent="0.55000000000000004">
      <c r="A731">
        <v>729</v>
      </c>
      <c r="B731" t="s">
        <v>20</v>
      </c>
      <c r="C731">
        <v>50</v>
      </c>
      <c r="D731">
        <v>2</v>
      </c>
      <c r="E731" t="s">
        <v>117</v>
      </c>
      <c r="F731" t="s">
        <v>118</v>
      </c>
      <c r="G731">
        <v>25</v>
      </c>
      <c r="H731">
        <v>2</v>
      </c>
      <c r="I731">
        <v>25020000</v>
      </c>
      <c r="J731">
        <v>1152</v>
      </c>
      <c r="K731">
        <v>0</v>
      </c>
      <c r="L731">
        <v>14831</v>
      </c>
      <c r="M731">
        <v>14.092331</v>
      </c>
      <c r="N731">
        <v>101.93751</v>
      </c>
      <c r="O731">
        <v>0</v>
      </c>
      <c r="P731">
        <v>0.34</v>
      </c>
      <c r="Q731">
        <v>0.14000000000000001</v>
      </c>
      <c r="R731">
        <v>0.01</v>
      </c>
      <c r="S731">
        <v>0.06</v>
      </c>
      <c r="T731">
        <v>31.32</v>
      </c>
      <c r="U731">
        <v>5.0999999999999996</v>
      </c>
      <c r="V731">
        <v>0</v>
      </c>
      <c r="W731">
        <v>0</v>
      </c>
      <c r="X731">
        <v>10111.836211</v>
      </c>
      <c r="Y731">
        <v>2280842.4269099999</v>
      </c>
    </row>
    <row r="732" spans="1:25" x14ac:dyDescent="0.55000000000000004">
      <c r="A732">
        <v>730</v>
      </c>
      <c r="B732" t="s">
        <v>20</v>
      </c>
      <c r="C732">
        <v>50</v>
      </c>
      <c r="D732">
        <v>2</v>
      </c>
      <c r="E732" t="s">
        <v>117</v>
      </c>
      <c r="F732" t="s">
        <v>118</v>
      </c>
      <c r="G732">
        <v>25</v>
      </c>
      <c r="H732">
        <v>2</v>
      </c>
      <c r="I732">
        <v>25020000</v>
      </c>
      <c r="J732">
        <v>1169</v>
      </c>
      <c r="K732">
        <v>0</v>
      </c>
      <c r="L732">
        <v>14710</v>
      </c>
      <c r="M732">
        <v>14.011680999999999</v>
      </c>
      <c r="N732">
        <v>101.85438000000001</v>
      </c>
      <c r="O732">
        <v>0</v>
      </c>
      <c r="P732">
        <v>0.04</v>
      </c>
      <c r="Q732">
        <v>0.1</v>
      </c>
      <c r="R732">
        <v>0.02</v>
      </c>
      <c r="S732">
        <v>0.14000000000000001</v>
      </c>
      <c r="T732">
        <v>13.02</v>
      </c>
      <c r="U732">
        <v>6.01</v>
      </c>
      <c r="V732">
        <v>0.04</v>
      </c>
      <c r="W732">
        <v>0</v>
      </c>
      <c r="X732">
        <v>44315.284592000004</v>
      </c>
      <c r="Y732">
        <v>75095695.109300002</v>
      </c>
    </row>
    <row r="733" spans="1:25" x14ac:dyDescent="0.55000000000000004">
      <c r="A733">
        <v>731</v>
      </c>
      <c r="B733" t="s">
        <v>20</v>
      </c>
      <c r="C733">
        <v>51</v>
      </c>
      <c r="D733">
        <v>3</v>
      </c>
      <c r="E733" t="s">
        <v>119</v>
      </c>
      <c r="F733" t="s">
        <v>120</v>
      </c>
      <c r="G733">
        <v>25</v>
      </c>
      <c r="H733">
        <v>2</v>
      </c>
      <c r="I733">
        <v>25030000</v>
      </c>
      <c r="J733">
        <v>915</v>
      </c>
      <c r="K733">
        <v>0</v>
      </c>
      <c r="L733">
        <v>14709</v>
      </c>
      <c r="M733">
        <v>14.011680999999999</v>
      </c>
      <c r="N733">
        <v>101.77124000000001</v>
      </c>
      <c r="O733">
        <v>0.04</v>
      </c>
      <c r="P733">
        <v>0.03</v>
      </c>
      <c r="Q733">
        <v>0.04</v>
      </c>
      <c r="R733">
        <v>0.47</v>
      </c>
      <c r="S733">
        <v>1.84</v>
      </c>
      <c r="T733">
        <v>16.829999999999998</v>
      </c>
      <c r="U733">
        <v>3.17</v>
      </c>
      <c r="V733">
        <v>0.01</v>
      </c>
      <c r="W733">
        <v>0</v>
      </c>
      <c r="X733">
        <v>13915.219564999999</v>
      </c>
      <c r="Y733">
        <v>3872447.00789</v>
      </c>
    </row>
    <row r="734" spans="1:25" x14ac:dyDescent="0.55000000000000004">
      <c r="A734">
        <v>732</v>
      </c>
      <c r="B734" t="s">
        <v>20</v>
      </c>
      <c r="C734">
        <v>51</v>
      </c>
      <c r="D734">
        <v>3</v>
      </c>
      <c r="E734" t="s">
        <v>119</v>
      </c>
      <c r="F734" t="s">
        <v>120</v>
      </c>
      <c r="G734">
        <v>25</v>
      </c>
      <c r="H734">
        <v>2</v>
      </c>
      <c r="I734">
        <v>25030000</v>
      </c>
      <c r="J734">
        <v>923</v>
      </c>
      <c r="K734">
        <v>0</v>
      </c>
      <c r="L734">
        <v>14947</v>
      </c>
      <c r="M734">
        <v>14.172943</v>
      </c>
      <c r="N734">
        <v>101.60496500000001</v>
      </c>
      <c r="O734">
        <v>0.84</v>
      </c>
      <c r="P734">
        <v>0.09</v>
      </c>
      <c r="Q734">
        <v>0.61</v>
      </c>
      <c r="R734">
        <v>1.06</v>
      </c>
      <c r="S734">
        <v>5.44</v>
      </c>
      <c r="T734">
        <v>38.549999</v>
      </c>
      <c r="U734">
        <v>8.66</v>
      </c>
      <c r="V734">
        <v>2.02</v>
      </c>
      <c r="W734">
        <v>0</v>
      </c>
      <c r="X734">
        <v>10478.267868999999</v>
      </c>
      <c r="Y734">
        <v>2649352.8786300002</v>
      </c>
    </row>
    <row r="735" spans="1:25" x14ac:dyDescent="0.55000000000000004">
      <c r="A735">
        <v>733</v>
      </c>
      <c r="B735" t="s">
        <v>20</v>
      </c>
      <c r="C735">
        <v>51</v>
      </c>
      <c r="D735">
        <v>3</v>
      </c>
      <c r="E735" t="s">
        <v>119</v>
      </c>
      <c r="F735" t="s">
        <v>120</v>
      </c>
      <c r="G735">
        <v>25</v>
      </c>
      <c r="H735">
        <v>2</v>
      </c>
      <c r="I735">
        <v>25030000</v>
      </c>
      <c r="J735">
        <v>926</v>
      </c>
      <c r="K735">
        <v>0</v>
      </c>
      <c r="L735">
        <v>14829</v>
      </c>
      <c r="M735">
        <v>14.092331</v>
      </c>
      <c r="N735">
        <v>101.77124000000001</v>
      </c>
      <c r="O735">
        <v>0</v>
      </c>
      <c r="P735">
        <v>0.09</v>
      </c>
      <c r="Q735">
        <v>0.06</v>
      </c>
      <c r="R735">
        <v>0.05</v>
      </c>
      <c r="S735">
        <v>0.92</v>
      </c>
      <c r="T735">
        <v>26.950001</v>
      </c>
      <c r="U735">
        <v>2.77</v>
      </c>
      <c r="V735">
        <v>0</v>
      </c>
      <c r="W735">
        <v>0</v>
      </c>
      <c r="X735">
        <v>40157.651445000003</v>
      </c>
      <c r="Y735">
        <v>64079190.268799998</v>
      </c>
    </row>
    <row r="736" spans="1:25" x14ac:dyDescent="0.55000000000000004">
      <c r="A736">
        <v>734</v>
      </c>
      <c r="B736" t="s">
        <v>20</v>
      </c>
      <c r="C736">
        <v>51</v>
      </c>
      <c r="D736">
        <v>3</v>
      </c>
      <c r="E736" t="s">
        <v>119</v>
      </c>
      <c r="F736" t="s">
        <v>120</v>
      </c>
      <c r="G736">
        <v>25</v>
      </c>
      <c r="H736">
        <v>2</v>
      </c>
      <c r="I736">
        <v>25030000</v>
      </c>
      <c r="J736">
        <v>927</v>
      </c>
      <c r="K736">
        <v>0</v>
      </c>
      <c r="L736">
        <v>14828</v>
      </c>
      <c r="M736">
        <v>14.092331</v>
      </c>
      <c r="N736">
        <v>101.68810000000001</v>
      </c>
      <c r="O736">
        <v>0.02</v>
      </c>
      <c r="P736">
        <v>0.25</v>
      </c>
      <c r="Q736">
        <v>0.08</v>
      </c>
      <c r="R736">
        <v>0.51</v>
      </c>
      <c r="S736">
        <v>4.7699999999999996</v>
      </c>
      <c r="T736">
        <v>10.1</v>
      </c>
      <c r="U736">
        <v>2.5099999999999998</v>
      </c>
      <c r="V736">
        <v>0</v>
      </c>
      <c r="W736">
        <v>0</v>
      </c>
      <c r="X736">
        <v>26906.359004000002</v>
      </c>
      <c r="Y736">
        <v>29895715.102600001</v>
      </c>
    </row>
    <row r="737" spans="1:25" x14ac:dyDescent="0.55000000000000004">
      <c r="A737">
        <v>735</v>
      </c>
      <c r="B737" t="s">
        <v>20</v>
      </c>
      <c r="C737">
        <v>51</v>
      </c>
      <c r="D737">
        <v>3</v>
      </c>
      <c r="E737" t="s">
        <v>119</v>
      </c>
      <c r="F737" t="s">
        <v>120</v>
      </c>
      <c r="G737">
        <v>25</v>
      </c>
      <c r="H737">
        <v>2</v>
      </c>
      <c r="I737">
        <v>25030000</v>
      </c>
      <c r="J737">
        <v>928</v>
      </c>
      <c r="K737">
        <v>0</v>
      </c>
      <c r="L737">
        <v>14948</v>
      </c>
      <c r="M737">
        <v>14.172943</v>
      </c>
      <c r="N737">
        <v>101.68810000000001</v>
      </c>
      <c r="O737">
        <v>0.24</v>
      </c>
      <c r="P737">
        <v>0.05</v>
      </c>
      <c r="Q737">
        <v>0.32</v>
      </c>
      <c r="R737">
        <v>0.83</v>
      </c>
      <c r="S737">
        <v>3.79</v>
      </c>
      <c r="T737">
        <v>93.720000999999996</v>
      </c>
      <c r="U737">
        <v>0.5</v>
      </c>
      <c r="V737">
        <v>0</v>
      </c>
      <c r="W737">
        <v>0</v>
      </c>
      <c r="X737">
        <v>35518.701074999997</v>
      </c>
      <c r="Y737">
        <v>72564706.056899995</v>
      </c>
    </row>
    <row r="738" spans="1:25" x14ac:dyDescent="0.55000000000000004">
      <c r="A738">
        <v>736</v>
      </c>
      <c r="B738" t="s">
        <v>20</v>
      </c>
      <c r="C738">
        <v>51</v>
      </c>
      <c r="D738">
        <v>3</v>
      </c>
      <c r="E738" t="s">
        <v>119</v>
      </c>
      <c r="F738" t="s">
        <v>120</v>
      </c>
      <c r="G738">
        <v>25</v>
      </c>
      <c r="H738">
        <v>2</v>
      </c>
      <c r="I738">
        <v>25030000</v>
      </c>
      <c r="J738">
        <v>929</v>
      </c>
      <c r="K738">
        <v>0</v>
      </c>
      <c r="L738">
        <v>15068</v>
      </c>
      <c r="M738">
        <v>14.253532</v>
      </c>
      <c r="N738">
        <v>101.68810000000001</v>
      </c>
      <c r="O738">
        <v>7.45</v>
      </c>
      <c r="P738">
        <v>0.06</v>
      </c>
      <c r="Q738">
        <v>7.0000000000000007E-2</v>
      </c>
      <c r="R738">
        <v>0.31</v>
      </c>
      <c r="S738">
        <v>0.02</v>
      </c>
      <c r="T738">
        <v>21.99</v>
      </c>
      <c r="U738">
        <v>2.75</v>
      </c>
      <c r="V738">
        <v>0</v>
      </c>
      <c r="W738">
        <v>0</v>
      </c>
      <c r="X738">
        <v>31921.120609000001</v>
      </c>
      <c r="Y738">
        <v>55659765.945699997</v>
      </c>
    </row>
    <row r="739" spans="1:25" x14ac:dyDescent="0.55000000000000004">
      <c r="A739">
        <v>737</v>
      </c>
      <c r="B739" t="s">
        <v>20</v>
      </c>
      <c r="C739">
        <v>51</v>
      </c>
      <c r="D739">
        <v>3</v>
      </c>
      <c r="E739" t="s">
        <v>119</v>
      </c>
      <c r="F739" t="s">
        <v>120</v>
      </c>
      <c r="G739">
        <v>25</v>
      </c>
      <c r="H739">
        <v>2</v>
      </c>
      <c r="I739">
        <v>25030000</v>
      </c>
      <c r="J739">
        <v>930</v>
      </c>
      <c r="K739">
        <v>0</v>
      </c>
      <c r="L739">
        <v>14949</v>
      </c>
      <c r="M739">
        <v>14.172943</v>
      </c>
      <c r="N739">
        <v>101.77124000000001</v>
      </c>
      <c r="O739">
        <v>0</v>
      </c>
      <c r="P739">
        <v>0.61</v>
      </c>
      <c r="Q739">
        <v>0.27</v>
      </c>
      <c r="R739">
        <v>0.65</v>
      </c>
      <c r="S739">
        <v>0.22</v>
      </c>
      <c r="T739">
        <v>20.27</v>
      </c>
      <c r="U739">
        <v>5.41</v>
      </c>
      <c r="V739">
        <v>0</v>
      </c>
      <c r="W739">
        <v>0</v>
      </c>
      <c r="X739">
        <v>35811.101431000003</v>
      </c>
      <c r="Y739">
        <v>80151358.281800002</v>
      </c>
    </row>
    <row r="740" spans="1:25" x14ac:dyDescent="0.55000000000000004">
      <c r="A740">
        <v>738</v>
      </c>
      <c r="B740" t="s">
        <v>20</v>
      </c>
      <c r="C740">
        <v>51</v>
      </c>
      <c r="D740">
        <v>3</v>
      </c>
      <c r="E740" t="s">
        <v>119</v>
      </c>
      <c r="F740" t="s">
        <v>120</v>
      </c>
      <c r="G740">
        <v>25</v>
      </c>
      <c r="H740">
        <v>2</v>
      </c>
      <c r="I740">
        <v>25030000</v>
      </c>
      <c r="J740">
        <v>953</v>
      </c>
      <c r="K740">
        <v>0</v>
      </c>
      <c r="L740">
        <v>15188</v>
      </c>
      <c r="M740">
        <v>14.334099</v>
      </c>
      <c r="N740">
        <v>101.68810000000001</v>
      </c>
      <c r="O740">
        <v>1.3</v>
      </c>
      <c r="P740">
        <v>0.06</v>
      </c>
      <c r="Q740">
        <v>0.08</v>
      </c>
      <c r="R740">
        <v>0.1</v>
      </c>
      <c r="S740">
        <v>0.84</v>
      </c>
      <c r="T740">
        <v>2.54</v>
      </c>
      <c r="U740">
        <v>1.67</v>
      </c>
      <c r="V740">
        <v>0</v>
      </c>
      <c r="W740">
        <v>0</v>
      </c>
      <c r="X740">
        <v>35525.432792</v>
      </c>
      <c r="Y740">
        <v>52115805.882600002</v>
      </c>
    </row>
    <row r="741" spans="1:25" x14ac:dyDescent="0.55000000000000004">
      <c r="A741">
        <v>739</v>
      </c>
      <c r="B741" t="s">
        <v>20</v>
      </c>
      <c r="C741">
        <v>51</v>
      </c>
      <c r="D741">
        <v>3</v>
      </c>
      <c r="E741" t="s">
        <v>119</v>
      </c>
      <c r="F741" t="s">
        <v>120</v>
      </c>
      <c r="G741">
        <v>25</v>
      </c>
      <c r="H741">
        <v>2</v>
      </c>
      <c r="I741">
        <v>25030000</v>
      </c>
      <c r="J741">
        <v>954</v>
      </c>
      <c r="K741">
        <v>0</v>
      </c>
      <c r="L741">
        <v>15187</v>
      </c>
      <c r="M741">
        <v>14.334099</v>
      </c>
      <c r="N741">
        <v>101.60496500000001</v>
      </c>
      <c r="O741">
        <v>20.280000999999999</v>
      </c>
      <c r="P741">
        <v>1.41</v>
      </c>
      <c r="Q741">
        <v>0.53</v>
      </c>
      <c r="R741">
        <v>0.36</v>
      </c>
      <c r="S741">
        <v>0.05</v>
      </c>
      <c r="T741">
        <v>12.17</v>
      </c>
      <c r="U741">
        <v>2.35</v>
      </c>
      <c r="V741">
        <v>0</v>
      </c>
      <c r="W741">
        <v>0</v>
      </c>
      <c r="X741">
        <v>5024.4350569999997</v>
      </c>
      <c r="Y741">
        <v>949850.89908899995</v>
      </c>
    </row>
    <row r="742" spans="1:25" x14ac:dyDescent="0.55000000000000004">
      <c r="A742">
        <v>740</v>
      </c>
      <c r="B742" t="s">
        <v>20</v>
      </c>
      <c r="C742">
        <v>51</v>
      </c>
      <c r="D742">
        <v>3</v>
      </c>
      <c r="E742" t="s">
        <v>119</v>
      </c>
      <c r="F742" t="s">
        <v>120</v>
      </c>
      <c r="G742">
        <v>25</v>
      </c>
      <c r="H742">
        <v>2</v>
      </c>
      <c r="I742">
        <v>25030000</v>
      </c>
      <c r="J742">
        <v>957</v>
      </c>
      <c r="K742">
        <v>0</v>
      </c>
      <c r="L742">
        <v>15307</v>
      </c>
      <c r="M742">
        <v>14.414635000000001</v>
      </c>
      <c r="N742">
        <v>101.60496500000001</v>
      </c>
      <c r="O742">
        <v>14.7</v>
      </c>
      <c r="P742">
        <v>4.57</v>
      </c>
      <c r="Q742">
        <v>0.02</v>
      </c>
      <c r="R742">
        <v>7.0000000000000007E-2</v>
      </c>
      <c r="S742">
        <v>0.51</v>
      </c>
      <c r="T742">
        <v>36.060001</v>
      </c>
      <c r="U742">
        <v>7.94</v>
      </c>
      <c r="V742">
        <v>0</v>
      </c>
      <c r="W742">
        <v>0</v>
      </c>
      <c r="X742">
        <v>2625.6949909999998</v>
      </c>
      <c r="Y742">
        <v>381644.35121300002</v>
      </c>
    </row>
    <row r="743" spans="1:25" x14ac:dyDescent="0.55000000000000004">
      <c r="A743">
        <v>741</v>
      </c>
      <c r="B743" t="s">
        <v>20</v>
      </c>
      <c r="C743">
        <v>51</v>
      </c>
      <c r="D743">
        <v>3</v>
      </c>
      <c r="E743" t="s">
        <v>119</v>
      </c>
      <c r="F743" t="s">
        <v>120</v>
      </c>
      <c r="G743">
        <v>25</v>
      </c>
      <c r="H743">
        <v>2</v>
      </c>
      <c r="I743">
        <v>25030000</v>
      </c>
      <c r="J743">
        <v>958</v>
      </c>
      <c r="K743">
        <v>0</v>
      </c>
      <c r="L743">
        <v>15069</v>
      </c>
      <c r="M743">
        <v>14.253532</v>
      </c>
      <c r="N743">
        <v>101.77124000000001</v>
      </c>
      <c r="O743">
        <v>0.09</v>
      </c>
      <c r="P743">
        <v>0.05</v>
      </c>
      <c r="Q743">
        <v>0.13</v>
      </c>
      <c r="R743">
        <v>0.7</v>
      </c>
      <c r="S743">
        <v>0.27</v>
      </c>
      <c r="T743">
        <v>24.129999000000002</v>
      </c>
      <c r="U743">
        <v>4.6900000000000004</v>
      </c>
      <c r="V743">
        <v>0</v>
      </c>
      <c r="W743">
        <v>0</v>
      </c>
      <c r="X743">
        <v>35799.852579999999</v>
      </c>
      <c r="Y743">
        <v>80101033.324000001</v>
      </c>
    </row>
    <row r="744" spans="1:25" x14ac:dyDescent="0.55000000000000004">
      <c r="A744">
        <v>742</v>
      </c>
      <c r="B744" t="s">
        <v>20</v>
      </c>
      <c r="C744">
        <v>51</v>
      </c>
      <c r="D744">
        <v>3</v>
      </c>
      <c r="E744" t="s">
        <v>119</v>
      </c>
      <c r="F744" t="s">
        <v>120</v>
      </c>
      <c r="G744">
        <v>25</v>
      </c>
      <c r="H744">
        <v>2</v>
      </c>
      <c r="I744">
        <v>25030000</v>
      </c>
      <c r="J744">
        <v>959</v>
      </c>
      <c r="K744">
        <v>0</v>
      </c>
      <c r="L744">
        <v>15189</v>
      </c>
      <c r="M744">
        <v>14.334099</v>
      </c>
      <c r="N744">
        <v>101.77124000000001</v>
      </c>
      <c r="O744">
        <v>0.01</v>
      </c>
      <c r="P744">
        <v>0</v>
      </c>
      <c r="Q744">
        <v>7.0000000000000007E-2</v>
      </c>
      <c r="R744">
        <v>0.15</v>
      </c>
      <c r="S744">
        <v>0.28999999999999998</v>
      </c>
      <c r="T744">
        <v>4.8</v>
      </c>
      <c r="U744">
        <v>1.74</v>
      </c>
      <c r="V744">
        <v>0</v>
      </c>
      <c r="W744">
        <v>0.04</v>
      </c>
      <c r="X744">
        <v>33575.218157000003</v>
      </c>
      <c r="Y744">
        <v>47959010.785400003</v>
      </c>
    </row>
    <row r="745" spans="1:25" x14ac:dyDescent="0.55000000000000004">
      <c r="A745">
        <v>743</v>
      </c>
      <c r="B745" t="s">
        <v>20</v>
      </c>
      <c r="C745">
        <v>51</v>
      </c>
      <c r="D745">
        <v>3</v>
      </c>
      <c r="E745" t="s">
        <v>119</v>
      </c>
      <c r="F745" t="s">
        <v>120</v>
      </c>
      <c r="G745">
        <v>25</v>
      </c>
      <c r="H745">
        <v>2</v>
      </c>
      <c r="I745">
        <v>25030000</v>
      </c>
      <c r="J745">
        <v>961</v>
      </c>
      <c r="K745">
        <v>0</v>
      </c>
      <c r="L745">
        <v>15308</v>
      </c>
      <c r="M745">
        <v>14.414635000000001</v>
      </c>
      <c r="N745">
        <v>101.68810000000001</v>
      </c>
      <c r="O745">
        <v>5.5</v>
      </c>
      <c r="P745">
        <v>0.15</v>
      </c>
      <c r="Q745">
        <v>0</v>
      </c>
      <c r="R745">
        <v>0</v>
      </c>
      <c r="S745">
        <v>2.14</v>
      </c>
      <c r="T745">
        <v>6.32</v>
      </c>
      <c r="U745">
        <v>6.64</v>
      </c>
      <c r="V745">
        <v>0</v>
      </c>
      <c r="W745">
        <v>0</v>
      </c>
      <c r="X745">
        <v>8298.8469609999993</v>
      </c>
      <c r="Y745">
        <v>3430123.3673399999</v>
      </c>
    </row>
    <row r="746" spans="1:25" x14ac:dyDescent="0.55000000000000004">
      <c r="A746">
        <v>744</v>
      </c>
      <c r="B746" t="s">
        <v>20</v>
      </c>
      <c r="C746">
        <v>51</v>
      </c>
      <c r="D746">
        <v>3</v>
      </c>
      <c r="E746" t="s">
        <v>119</v>
      </c>
      <c r="F746" t="s">
        <v>120</v>
      </c>
      <c r="G746">
        <v>25</v>
      </c>
      <c r="H746">
        <v>2</v>
      </c>
      <c r="I746">
        <v>25030000</v>
      </c>
      <c r="J746">
        <v>1148</v>
      </c>
      <c r="K746">
        <v>0</v>
      </c>
      <c r="L746">
        <v>14711</v>
      </c>
      <c r="M746">
        <v>14.011680999999999</v>
      </c>
      <c r="N746">
        <v>101.93751</v>
      </c>
      <c r="O746">
        <v>0</v>
      </c>
      <c r="P746">
        <v>0.02</v>
      </c>
      <c r="Q746">
        <v>7.0000000000000007E-2</v>
      </c>
      <c r="R746">
        <v>0</v>
      </c>
      <c r="S746">
        <v>0.03</v>
      </c>
      <c r="T746">
        <v>12.56</v>
      </c>
      <c r="U746">
        <v>13.38</v>
      </c>
      <c r="V746">
        <v>0</v>
      </c>
      <c r="W746">
        <v>0</v>
      </c>
      <c r="X746">
        <v>24624.343064000001</v>
      </c>
      <c r="Y746">
        <v>29585144.590999998</v>
      </c>
    </row>
    <row r="747" spans="1:25" x14ac:dyDescent="0.55000000000000004">
      <c r="A747">
        <v>745</v>
      </c>
      <c r="B747" t="s">
        <v>20</v>
      </c>
      <c r="C747">
        <v>51</v>
      </c>
      <c r="D747">
        <v>3</v>
      </c>
      <c r="E747" t="s">
        <v>119</v>
      </c>
      <c r="F747" t="s">
        <v>120</v>
      </c>
      <c r="G747">
        <v>25</v>
      </c>
      <c r="H747">
        <v>2</v>
      </c>
      <c r="I747">
        <v>25030000</v>
      </c>
      <c r="J747">
        <v>1149</v>
      </c>
      <c r="K747">
        <v>0</v>
      </c>
      <c r="L747">
        <v>14830</v>
      </c>
      <c r="M747">
        <v>14.092331</v>
      </c>
      <c r="N747">
        <v>101.85438000000001</v>
      </c>
      <c r="O747">
        <v>0</v>
      </c>
      <c r="P747">
        <v>1.2</v>
      </c>
      <c r="Q747">
        <v>0.19</v>
      </c>
      <c r="R747">
        <v>0.02</v>
      </c>
      <c r="S747">
        <v>7.0000000000000007E-2</v>
      </c>
      <c r="T747">
        <v>21.4</v>
      </c>
      <c r="U747">
        <v>12.48</v>
      </c>
      <c r="V747">
        <v>0</v>
      </c>
      <c r="W747">
        <v>0</v>
      </c>
      <c r="X747">
        <v>37039.647507000001</v>
      </c>
      <c r="Y747">
        <v>27274968.099199999</v>
      </c>
    </row>
    <row r="748" spans="1:25" x14ac:dyDescent="0.55000000000000004">
      <c r="A748">
        <v>746</v>
      </c>
      <c r="B748" t="s">
        <v>20</v>
      </c>
      <c r="C748">
        <v>51</v>
      </c>
      <c r="D748">
        <v>3</v>
      </c>
      <c r="E748" t="s">
        <v>119</v>
      </c>
      <c r="F748" t="s">
        <v>120</v>
      </c>
      <c r="G748">
        <v>25</v>
      </c>
      <c r="H748">
        <v>2</v>
      </c>
      <c r="I748">
        <v>25030000</v>
      </c>
      <c r="J748">
        <v>1150</v>
      </c>
      <c r="K748">
        <v>0</v>
      </c>
      <c r="L748">
        <v>14951</v>
      </c>
      <c r="M748">
        <v>14.172943</v>
      </c>
      <c r="N748">
        <v>101.93751</v>
      </c>
      <c r="O748">
        <v>0.93</v>
      </c>
      <c r="P748">
        <v>13.62</v>
      </c>
      <c r="Q748">
        <v>0.72</v>
      </c>
      <c r="R748">
        <v>0.16</v>
      </c>
      <c r="S748">
        <v>4.78</v>
      </c>
      <c r="T748">
        <v>32.209999000000003</v>
      </c>
      <c r="U748">
        <v>10.37</v>
      </c>
      <c r="V748">
        <v>2.2999999999999998</v>
      </c>
      <c r="W748">
        <v>0</v>
      </c>
      <c r="X748">
        <v>35814.382210999996</v>
      </c>
      <c r="Y748">
        <v>80166067.905599996</v>
      </c>
    </row>
    <row r="749" spans="1:25" x14ac:dyDescent="0.55000000000000004">
      <c r="A749">
        <v>747</v>
      </c>
      <c r="B749" t="s">
        <v>20</v>
      </c>
      <c r="C749">
        <v>51</v>
      </c>
      <c r="D749">
        <v>3</v>
      </c>
      <c r="E749" t="s">
        <v>119</v>
      </c>
      <c r="F749" t="s">
        <v>120</v>
      </c>
      <c r="G749">
        <v>25</v>
      </c>
      <c r="H749">
        <v>2</v>
      </c>
      <c r="I749">
        <v>25030000</v>
      </c>
      <c r="J749">
        <v>1151</v>
      </c>
      <c r="K749">
        <v>0</v>
      </c>
      <c r="L749">
        <v>14950</v>
      </c>
      <c r="M749">
        <v>14.172943</v>
      </c>
      <c r="N749">
        <v>101.85438000000001</v>
      </c>
      <c r="O749">
        <v>0</v>
      </c>
      <c r="P749">
        <v>0.28999999999999998</v>
      </c>
      <c r="Q749">
        <v>0.1</v>
      </c>
      <c r="R749">
        <v>0.15</v>
      </c>
      <c r="S749">
        <v>0.02</v>
      </c>
      <c r="T749">
        <v>35.560001</v>
      </c>
      <c r="U749">
        <v>3.3</v>
      </c>
      <c r="V749">
        <v>0</v>
      </c>
      <c r="W749">
        <v>0</v>
      </c>
      <c r="X749">
        <v>35812.436019000001</v>
      </c>
      <c r="Y749">
        <v>80157347.873899996</v>
      </c>
    </row>
    <row r="750" spans="1:25" x14ac:dyDescent="0.55000000000000004">
      <c r="A750">
        <v>748</v>
      </c>
      <c r="B750" t="s">
        <v>20</v>
      </c>
      <c r="C750">
        <v>51</v>
      </c>
      <c r="D750">
        <v>3</v>
      </c>
      <c r="E750" t="s">
        <v>119</v>
      </c>
      <c r="F750" t="s">
        <v>120</v>
      </c>
      <c r="G750">
        <v>25</v>
      </c>
      <c r="H750">
        <v>2</v>
      </c>
      <c r="I750">
        <v>25030000</v>
      </c>
      <c r="J750">
        <v>1152</v>
      </c>
      <c r="K750">
        <v>0</v>
      </c>
      <c r="L750">
        <v>14831</v>
      </c>
      <c r="M750">
        <v>14.092331</v>
      </c>
      <c r="N750">
        <v>101.93751</v>
      </c>
      <c r="O750">
        <v>0</v>
      </c>
      <c r="P750">
        <v>0.34</v>
      </c>
      <c r="Q750">
        <v>0.14000000000000001</v>
      </c>
      <c r="R750">
        <v>0.01</v>
      </c>
      <c r="S750">
        <v>0.06</v>
      </c>
      <c r="T750">
        <v>31.32</v>
      </c>
      <c r="U750">
        <v>5.0999999999999996</v>
      </c>
      <c r="V750">
        <v>0</v>
      </c>
      <c r="W750">
        <v>0</v>
      </c>
      <c r="X750">
        <v>36559.412028999999</v>
      </c>
      <c r="Y750">
        <v>77943403.766900003</v>
      </c>
    </row>
    <row r="751" spans="1:25" x14ac:dyDescent="0.55000000000000004">
      <c r="A751">
        <v>749</v>
      </c>
      <c r="B751" t="s">
        <v>20</v>
      </c>
      <c r="C751">
        <v>51</v>
      </c>
      <c r="D751">
        <v>3</v>
      </c>
      <c r="E751" t="s">
        <v>119</v>
      </c>
      <c r="F751" t="s">
        <v>120</v>
      </c>
      <c r="G751">
        <v>25</v>
      </c>
      <c r="H751">
        <v>2</v>
      </c>
      <c r="I751">
        <v>25030000</v>
      </c>
      <c r="J751">
        <v>1153</v>
      </c>
      <c r="K751">
        <v>0</v>
      </c>
      <c r="L751">
        <v>15071</v>
      </c>
      <c r="M751">
        <v>14.253532</v>
      </c>
      <c r="N751">
        <v>101.93751</v>
      </c>
      <c r="O751">
        <v>1.58</v>
      </c>
      <c r="P751">
        <v>1.01</v>
      </c>
      <c r="Q751">
        <v>0.17</v>
      </c>
      <c r="R751">
        <v>7.0000000000000007E-2</v>
      </c>
      <c r="S751">
        <v>0.09</v>
      </c>
      <c r="T751">
        <v>81.739998</v>
      </c>
      <c r="U751">
        <v>0.86</v>
      </c>
      <c r="V751">
        <v>0</v>
      </c>
      <c r="W751">
        <v>0</v>
      </c>
      <c r="X751">
        <v>36472.371987999999</v>
      </c>
      <c r="Y751">
        <v>53736769.327399999</v>
      </c>
    </row>
    <row r="752" spans="1:25" x14ac:dyDescent="0.55000000000000004">
      <c r="A752">
        <v>750</v>
      </c>
      <c r="B752" t="s">
        <v>20</v>
      </c>
      <c r="C752">
        <v>51</v>
      </c>
      <c r="D752">
        <v>3</v>
      </c>
      <c r="E752" t="s">
        <v>119</v>
      </c>
      <c r="F752" t="s">
        <v>120</v>
      </c>
      <c r="G752">
        <v>25</v>
      </c>
      <c r="H752">
        <v>2</v>
      </c>
      <c r="I752">
        <v>25030000</v>
      </c>
      <c r="J752">
        <v>1154</v>
      </c>
      <c r="K752">
        <v>0</v>
      </c>
      <c r="L752">
        <v>15070</v>
      </c>
      <c r="M752">
        <v>14.253532</v>
      </c>
      <c r="N752">
        <v>101.85438000000001</v>
      </c>
      <c r="O752">
        <v>7.0000000000000007E-2</v>
      </c>
      <c r="P752">
        <v>0.04</v>
      </c>
      <c r="Q752">
        <v>0</v>
      </c>
      <c r="R752">
        <v>0.24</v>
      </c>
      <c r="S752">
        <v>0.03</v>
      </c>
      <c r="T752">
        <v>30.59</v>
      </c>
      <c r="U752">
        <v>10.19</v>
      </c>
      <c r="V752">
        <v>0</v>
      </c>
      <c r="W752">
        <v>0</v>
      </c>
      <c r="X752">
        <v>35801.185058000003</v>
      </c>
      <c r="Y752">
        <v>80107011.393700004</v>
      </c>
    </row>
    <row r="753" spans="1:25" x14ac:dyDescent="0.55000000000000004">
      <c r="A753">
        <v>751</v>
      </c>
      <c r="B753" t="s">
        <v>20</v>
      </c>
      <c r="C753">
        <v>51</v>
      </c>
      <c r="D753">
        <v>3</v>
      </c>
      <c r="E753" t="s">
        <v>119</v>
      </c>
      <c r="F753" t="s">
        <v>120</v>
      </c>
      <c r="G753">
        <v>25</v>
      </c>
      <c r="H753">
        <v>2</v>
      </c>
      <c r="I753">
        <v>25030000</v>
      </c>
      <c r="J753">
        <v>1156</v>
      </c>
      <c r="K753">
        <v>0</v>
      </c>
      <c r="L753">
        <v>15191</v>
      </c>
      <c r="M753">
        <v>14.334099</v>
      </c>
      <c r="N753">
        <v>101.93751</v>
      </c>
      <c r="O753">
        <v>1.59</v>
      </c>
      <c r="P753">
        <v>0.47</v>
      </c>
      <c r="Q753">
        <v>0.16</v>
      </c>
      <c r="R753">
        <v>0.6</v>
      </c>
      <c r="S753">
        <v>0.28999999999999998</v>
      </c>
      <c r="T753">
        <v>4.37</v>
      </c>
      <c r="U753">
        <v>0.15</v>
      </c>
      <c r="V753">
        <v>0</v>
      </c>
      <c r="W753">
        <v>0</v>
      </c>
      <c r="X753">
        <v>17240.190267999998</v>
      </c>
      <c r="Y753">
        <v>16882023.9243</v>
      </c>
    </row>
    <row r="754" spans="1:25" x14ac:dyDescent="0.55000000000000004">
      <c r="A754">
        <v>752</v>
      </c>
      <c r="B754" t="s">
        <v>20</v>
      </c>
      <c r="C754">
        <v>51</v>
      </c>
      <c r="D754">
        <v>3</v>
      </c>
      <c r="E754" t="s">
        <v>119</v>
      </c>
      <c r="F754" t="s">
        <v>120</v>
      </c>
      <c r="G754">
        <v>25</v>
      </c>
      <c r="H754">
        <v>2</v>
      </c>
      <c r="I754">
        <v>25030000</v>
      </c>
      <c r="J754">
        <v>1157</v>
      </c>
      <c r="K754">
        <v>0</v>
      </c>
      <c r="L754">
        <v>15190</v>
      </c>
      <c r="M754">
        <v>14.334099</v>
      </c>
      <c r="N754">
        <v>101.85438000000001</v>
      </c>
      <c r="O754">
        <v>0.28000000000000003</v>
      </c>
      <c r="P754">
        <v>0.01</v>
      </c>
      <c r="Q754">
        <v>0.08</v>
      </c>
      <c r="R754">
        <v>0.36</v>
      </c>
      <c r="S754">
        <v>0.11</v>
      </c>
      <c r="T754">
        <v>2.27</v>
      </c>
      <c r="U754">
        <v>4.2</v>
      </c>
      <c r="V754">
        <v>0</v>
      </c>
      <c r="W754">
        <v>0</v>
      </c>
      <c r="X754">
        <v>33521.043189999997</v>
      </c>
      <c r="Y754">
        <v>47600093.236900002</v>
      </c>
    </row>
    <row r="755" spans="1:25" x14ac:dyDescent="0.55000000000000004">
      <c r="A755">
        <v>753</v>
      </c>
      <c r="B755" t="s">
        <v>20</v>
      </c>
      <c r="C755">
        <v>51</v>
      </c>
      <c r="D755">
        <v>3</v>
      </c>
      <c r="E755" t="s">
        <v>119</v>
      </c>
      <c r="F755" t="s">
        <v>120</v>
      </c>
      <c r="G755">
        <v>25</v>
      </c>
      <c r="H755">
        <v>2</v>
      </c>
      <c r="I755">
        <v>25030000</v>
      </c>
      <c r="J755">
        <v>1158</v>
      </c>
      <c r="K755">
        <v>0</v>
      </c>
      <c r="L755">
        <v>14712</v>
      </c>
      <c r="M755">
        <v>14.011680999999999</v>
      </c>
      <c r="N755">
        <v>102.020645</v>
      </c>
      <c r="O755">
        <v>0</v>
      </c>
      <c r="P755">
        <v>0</v>
      </c>
      <c r="Q755">
        <v>7.0000000000000007E-2</v>
      </c>
      <c r="R755">
        <v>0.01</v>
      </c>
      <c r="S755">
        <v>0.25</v>
      </c>
      <c r="T755">
        <v>23.93</v>
      </c>
      <c r="U755">
        <v>15.74</v>
      </c>
      <c r="V755">
        <v>0</v>
      </c>
      <c r="W755">
        <v>0</v>
      </c>
      <c r="X755">
        <v>22492.031197</v>
      </c>
      <c r="Y755">
        <v>18504040.3741</v>
      </c>
    </row>
    <row r="756" spans="1:25" x14ac:dyDescent="0.55000000000000004">
      <c r="A756">
        <v>754</v>
      </c>
      <c r="B756" t="s">
        <v>20</v>
      </c>
      <c r="C756">
        <v>51</v>
      </c>
      <c r="D756">
        <v>3</v>
      </c>
      <c r="E756" t="s">
        <v>119</v>
      </c>
      <c r="F756" t="s">
        <v>120</v>
      </c>
      <c r="G756">
        <v>25</v>
      </c>
      <c r="H756">
        <v>2</v>
      </c>
      <c r="I756">
        <v>25030000</v>
      </c>
      <c r="J756">
        <v>1159</v>
      </c>
      <c r="K756">
        <v>0</v>
      </c>
      <c r="L756">
        <v>14832</v>
      </c>
      <c r="M756">
        <v>14.092331</v>
      </c>
      <c r="N756">
        <v>102.020645</v>
      </c>
      <c r="O756">
        <v>0</v>
      </c>
      <c r="P756">
        <v>0.01</v>
      </c>
      <c r="Q756">
        <v>0.31</v>
      </c>
      <c r="R756">
        <v>0.03</v>
      </c>
      <c r="S756">
        <v>0.18</v>
      </c>
      <c r="T756">
        <v>58.450001</v>
      </c>
      <c r="U756">
        <v>8.7100000000000009</v>
      </c>
      <c r="V756">
        <v>0</v>
      </c>
      <c r="W756">
        <v>0</v>
      </c>
      <c r="X756">
        <v>35830.475627</v>
      </c>
      <c r="Y756">
        <v>80238127.688800007</v>
      </c>
    </row>
    <row r="757" spans="1:25" x14ac:dyDescent="0.55000000000000004">
      <c r="A757">
        <v>755</v>
      </c>
      <c r="B757" t="s">
        <v>20</v>
      </c>
      <c r="C757">
        <v>51</v>
      </c>
      <c r="D757">
        <v>3</v>
      </c>
      <c r="E757" t="s">
        <v>119</v>
      </c>
      <c r="F757" t="s">
        <v>120</v>
      </c>
      <c r="G757">
        <v>25</v>
      </c>
      <c r="H757">
        <v>2</v>
      </c>
      <c r="I757">
        <v>25030000</v>
      </c>
      <c r="J757">
        <v>1160</v>
      </c>
      <c r="K757">
        <v>0</v>
      </c>
      <c r="L757">
        <v>14713</v>
      </c>
      <c r="M757">
        <v>14.011680999999999</v>
      </c>
      <c r="N757">
        <v>102.10378</v>
      </c>
      <c r="O757">
        <v>0</v>
      </c>
      <c r="P757">
        <v>2.09</v>
      </c>
      <c r="Q757">
        <v>0.14000000000000001</v>
      </c>
      <c r="R757">
        <v>0.09</v>
      </c>
      <c r="S757">
        <v>1.43</v>
      </c>
      <c r="T757">
        <v>18.68</v>
      </c>
      <c r="U757">
        <v>3.11</v>
      </c>
      <c r="V757">
        <v>0.22</v>
      </c>
      <c r="W757">
        <v>0</v>
      </c>
      <c r="X757">
        <v>7369.5205779999997</v>
      </c>
      <c r="Y757">
        <v>3077265.5301700002</v>
      </c>
    </row>
    <row r="758" spans="1:25" x14ac:dyDescent="0.55000000000000004">
      <c r="A758">
        <v>756</v>
      </c>
      <c r="B758" t="s">
        <v>20</v>
      </c>
      <c r="C758">
        <v>51</v>
      </c>
      <c r="D758">
        <v>3</v>
      </c>
      <c r="E758" t="s">
        <v>119</v>
      </c>
      <c r="F758" t="s">
        <v>120</v>
      </c>
      <c r="G758">
        <v>25</v>
      </c>
      <c r="H758">
        <v>2</v>
      </c>
      <c r="I758">
        <v>25030000</v>
      </c>
      <c r="J758">
        <v>1162</v>
      </c>
      <c r="K758">
        <v>0</v>
      </c>
      <c r="L758">
        <v>14833</v>
      </c>
      <c r="M758">
        <v>14.092331</v>
      </c>
      <c r="N758">
        <v>102.10378</v>
      </c>
      <c r="O758">
        <v>0.03</v>
      </c>
      <c r="P758">
        <v>0.26</v>
      </c>
      <c r="Q758">
        <v>0.26</v>
      </c>
      <c r="R758">
        <v>0.06</v>
      </c>
      <c r="S758">
        <v>0.01</v>
      </c>
      <c r="T758">
        <v>98.800003000000004</v>
      </c>
      <c r="U758">
        <v>4.71</v>
      </c>
      <c r="V758">
        <v>0</v>
      </c>
      <c r="W758">
        <v>0</v>
      </c>
      <c r="X758">
        <v>24671.151083000001</v>
      </c>
      <c r="Y758">
        <v>28339899.436299998</v>
      </c>
    </row>
    <row r="759" spans="1:25" x14ac:dyDescent="0.55000000000000004">
      <c r="A759">
        <v>757</v>
      </c>
      <c r="B759" t="s">
        <v>20</v>
      </c>
      <c r="C759">
        <v>51</v>
      </c>
      <c r="D759">
        <v>3</v>
      </c>
      <c r="E759" t="s">
        <v>119</v>
      </c>
      <c r="F759" t="s">
        <v>120</v>
      </c>
      <c r="G759">
        <v>25</v>
      </c>
      <c r="H759">
        <v>2</v>
      </c>
      <c r="I759">
        <v>25030000</v>
      </c>
      <c r="J759">
        <v>1164</v>
      </c>
      <c r="K759">
        <v>0</v>
      </c>
      <c r="L759">
        <v>15072</v>
      </c>
      <c r="M759">
        <v>14.253532</v>
      </c>
      <c r="N759">
        <v>102.020645</v>
      </c>
      <c r="O759">
        <v>3.97</v>
      </c>
      <c r="P759">
        <v>0.34</v>
      </c>
      <c r="Q759">
        <v>0.72</v>
      </c>
      <c r="R759">
        <v>0.08</v>
      </c>
      <c r="S759">
        <v>0.02</v>
      </c>
      <c r="T759">
        <v>12.05</v>
      </c>
      <c r="U759">
        <v>0.17</v>
      </c>
      <c r="V759">
        <v>0</v>
      </c>
      <c r="W759">
        <v>0</v>
      </c>
      <c r="X759">
        <v>5969.1857229999996</v>
      </c>
      <c r="Y759">
        <v>1026981.73395</v>
      </c>
    </row>
    <row r="760" spans="1:25" x14ac:dyDescent="0.55000000000000004">
      <c r="A760">
        <v>758</v>
      </c>
      <c r="B760" t="s">
        <v>20</v>
      </c>
      <c r="C760">
        <v>51</v>
      </c>
      <c r="D760">
        <v>3</v>
      </c>
      <c r="E760" t="s">
        <v>119</v>
      </c>
      <c r="F760" t="s">
        <v>120</v>
      </c>
      <c r="G760">
        <v>25</v>
      </c>
      <c r="H760">
        <v>2</v>
      </c>
      <c r="I760">
        <v>25030000</v>
      </c>
      <c r="J760">
        <v>1165</v>
      </c>
      <c r="K760">
        <v>0</v>
      </c>
      <c r="L760">
        <v>14952</v>
      </c>
      <c r="M760">
        <v>14.172943</v>
      </c>
      <c r="N760">
        <v>102.020645</v>
      </c>
      <c r="O760">
        <v>1.63</v>
      </c>
      <c r="P760">
        <v>0.47</v>
      </c>
      <c r="Q760">
        <v>0.25</v>
      </c>
      <c r="R760">
        <v>0.37</v>
      </c>
      <c r="S760">
        <v>0.28000000000000003</v>
      </c>
      <c r="T760">
        <v>11.82</v>
      </c>
      <c r="U760">
        <v>2.37</v>
      </c>
      <c r="V760">
        <v>0</v>
      </c>
      <c r="W760">
        <v>0</v>
      </c>
      <c r="X760">
        <v>33014.456232999997</v>
      </c>
      <c r="Y760">
        <v>65788972.498400003</v>
      </c>
    </row>
    <row r="761" spans="1:25" x14ac:dyDescent="0.55000000000000004">
      <c r="A761">
        <v>759</v>
      </c>
      <c r="B761" t="s">
        <v>20</v>
      </c>
      <c r="C761">
        <v>51</v>
      </c>
      <c r="D761">
        <v>3</v>
      </c>
      <c r="E761" t="s">
        <v>119</v>
      </c>
      <c r="F761" t="s">
        <v>120</v>
      </c>
      <c r="G761">
        <v>25</v>
      </c>
      <c r="H761">
        <v>2</v>
      </c>
      <c r="I761">
        <v>25030000</v>
      </c>
      <c r="J761">
        <v>1166</v>
      </c>
      <c r="K761">
        <v>0</v>
      </c>
      <c r="L761">
        <v>14953</v>
      </c>
      <c r="M761">
        <v>14.172943</v>
      </c>
      <c r="N761">
        <v>102.10378</v>
      </c>
      <c r="O761">
        <v>2.9</v>
      </c>
      <c r="P761">
        <v>1.3</v>
      </c>
      <c r="Q761">
        <v>0.09</v>
      </c>
      <c r="R761">
        <v>0.43</v>
      </c>
      <c r="S761">
        <v>0.09</v>
      </c>
      <c r="T761">
        <v>8.2899999999999991</v>
      </c>
      <c r="U761">
        <v>1.1599999999999999</v>
      </c>
      <c r="V761">
        <v>0.01</v>
      </c>
      <c r="W761">
        <v>0.03</v>
      </c>
      <c r="X761">
        <v>16429.692321999999</v>
      </c>
      <c r="Y761">
        <v>14518189.149</v>
      </c>
    </row>
    <row r="762" spans="1:25" x14ac:dyDescent="0.55000000000000004">
      <c r="A762">
        <v>760</v>
      </c>
      <c r="B762" t="s">
        <v>20</v>
      </c>
      <c r="C762">
        <v>51</v>
      </c>
      <c r="D762">
        <v>3</v>
      </c>
      <c r="E762" t="s">
        <v>119</v>
      </c>
      <c r="F762" t="s">
        <v>120</v>
      </c>
      <c r="G762">
        <v>25</v>
      </c>
      <c r="H762">
        <v>2</v>
      </c>
      <c r="I762">
        <v>25030000</v>
      </c>
      <c r="J762">
        <v>1169</v>
      </c>
      <c r="K762">
        <v>0</v>
      </c>
      <c r="L762">
        <v>14710</v>
      </c>
      <c r="M762">
        <v>14.011680999999999</v>
      </c>
      <c r="N762">
        <v>101.85438000000001</v>
      </c>
      <c r="O762">
        <v>0</v>
      </c>
      <c r="P762">
        <v>0.04</v>
      </c>
      <c r="Q762">
        <v>0.1</v>
      </c>
      <c r="R762">
        <v>0.02</v>
      </c>
      <c r="S762">
        <v>0.14000000000000001</v>
      </c>
      <c r="T762">
        <v>13.02</v>
      </c>
      <c r="U762">
        <v>6.01</v>
      </c>
      <c r="V762">
        <v>0.04</v>
      </c>
      <c r="W762">
        <v>0</v>
      </c>
      <c r="X762">
        <v>15837.036977</v>
      </c>
      <c r="Y762">
        <v>5178353.7215499999</v>
      </c>
    </row>
    <row r="763" spans="1:25" x14ac:dyDescent="0.55000000000000004">
      <c r="A763">
        <v>761</v>
      </c>
      <c r="B763" t="s">
        <v>20</v>
      </c>
      <c r="C763">
        <v>52</v>
      </c>
      <c r="D763">
        <v>6</v>
      </c>
      <c r="E763" t="s">
        <v>121</v>
      </c>
      <c r="F763" t="s">
        <v>122</v>
      </c>
      <c r="G763">
        <v>25</v>
      </c>
      <c r="H763">
        <v>2</v>
      </c>
      <c r="I763">
        <v>25060000</v>
      </c>
      <c r="J763">
        <v>732</v>
      </c>
      <c r="K763">
        <v>0</v>
      </c>
      <c r="L763">
        <v>14461</v>
      </c>
      <c r="M763">
        <v>13.850304</v>
      </c>
      <c r="N763">
        <v>101.10615</v>
      </c>
      <c r="O763">
        <v>39.360000999999997</v>
      </c>
      <c r="P763">
        <v>0.01</v>
      </c>
      <c r="Q763">
        <v>9.23</v>
      </c>
      <c r="R763">
        <v>0.04</v>
      </c>
      <c r="S763">
        <v>0</v>
      </c>
      <c r="T763">
        <v>11.64</v>
      </c>
      <c r="U763">
        <v>7.03</v>
      </c>
      <c r="V763">
        <v>0</v>
      </c>
      <c r="W763">
        <v>0</v>
      </c>
      <c r="X763">
        <v>5364.086147</v>
      </c>
      <c r="Y763">
        <v>1270853.5446299999</v>
      </c>
    </row>
    <row r="764" spans="1:25" x14ac:dyDescent="0.55000000000000004">
      <c r="A764">
        <v>762</v>
      </c>
      <c r="B764" t="s">
        <v>20</v>
      </c>
      <c r="C764">
        <v>52</v>
      </c>
      <c r="D764">
        <v>6</v>
      </c>
      <c r="E764" t="s">
        <v>121</v>
      </c>
      <c r="F764" t="s">
        <v>122</v>
      </c>
      <c r="G764">
        <v>25</v>
      </c>
      <c r="H764">
        <v>2</v>
      </c>
      <c r="I764">
        <v>25060000</v>
      </c>
      <c r="J764">
        <v>782</v>
      </c>
      <c r="K764">
        <v>0</v>
      </c>
      <c r="L764">
        <v>14463</v>
      </c>
      <c r="M764">
        <v>13.850304</v>
      </c>
      <c r="N764">
        <v>101.27242</v>
      </c>
      <c r="O764">
        <v>22.059999000000001</v>
      </c>
      <c r="P764">
        <v>7.43</v>
      </c>
      <c r="Q764">
        <v>11.1</v>
      </c>
      <c r="R764">
        <v>0.03</v>
      </c>
      <c r="S764">
        <v>0.18</v>
      </c>
      <c r="T764">
        <v>9.36</v>
      </c>
      <c r="U764">
        <v>41.029998999999997</v>
      </c>
      <c r="V764">
        <v>0</v>
      </c>
      <c r="W764">
        <v>0</v>
      </c>
      <c r="X764">
        <v>23334.726729000002</v>
      </c>
      <c r="Y764">
        <v>15968274.1447</v>
      </c>
    </row>
    <row r="765" spans="1:25" x14ac:dyDescent="0.55000000000000004">
      <c r="A765">
        <v>763</v>
      </c>
      <c r="B765" t="s">
        <v>20</v>
      </c>
      <c r="C765">
        <v>52</v>
      </c>
      <c r="D765">
        <v>6</v>
      </c>
      <c r="E765" t="s">
        <v>121</v>
      </c>
      <c r="F765" t="s">
        <v>122</v>
      </c>
      <c r="G765">
        <v>25</v>
      </c>
      <c r="H765">
        <v>2</v>
      </c>
      <c r="I765">
        <v>25060000</v>
      </c>
      <c r="J765">
        <v>783</v>
      </c>
      <c r="K765">
        <v>0</v>
      </c>
      <c r="L765">
        <v>14462</v>
      </c>
      <c r="M765">
        <v>13.850304</v>
      </c>
      <c r="N765">
        <v>101.189285</v>
      </c>
      <c r="O765">
        <v>26.26</v>
      </c>
      <c r="P765">
        <v>0.56999999999999995</v>
      </c>
      <c r="Q765">
        <v>8.17</v>
      </c>
      <c r="R765">
        <v>0.02</v>
      </c>
      <c r="S765">
        <v>0.4</v>
      </c>
      <c r="T765">
        <v>30.01</v>
      </c>
      <c r="U765">
        <v>27.219999000000001</v>
      </c>
      <c r="V765">
        <v>0</v>
      </c>
      <c r="W765">
        <v>0</v>
      </c>
      <c r="X765">
        <v>29527.755138</v>
      </c>
      <c r="Y765">
        <v>20094066.867699999</v>
      </c>
    </row>
    <row r="766" spans="1:25" x14ac:dyDescent="0.55000000000000004">
      <c r="A766">
        <v>764</v>
      </c>
      <c r="B766" t="s">
        <v>20</v>
      </c>
      <c r="C766">
        <v>52</v>
      </c>
      <c r="D766">
        <v>6</v>
      </c>
      <c r="E766" t="s">
        <v>121</v>
      </c>
      <c r="F766" t="s">
        <v>122</v>
      </c>
      <c r="G766">
        <v>25</v>
      </c>
      <c r="H766">
        <v>2</v>
      </c>
      <c r="I766">
        <v>25060000</v>
      </c>
      <c r="J766">
        <v>795</v>
      </c>
      <c r="K766">
        <v>0</v>
      </c>
      <c r="L766">
        <v>14464</v>
      </c>
      <c r="M766">
        <v>13.850304</v>
      </c>
      <c r="N766">
        <v>101.35556</v>
      </c>
      <c r="O766">
        <v>3.7</v>
      </c>
      <c r="P766">
        <v>11.42</v>
      </c>
      <c r="Q766">
        <v>13.26</v>
      </c>
      <c r="R766">
        <v>0.02</v>
      </c>
      <c r="S766">
        <v>0.1</v>
      </c>
      <c r="T766">
        <v>8.7200000000000006</v>
      </c>
      <c r="U766">
        <v>10.66</v>
      </c>
      <c r="V766">
        <v>0.02</v>
      </c>
      <c r="W766">
        <v>0.01</v>
      </c>
      <c r="X766">
        <v>21847.965678</v>
      </c>
      <c r="Y766">
        <v>17785011.351300001</v>
      </c>
    </row>
    <row r="767" spans="1:25" x14ac:dyDescent="0.55000000000000004">
      <c r="A767">
        <v>765</v>
      </c>
      <c r="B767" t="s">
        <v>20</v>
      </c>
      <c r="C767">
        <v>52</v>
      </c>
      <c r="D767">
        <v>6</v>
      </c>
      <c r="E767" t="s">
        <v>121</v>
      </c>
      <c r="F767" t="s">
        <v>122</v>
      </c>
      <c r="G767">
        <v>25</v>
      </c>
      <c r="H767">
        <v>2</v>
      </c>
      <c r="I767">
        <v>25060000</v>
      </c>
      <c r="J767">
        <v>844</v>
      </c>
      <c r="K767">
        <v>0</v>
      </c>
      <c r="L767">
        <v>14581</v>
      </c>
      <c r="M767">
        <v>13.931006999999999</v>
      </c>
      <c r="N767">
        <v>101.10615</v>
      </c>
      <c r="O767">
        <v>2.35</v>
      </c>
      <c r="P767">
        <v>0.08</v>
      </c>
      <c r="Q767">
        <v>32.509998000000003</v>
      </c>
      <c r="R767">
        <v>1.54</v>
      </c>
      <c r="S767">
        <v>0</v>
      </c>
      <c r="T767">
        <v>11.13</v>
      </c>
      <c r="U767">
        <v>2.62</v>
      </c>
      <c r="V767">
        <v>0</v>
      </c>
      <c r="W767">
        <v>0</v>
      </c>
      <c r="X767">
        <v>5337.5374519999996</v>
      </c>
      <c r="Y767">
        <v>1052546.1753700001</v>
      </c>
    </row>
    <row r="768" spans="1:25" x14ac:dyDescent="0.55000000000000004">
      <c r="A768">
        <v>766</v>
      </c>
      <c r="B768" t="s">
        <v>20</v>
      </c>
      <c r="C768">
        <v>52</v>
      </c>
      <c r="D768">
        <v>6</v>
      </c>
      <c r="E768" t="s">
        <v>121</v>
      </c>
      <c r="F768" t="s">
        <v>122</v>
      </c>
      <c r="G768">
        <v>25</v>
      </c>
      <c r="H768">
        <v>2</v>
      </c>
      <c r="I768">
        <v>25060000</v>
      </c>
      <c r="J768">
        <v>845</v>
      </c>
      <c r="K768">
        <v>0</v>
      </c>
      <c r="L768">
        <v>14701</v>
      </c>
      <c r="M768">
        <v>14.011680999999999</v>
      </c>
      <c r="N768">
        <v>101.10615</v>
      </c>
      <c r="O768">
        <v>0.08</v>
      </c>
      <c r="P768">
        <v>0.31</v>
      </c>
      <c r="Q768">
        <v>22.43</v>
      </c>
      <c r="R768">
        <v>2.87</v>
      </c>
      <c r="S768">
        <v>0</v>
      </c>
      <c r="T768">
        <v>11.88</v>
      </c>
      <c r="U768">
        <v>11.18</v>
      </c>
      <c r="V768">
        <v>0</v>
      </c>
      <c r="W768">
        <v>0</v>
      </c>
      <c r="X768">
        <v>8647.6737790000006</v>
      </c>
      <c r="Y768">
        <v>2375186.2518199999</v>
      </c>
    </row>
    <row r="769" spans="1:25" x14ac:dyDescent="0.55000000000000004">
      <c r="A769">
        <v>767</v>
      </c>
      <c r="B769" t="s">
        <v>20</v>
      </c>
      <c r="C769">
        <v>52</v>
      </c>
      <c r="D769">
        <v>6</v>
      </c>
      <c r="E769" t="s">
        <v>121</v>
      </c>
      <c r="F769" t="s">
        <v>122</v>
      </c>
      <c r="G769">
        <v>25</v>
      </c>
      <c r="H769">
        <v>2</v>
      </c>
      <c r="I769">
        <v>25060000</v>
      </c>
      <c r="J769">
        <v>846</v>
      </c>
      <c r="K769">
        <v>0</v>
      </c>
      <c r="L769">
        <v>14582</v>
      </c>
      <c r="M769">
        <v>13.931006999999999</v>
      </c>
      <c r="N769">
        <v>101.189285</v>
      </c>
      <c r="O769">
        <v>0.97</v>
      </c>
      <c r="P769">
        <v>0.31</v>
      </c>
      <c r="Q769">
        <v>25.959999</v>
      </c>
      <c r="R769">
        <v>2.39</v>
      </c>
      <c r="S769">
        <v>0.94</v>
      </c>
      <c r="T769">
        <v>7.26</v>
      </c>
      <c r="U769">
        <v>7.1</v>
      </c>
      <c r="V769">
        <v>0</v>
      </c>
      <c r="W769">
        <v>0</v>
      </c>
      <c r="X769">
        <v>39336.266401000001</v>
      </c>
      <c r="Y769">
        <v>75140559.998799995</v>
      </c>
    </row>
    <row r="770" spans="1:25" x14ac:dyDescent="0.55000000000000004">
      <c r="A770">
        <v>768</v>
      </c>
      <c r="B770" t="s">
        <v>20</v>
      </c>
      <c r="C770">
        <v>52</v>
      </c>
      <c r="D770">
        <v>6</v>
      </c>
      <c r="E770" t="s">
        <v>121</v>
      </c>
      <c r="F770" t="s">
        <v>122</v>
      </c>
      <c r="G770">
        <v>25</v>
      </c>
      <c r="H770">
        <v>2</v>
      </c>
      <c r="I770">
        <v>25060000</v>
      </c>
      <c r="J770">
        <v>851</v>
      </c>
      <c r="K770">
        <v>0</v>
      </c>
      <c r="L770">
        <v>14702</v>
      </c>
      <c r="M770">
        <v>14.011680999999999</v>
      </c>
      <c r="N770">
        <v>101.189285</v>
      </c>
      <c r="O770">
        <v>0.78</v>
      </c>
      <c r="P770">
        <v>0.43</v>
      </c>
      <c r="Q770">
        <v>39.43</v>
      </c>
      <c r="R770">
        <v>0.74</v>
      </c>
      <c r="S770">
        <v>0.24</v>
      </c>
      <c r="T770">
        <v>12.11</v>
      </c>
      <c r="U770">
        <v>11.77</v>
      </c>
      <c r="V770">
        <v>0</v>
      </c>
      <c r="W770">
        <v>0</v>
      </c>
      <c r="X770">
        <v>37672.424183000003</v>
      </c>
      <c r="Y770">
        <v>52594357.746299997</v>
      </c>
    </row>
    <row r="771" spans="1:25" x14ac:dyDescent="0.55000000000000004">
      <c r="A771">
        <v>769</v>
      </c>
      <c r="B771" t="s">
        <v>20</v>
      </c>
      <c r="C771">
        <v>52</v>
      </c>
      <c r="D771">
        <v>6</v>
      </c>
      <c r="E771" t="s">
        <v>121</v>
      </c>
      <c r="F771" t="s">
        <v>122</v>
      </c>
      <c r="G771">
        <v>25</v>
      </c>
      <c r="H771">
        <v>2</v>
      </c>
      <c r="I771">
        <v>25060000</v>
      </c>
      <c r="J771">
        <v>890</v>
      </c>
      <c r="K771">
        <v>0</v>
      </c>
      <c r="L771">
        <v>14823</v>
      </c>
      <c r="M771">
        <v>14.092331</v>
      </c>
      <c r="N771">
        <v>101.27242</v>
      </c>
      <c r="O771">
        <v>0.15</v>
      </c>
      <c r="P771">
        <v>0.09</v>
      </c>
      <c r="Q771">
        <v>2.81</v>
      </c>
      <c r="R771">
        <v>0.82</v>
      </c>
      <c r="S771">
        <v>3.92</v>
      </c>
      <c r="T771">
        <v>3.65</v>
      </c>
      <c r="U771">
        <v>62.110000999999997</v>
      </c>
      <c r="V771">
        <v>0</v>
      </c>
      <c r="W771">
        <v>0</v>
      </c>
      <c r="X771">
        <v>12885.726549000001</v>
      </c>
      <c r="Y771">
        <v>4766304.2488299999</v>
      </c>
    </row>
    <row r="772" spans="1:25" x14ac:dyDescent="0.55000000000000004">
      <c r="A772">
        <v>770</v>
      </c>
      <c r="B772" t="s">
        <v>20</v>
      </c>
      <c r="C772">
        <v>52</v>
      </c>
      <c r="D772">
        <v>6</v>
      </c>
      <c r="E772" t="s">
        <v>121</v>
      </c>
      <c r="F772" t="s">
        <v>122</v>
      </c>
      <c r="G772">
        <v>25</v>
      </c>
      <c r="H772">
        <v>2</v>
      </c>
      <c r="I772">
        <v>25060000</v>
      </c>
      <c r="J772">
        <v>891</v>
      </c>
      <c r="K772">
        <v>0</v>
      </c>
      <c r="L772">
        <v>14822</v>
      </c>
      <c r="M772">
        <v>14.092331</v>
      </c>
      <c r="N772">
        <v>101.189285</v>
      </c>
      <c r="O772">
        <v>2</v>
      </c>
      <c r="P772">
        <v>7.0000000000000007E-2</v>
      </c>
      <c r="Q772">
        <v>6.34</v>
      </c>
      <c r="R772">
        <v>1.91</v>
      </c>
      <c r="S772">
        <v>0.87</v>
      </c>
      <c r="T772">
        <v>2.95</v>
      </c>
      <c r="U772">
        <v>36.040000999999997</v>
      </c>
      <c r="V772">
        <v>0</v>
      </c>
      <c r="W772">
        <v>0</v>
      </c>
      <c r="X772">
        <v>5197.0214599999999</v>
      </c>
      <c r="Y772">
        <v>445778.94634899998</v>
      </c>
    </row>
    <row r="773" spans="1:25" x14ac:dyDescent="0.55000000000000004">
      <c r="A773">
        <v>771</v>
      </c>
      <c r="B773" t="s">
        <v>20</v>
      </c>
      <c r="C773">
        <v>52</v>
      </c>
      <c r="D773">
        <v>6</v>
      </c>
      <c r="E773" t="s">
        <v>121</v>
      </c>
      <c r="F773" t="s">
        <v>122</v>
      </c>
      <c r="G773">
        <v>25</v>
      </c>
      <c r="H773">
        <v>2</v>
      </c>
      <c r="I773">
        <v>25060000</v>
      </c>
      <c r="J773">
        <v>892</v>
      </c>
      <c r="K773">
        <v>0</v>
      </c>
      <c r="L773">
        <v>14703</v>
      </c>
      <c r="M773">
        <v>14.011680999999999</v>
      </c>
      <c r="N773">
        <v>101.27242</v>
      </c>
      <c r="O773">
        <v>0.03</v>
      </c>
      <c r="P773">
        <v>0.61</v>
      </c>
      <c r="Q773">
        <v>20.09</v>
      </c>
      <c r="R773">
        <v>0.46</v>
      </c>
      <c r="S773">
        <v>0.56000000000000005</v>
      </c>
      <c r="T773">
        <v>7.34</v>
      </c>
      <c r="U773">
        <v>7.2</v>
      </c>
      <c r="V773">
        <v>0</v>
      </c>
      <c r="W773">
        <v>0</v>
      </c>
      <c r="X773">
        <v>37193.626994999999</v>
      </c>
      <c r="Y773">
        <v>64164620.358499996</v>
      </c>
    </row>
    <row r="774" spans="1:25" x14ac:dyDescent="0.55000000000000004">
      <c r="A774">
        <v>772</v>
      </c>
      <c r="B774" t="s">
        <v>20</v>
      </c>
      <c r="C774">
        <v>52</v>
      </c>
      <c r="D774">
        <v>6</v>
      </c>
      <c r="E774" t="s">
        <v>121</v>
      </c>
      <c r="F774" t="s">
        <v>122</v>
      </c>
      <c r="G774">
        <v>25</v>
      </c>
      <c r="H774">
        <v>2</v>
      </c>
      <c r="I774">
        <v>25060000</v>
      </c>
      <c r="J774">
        <v>893</v>
      </c>
      <c r="K774">
        <v>0</v>
      </c>
      <c r="L774">
        <v>14584</v>
      </c>
      <c r="M774">
        <v>13.931006999999999</v>
      </c>
      <c r="N774">
        <v>101.35556</v>
      </c>
      <c r="O774">
        <v>4.92</v>
      </c>
      <c r="P774">
        <v>4.8600000000000003</v>
      </c>
      <c r="Q774">
        <v>0.84</v>
      </c>
      <c r="R774">
        <v>0.83</v>
      </c>
      <c r="S774">
        <v>18.790001</v>
      </c>
      <c r="T774">
        <v>6.35</v>
      </c>
      <c r="U774">
        <v>43.5</v>
      </c>
      <c r="V774">
        <v>0</v>
      </c>
      <c r="W774">
        <v>0</v>
      </c>
      <c r="X774">
        <v>29751.229760999999</v>
      </c>
      <c r="Y774">
        <v>35148785.247599997</v>
      </c>
    </row>
    <row r="775" spans="1:25" x14ac:dyDescent="0.55000000000000004">
      <c r="A775">
        <v>773</v>
      </c>
      <c r="B775" t="s">
        <v>20</v>
      </c>
      <c r="C775">
        <v>52</v>
      </c>
      <c r="D775">
        <v>6</v>
      </c>
      <c r="E775" t="s">
        <v>121</v>
      </c>
      <c r="F775" t="s">
        <v>122</v>
      </c>
      <c r="G775">
        <v>25</v>
      </c>
      <c r="H775">
        <v>2</v>
      </c>
      <c r="I775">
        <v>25060000</v>
      </c>
      <c r="J775">
        <v>896</v>
      </c>
      <c r="K775">
        <v>0</v>
      </c>
      <c r="L775">
        <v>14704</v>
      </c>
      <c r="M775">
        <v>14.011680999999999</v>
      </c>
      <c r="N775">
        <v>101.35556</v>
      </c>
      <c r="O775">
        <v>0.01</v>
      </c>
      <c r="P775">
        <v>1.04</v>
      </c>
      <c r="Q775">
        <v>2.44</v>
      </c>
      <c r="R775">
        <v>0.52</v>
      </c>
      <c r="S775">
        <v>5.01</v>
      </c>
      <c r="T775">
        <v>6</v>
      </c>
      <c r="U775">
        <v>33.369999</v>
      </c>
      <c r="V775">
        <v>0</v>
      </c>
      <c r="W775">
        <v>0</v>
      </c>
      <c r="X775">
        <v>9642.8156550000003</v>
      </c>
      <c r="Y775">
        <v>2356194.6875499999</v>
      </c>
    </row>
    <row r="776" spans="1:25" x14ac:dyDescent="0.55000000000000004">
      <c r="A776">
        <v>774</v>
      </c>
      <c r="B776" t="s">
        <v>20</v>
      </c>
      <c r="C776">
        <v>52</v>
      </c>
      <c r="D776">
        <v>6</v>
      </c>
      <c r="E776" t="s">
        <v>121</v>
      </c>
      <c r="F776" t="s">
        <v>122</v>
      </c>
      <c r="G776">
        <v>25</v>
      </c>
      <c r="H776">
        <v>2</v>
      </c>
      <c r="I776">
        <v>25060000</v>
      </c>
      <c r="J776">
        <v>909</v>
      </c>
      <c r="K776">
        <v>0</v>
      </c>
      <c r="L776">
        <v>14583</v>
      </c>
      <c r="M776">
        <v>13.931006999999999</v>
      </c>
      <c r="N776">
        <v>101.27242</v>
      </c>
      <c r="O776">
        <v>8.82</v>
      </c>
      <c r="P776">
        <v>0.37</v>
      </c>
      <c r="Q776">
        <v>1.72</v>
      </c>
      <c r="R776">
        <v>0.95</v>
      </c>
      <c r="S776">
        <v>2.46</v>
      </c>
      <c r="T776">
        <v>5.61</v>
      </c>
      <c r="U776">
        <v>27</v>
      </c>
      <c r="V776">
        <v>0</v>
      </c>
      <c r="W776">
        <v>0</v>
      </c>
      <c r="X776">
        <v>35835.622474000003</v>
      </c>
      <c r="Y776">
        <v>80261173.596000001</v>
      </c>
    </row>
    <row r="777" spans="1:25" x14ac:dyDescent="0.55000000000000004">
      <c r="A777">
        <v>775</v>
      </c>
      <c r="B777" t="s">
        <v>20</v>
      </c>
      <c r="C777">
        <v>53</v>
      </c>
      <c r="D777">
        <v>7</v>
      </c>
      <c r="E777" t="s">
        <v>123</v>
      </c>
      <c r="F777" t="s">
        <v>124</v>
      </c>
      <c r="G777">
        <v>25</v>
      </c>
      <c r="H777">
        <v>2</v>
      </c>
      <c r="I777">
        <v>25070000</v>
      </c>
      <c r="J777">
        <v>900</v>
      </c>
      <c r="K777">
        <v>0</v>
      </c>
      <c r="L777">
        <v>14825</v>
      </c>
      <c r="M777">
        <v>14.092331</v>
      </c>
      <c r="N777">
        <v>101.4387</v>
      </c>
      <c r="O777">
        <v>0.81</v>
      </c>
      <c r="P777">
        <v>0.26</v>
      </c>
      <c r="Q777">
        <v>0.03</v>
      </c>
      <c r="R777">
        <v>1.18</v>
      </c>
      <c r="S777">
        <v>1.3</v>
      </c>
      <c r="T777">
        <v>3.92</v>
      </c>
      <c r="U777">
        <v>12.12</v>
      </c>
      <c r="V777">
        <v>0</v>
      </c>
      <c r="W777">
        <v>0</v>
      </c>
      <c r="X777">
        <v>11608.114629</v>
      </c>
      <c r="Y777">
        <v>1365121.0661899999</v>
      </c>
    </row>
    <row r="778" spans="1:25" x14ac:dyDescent="0.55000000000000004">
      <c r="A778">
        <v>776</v>
      </c>
      <c r="B778" t="s">
        <v>20</v>
      </c>
      <c r="C778">
        <v>53</v>
      </c>
      <c r="D778">
        <v>7</v>
      </c>
      <c r="E778" t="s">
        <v>123</v>
      </c>
      <c r="F778" t="s">
        <v>124</v>
      </c>
      <c r="G778">
        <v>25</v>
      </c>
      <c r="H778">
        <v>2</v>
      </c>
      <c r="I778">
        <v>25070000</v>
      </c>
      <c r="J778">
        <v>902</v>
      </c>
      <c r="K778">
        <v>0</v>
      </c>
      <c r="L778">
        <v>14705</v>
      </c>
      <c r="M778">
        <v>14.011680999999999</v>
      </c>
      <c r="N778">
        <v>101.4387</v>
      </c>
      <c r="O778">
        <v>1.57</v>
      </c>
      <c r="P778">
        <v>2.44</v>
      </c>
      <c r="Q778">
        <v>0.3</v>
      </c>
      <c r="R778">
        <v>0.82</v>
      </c>
      <c r="S778">
        <v>4.45</v>
      </c>
      <c r="T778">
        <v>3.15</v>
      </c>
      <c r="U778">
        <v>32.619999</v>
      </c>
      <c r="V778">
        <v>0</v>
      </c>
      <c r="W778">
        <v>0</v>
      </c>
      <c r="X778">
        <v>18967.107464000001</v>
      </c>
      <c r="Y778">
        <v>12367740.412799999</v>
      </c>
    </row>
    <row r="779" spans="1:25" x14ac:dyDescent="0.55000000000000004">
      <c r="A779">
        <v>777</v>
      </c>
      <c r="B779" t="s">
        <v>20</v>
      </c>
      <c r="C779">
        <v>53</v>
      </c>
      <c r="D779">
        <v>7</v>
      </c>
      <c r="E779" t="s">
        <v>123</v>
      </c>
      <c r="F779" t="s">
        <v>124</v>
      </c>
      <c r="G779">
        <v>25</v>
      </c>
      <c r="H779">
        <v>2</v>
      </c>
      <c r="I779">
        <v>25070000</v>
      </c>
      <c r="J779">
        <v>904</v>
      </c>
      <c r="K779">
        <v>0</v>
      </c>
      <c r="L779">
        <v>14945</v>
      </c>
      <c r="M779">
        <v>14.172943</v>
      </c>
      <c r="N779">
        <v>101.4387</v>
      </c>
      <c r="O779">
        <v>25.809999000000001</v>
      </c>
      <c r="P779">
        <v>1.81</v>
      </c>
      <c r="Q779">
        <v>0.68</v>
      </c>
      <c r="R779">
        <v>0.28999999999999998</v>
      </c>
      <c r="S779">
        <v>0.61</v>
      </c>
      <c r="T779">
        <v>36.979999999999997</v>
      </c>
      <c r="U779">
        <v>22.959999</v>
      </c>
      <c r="V779">
        <v>0</v>
      </c>
      <c r="W779">
        <v>0</v>
      </c>
      <c r="X779">
        <v>28689.208585</v>
      </c>
      <c r="Y779">
        <v>23323700.634199999</v>
      </c>
    </row>
    <row r="780" spans="1:25" x14ac:dyDescent="0.55000000000000004">
      <c r="A780">
        <v>778</v>
      </c>
      <c r="B780" t="s">
        <v>20</v>
      </c>
      <c r="C780">
        <v>53</v>
      </c>
      <c r="D780">
        <v>7</v>
      </c>
      <c r="E780" t="s">
        <v>123</v>
      </c>
      <c r="F780" t="s">
        <v>124</v>
      </c>
      <c r="G780">
        <v>25</v>
      </c>
      <c r="H780">
        <v>2</v>
      </c>
      <c r="I780">
        <v>25070000</v>
      </c>
      <c r="J780">
        <v>906</v>
      </c>
      <c r="K780">
        <v>0</v>
      </c>
      <c r="L780">
        <v>14706</v>
      </c>
      <c r="M780">
        <v>14.011680999999999</v>
      </c>
      <c r="N780">
        <v>101.52182999999999</v>
      </c>
      <c r="O780">
        <v>0.01</v>
      </c>
      <c r="P780">
        <v>0.23</v>
      </c>
      <c r="Q780">
        <v>0.66</v>
      </c>
      <c r="R780">
        <v>0.9</v>
      </c>
      <c r="S780">
        <v>8.2200000000000006</v>
      </c>
      <c r="T780">
        <v>7.34</v>
      </c>
      <c r="U780">
        <v>17.75</v>
      </c>
      <c r="V780">
        <v>0</v>
      </c>
      <c r="W780">
        <v>0</v>
      </c>
      <c r="X780">
        <v>32248.650035999999</v>
      </c>
      <c r="Y780">
        <v>51663469.270800002</v>
      </c>
    </row>
    <row r="781" spans="1:25" x14ac:dyDescent="0.55000000000000004">
      <c r="A781">
        <v>779</v>
      </c>
      <c r="B781" t="s">
        <v>20</v>
      </c>
      <c r="C781">
        <v>53</v>
      </c>
      <c r="D781">
        <v>7</v>
      </c>
      <c r="E781" t="s">
        <v>123</v>
      </c>
      <c r="F781" t="s">
        <v>124</v>
      </c>
      <c r="G781">
        <v>25</v>
      </c>
      <c r="H781">
        <v>2</v>
      </c>
      <c r="I781">
        <v>25070000</v>
      </c>
      <c r="J781">
        <v>907</v>
      </c>
      <c r="K781">
        <v>0</v>
      </c>
      <c r="L781">
        <v>15065</v>
      </c>
      <c r="M781">
        <v>14.253532</v>
      </c>
      <c r="N781">
        <v>101.4387</v>
      </c>
      <c r="O781">
        <v>3.54</v>
      </c>
      <c r="P781">
        <v>0.44</v>
      </c>
      <c r="Q781">
        <v>2.02</v>
      </c>
      <c r="R781">
        <v>1.9</v>
      </c>
      <c r="S781">
        <v>3</v>
      </c>
      <c r="T781">
        <v>59.029998999999997</v>
      </c>
      <c r="U781">
        <v>4.5</v>
      </c>
      <c r="V781">
        <v>0</v>
      </c>
      <c r="W781">
        <v>0</v>
      </c>
      <c r="X781">
        <v>22503.275736</v>
      </c>
      <c r="Y781">
        <v>24618379.887800001</v>
      </c>
    </row>
    <row r="782" spans="1:25" x14ac:dyDescent="0.55000000000000004">
      <c r="A782">
        <v>780</v>
      </c>
      <c r="B782" t="s">
        <v>20</v>
      </c>
      <c r="C782">
        <v>53</v>
      </c>
      <c r="D782">
        <v>7</v>
      </c>
      <c r="E782" t="s">
        <v>123</v>
      </c>
      <c r="F782" t="s">
        <v>124</v>
      </c>
      <c r="G782">
        <v>25</v>
      </c>
      <c r="H782">
        <v>2</v>
      </c>
      <c r="I782">
        <v>25070000</v>
      </c>
      <c r="J782">
        <v>912</v>
      </c>
      <c r="K782">
        <v>0</v>
      </c>
      <c r="L782">
        <v>14707</v>
      </c>
      <c r="M782">
        <v>14.011680999999999</v>
      </c>
      <c r="N782">
        <v>101.60496500000001</v>
      </c>
      <c r="O782">
        <v>0.02</v>
      </c>
      <c r="P782">
        <v>0.54</v>
      </c>
      <c r="Q782">
        <v>0.16</v>
      </c>
      <c r="R782">
        <v>6.23</v>
      </c>
      <c r="S782">
        <v>5.04</v>
      </c>
      <c r="T782">
        <v>9.09</v>
      </c>
      <c r="U782">
        <v>3.49</v>
      </c>
      <c r="V782">
        <v>0</v>
      </c>
      <c r="W782">
        <v>0</v>
      </c>
      <c r="X782">
        <v>26416.855942999999</v>
      </c>
      <c r="Y782">
        <v>30245883.577300001</v>
      </c>
    </row>
    <row r="783" spans="1:25" x14ac:dyDescent="0.55000000000000004">
      <c r="A783">
        <v>781</v>
      </c>
      <c r="B783" t="s">
        <v>20</v>
      </c>
      <c r="C783">
        <v>53</v>
      </c>
      <c r="D783">
        <v>7</v>
      </c>
      <c r="E783" t="s">
        <v>123</v>
      </c>
      <c r="F783" t="s">
        <v>124</v>
      </c>
      <c r="G783">
        <v>25</v>
      </c>
      <c r="H783">
        <v>2</v>
      </c>
      <c r="I783">
        <v>25070000</v>
      </c>
      <c r="J783">
        <v>919</v>
      </c>
      <c r="K783">
        <v>0</v>
      </c>
      <c r="L783">
        <v>14827</v>
      </c>
      <c r="M783">
        <v>14.092331</v>
      </c>
      <c r="N783">
        <v>101.60496500000001</v>
      </c>
      <c r="O783">
        <v>1.49</v>
      </c>
      <c r="P783">
        <v>7.0000000000000007E-2</v>
      </c>
      <c r="Q783">
        <v>7.0000000000000007E-2</v>
      </c>
      <c r="R783">
        <v>0.41</v>
      </c>
      <c r="S783">
        <v>104.82</v>
      </c>
      <c r="T783">
        <v>6.55</v>
      </c>
      <c r="U783">
        <v>3.94</v>
      </c>
      <c r="V783">
        <v>0</v>
      </c>
      <c r="W783">
        <v>0</v>
      </c>
      <c r="X783">
        <v>33635.151156</v>
      </c>
      <c r="Y783">
        <v>73204081.393299997</v>
      </c>
    </row>
    <row r="784" spans="1:25" x14ac:dyDescent="0.55000000000000004">
      <c r="A784">
        <v>782</v>
      </c>
      <c r="B784" t="s">
        <v>20</v>
      </c>
      <c r="C784">
        <v>53</v>
      </c>
      <c r="D784">
        <v>7</v>
      </c>
      <c r="E784" t="s">
        <v>123</v>
      </c>
      <c r="F784" t="s">
        <v>124</v>
      </c>
      <c r="G784">
        <v>25</v>
      </c>
      <c r="H784">
        <v>2</v>
      </c>
      <c r="I784">
        <v>25070000</v>
      </c>
      <c r="J784">
        <v>920</v>
      </c>
      <c r="K784">
        <v>0</v>
      </c>
      <c r="L784">
        <v>14946</v>
      </c>
      <c r="M784">
        <v>14.172943</v>
      </c>
      <c r="N784">
        <v>101.52182999999999</v>
      </c>
      <c r="O784">
        <v>1.61</v>
      </c>
      <c r="P784">
        <v>0.08</v>
      </c>
      <c r="Q784">
        <v>0.31</v>
      </c>
      <c r="R784">
        <v>0.96</v>
      </c>
      <c r="S784">
        <v>8.11</v>
      </c>
      <c r="T784">
        <v>52.709999000000003</v>
      </c>
      <c r="U784">
        <v>7.1</v>
      </c>
      <c r="V784">
        <v>0.95</v>
      </c>
      <c r="W784">
        <v>0</v>
      </c>
      <c r="X784">
        <v>35802.666209000003</v>
      </c>
      <c r="Y784">
        <v>80113626.855100006</v>
      </c>
    </row>
    <row r="785" spans="1:25" x14ac:dyDescent="0.55000000000000004">
      <c r="A785">
        <v>783</v>
      </c>
      <c r="B785" t="s">
        <v>20</v>
      </c>
      <c r="C785">
        <v>53</v>
      </c>
      <c r="D785">
        <v>7</v>
      </c>
      <c r="E785" t="s">
        <v>123</v>
      </c>
      <c r="F785" t="s">
        <v>124</v>
      </c>
      <c r="G785">
        <v>25</v>
      </c>
      <c r="H785">
        <v>2</v>
      </c>
      <c r="I785">
        <v>25070000</v>
      </c>
      <c r="J785">
        <v>921</v>
      </c>
      <c r="K785">
        <v>0</v>
      </c>
      <c r="L785">
        <v>15067</v>
      </c>
      <c r="M785">
        <v>14.253532</v>
      </c>
      <c r="N785">
        <v>101.60496500000001</v>
      </c>
      <c r="O785">
        <v>2.2999999999999998</v>
      </c>
      <c r="P785">
        <v>0.61</v>
      </c>
      <c r="Q785">
        <v>0.67</v>
      </c>
      <c r="R785">
        <v>0.69</v>
      </c>
      <c r="S785">
        <v>7.0000000000000007E-2</v>
      </c>
      <c r="T785">
        <v>79.209998999999996</v>
      </c>
      <c r="U785">
        <v>2.63</v>
      </c>
      <c r="V785">
        <v>0</v>
      </c>
      <c r="W785">
        <v>0</v>
      </c>
      <c r="X785">
        <v>35794.162523999999</v>
      </c>
      <c r="Y785">
        <v>80075587.918300003</v>
      </c>
    </row>
    <row r="786" spans="1:25" x14ac:dyDescent="0.55000000000000004">
      <c r="A786">
        <v>784</v>
      </c>
      <c r="B786" t="s">
        <v>20</v>
      </c>
      <c r="C786">
        <v>53</v>
      </c>
      <c r="D786">
        <v>7</v>
      </c>
      <c r="E786" t="s">
        <v>123</v>
      </c>
      <c r="F786" t="s">
        <v>124</v>
      </c>
      <c r="G786">
        <v>25</v>
      </c>
      <c r="H786">
        <v>2</v>
      </c>
      <c r="I786">
        <v>25070000</v>
      </c>
      <c r="J786">
        <v>922</v>
      </c>
      <c r="K786">
        <v>0</v>
      </c>
      <c r="L786">
        <v>15066</v>
      </c>
      <c r="M786">
        <v>14.253532</v>
      </c>
      <c r="N786">
        <v>101.52182999999999</v>
      </c>
      <c r="O786">
        <v>0.17</v>
      </c>
      <c r="P786">
        <v>0.93</v>
      </c>
      <c r="Q786">
        <v>1.67</v>
      </c>
      <c r="R786">
        <v>0.92</v>
      </c>
      <c r="S786">
        <v>0.36</v>
      </c>
      <c r="T786">
        <v>93.400002000000001</v>
      </c>
      <c r="U786">
        <v>16.280000999999999</v>
      </c>
      <c r="V786">
        <v>0</v>
      </c>
      <c r="W786">
        <v>0</v>
      </c>
      <c r="X786">
        <v>36277.126831000001</v>
      </c>
      <c r="Y786">
        <v>73571948.189600006</v>
      </c>
    </row>
    <row r="787" spans="1:25" x14ac:dyDescent="0.55000000000000004">
      <c r="A787">
        <v>785</v>
      </c>
      <c r="B787" t="s">
        <v>20</v>
      </c>
      <c r="C787">
        <v>53</v>
      </c>
      <c r="D787">
        <v>7</v>
      </c>
      <c r="E787" t="s">
        <v>123</v>
      </c>
      <c r="F787" t="s">
        <v>124</v>
      </c>
      <c r="G787">
        <v>25</v>
      </c>
      <c r="H787">
        <v>2</v>
      </c>
      <c r="I787">
        <v>25070000</v>
      </c>
      <c r="J787">
        <v>923</v>
      </c>
      <c r="K787">
        <v>0</v>
      </c>
      <c r="L787">
        <v>14947</v>
      </c>
      <c r="M787">
        <v>14.172943</v>
      </c>
      <c r="N787">
        <v>101.60496500000001</v>
      </c>
      <c r="O787">
        <v>0.84</v>
      </c>
      <c r="P787">
        <v>0.09</v>
      </c>
      <c r="Q787">
        <v>0.61</v>
      </c>
      <c r="R787">
        <v>1.06</v>
      </c>
      <c r="S787">
        <v>5.44</v>
      </c>
      <c r="T787">
        <v>38.549999</v>
      </c>
      <c r="U787">
        <v>8.66</v>
      </c>
      <c r="V787">
        <v>2.02</v>
      </c>
      <c r="W787">
        <v>0</v>
      </c>
      <c r="X787">
        <v>36689.149775999998</v>
      </c>
      <c r="Y787">
        <v>77476529.176200002</v>
      </c>
    </row>
    <row r="788" spans="1:25" x14ac:dyDescent="0.55000000000000004">
      <c r="A788">
        <v>786</v>
      </c>
      <c r="B788" t="s">
        <v>20</v>
      </c>
      <c r="C788">
        <v>53</v>
      </c>
      <c r="D788">
        <v>7</v>
      </c>
      <c r="E788" t="s">
        <v>123</v>
      </c>
      <c r="F788" t="s">
        <v>124</v>
      </c>
      <c r="G788">
        <v>25</v>
      </c>
      <c r="H788">
        <v>2</v>
      </c>
      <c r="I788">
        <v>25070000</v>
      </c>
      <c r="J788">
        <v>924</v>
      </c>
      <c r="K788">
        <v>0</v>
      </c>
      <c r="L788">
        <v>14826</v>
      </c>
      <c r="M788">
        <v>14.092331</v>
      </c>
      <c r="N788">
        <v>101.52182999999999</v>
      </c>
      <c r="O788">
        <v>1</v>
      </c>
      <c r="P788">
        <v>0.18</v>
      </c>
      <c r="Q788">
        <v>0.06</v>
      </c>
      <c r="R788">
        <v>1.1399999999999999</v>
      </c>
      <c r="S788">
        <v>13.44</v>
      </c>
      <c r="T788">
        <v>4.99</v>
      </c>
      <c r="U788">
        <v>15.33</v>
      </c>
      <c r="V788">
        <v>0</v>
      </c>
      <c r="W788">
        <v>0</v>
      </c>
      <c r="X788">
        <v>40440.529635999999</v>
      </c>
      <c r="Y788">
        <v>72772593.976300001</v>
      </c>
    </row>
    <row r="789" spans="1:25" x14ac:dyDescent="0.55000000000000004">
      <c r="A789">
        <v>787</v>
      </c>
      <c r="B789" t="s">
        <v>20</v>
      </c>
      <c r="C789">
        <v>53</v>
      </c>
      <c r="D789">
        <v>7</v>
      </c>
      <c r="E789" t="s">
        <v>123</v>
      </c>
      <c r="F789" t="s">
        <v>124</v>
      </c>
      <c r="G789">
        <v>25</v>
      </c>
      <c r="H789">
        <v>2</v>
      </c>
      <c r="I789">
        <v>25070000</v>
      </c>
      <c r="J789">
        <v>927</v>
      </c>
      <c r="K789">
        <v>0</v>
      </c>
      <c r="L789">
        <v>14828</v>
      </c>
      <c r="M789">
        <v>14.092331</v>
      </c>
      <c r="N789">
        <v>101.68810000000001</v>
      </c>
      <c r="O789">
        <v>0.02</v>
      </c>
      <c r="P789">
        <v>0.25</v>
      </c>
      <c r="Q789">
        <v>0.08</v>
      </c>
      <c r="R789">
        <v>0.51</v>
      </c>
      <c r="S789">
        <v>4.7699999999999996</v>
      </c>
      <c r="T789">
        <v>10.1</v>
      </c>
      <c r="U789">
        <v>2.5099999999999998</v>
      </c>
      <c r="V789">
        <v>0</v>
      </c>
      <c r="W789">
        <v>0</v>
      </c>
      <c r="X789">
        <v>9823.5331650000007</v>
      </c>
      <c r="Y789">
        <v>3113403.3147700001</v>
      </c>
    </row>
    <row r="790" spans="1:25" x14ac:dyDescent="0.55000000000000004">
      <c r="A790">
        <v>788</v>
      </c>
      <c r="B790" t="s">
        <v>20</v>
      </c>
      <c r="C790">
        <v>53</v>
      </c>
      <c r="D790">
        <v>7</v>
      </c>
      <c r="E790" t="s">
        <v>123</v>
      </c>
      <c r="F790" t="s">
        <v>124</v>
      </c>
      <c r="G790">
        <v>25</v>
      </c>
      <c r="H790">
        <v>2</v>
      </c>
      <c r="I790">
        <v>25070000</v>
      </c>
      <c r="J790">
        <v>928</v>
      </c>
      <c r="K790">
        <v>0</v>
      </c>
      <c r="L790">
        <v>14948</v>
      </c>
      <c r="M790">
        <v>14.172943</v>
      </c>
      <c r="N790">
        <v>101.68810000000001</v>
      </c>
      <c r="O790">
        <v>0.24</v>
      </c>
      <c r="P790">
        <v>0.05</v>
      </c>
      <c r="Q790">
        <v>0.32</v>
      </c>
      <c r="R790">
        <v>0.83</v>
      </c>
      <c r="S790">
        <v>3.79</v>
      </c>
      <c r="T790">
        <v>93.720000999999996</v>
      </c>
      <c r="U790">
        <v>0.5</v>
      </c>
      <c r="V790">
        <v>0</v>
      </c>
      <c r="W790">
        <v>0</v>
      </c>
      <c r="X790">
        <v>13724.129824</v>
      </c>
      <c r="Y790">
        <v>7573753.0683500003</v>
      </c>
    </row>
    <row r="791" spans="1:25" x14ac:dyDescent="0.55000000000000004">
      <c r="A791">
        <v>789</v>
      </c>
      <c r="B791" t="s">
        <v>20</v>
      </c>
      <c r="C791">
        <v>53</v>
      </c>
      <c r="D791">
        <v>7</v>
      </c>
      <c r="E791" t="s">
        <v>123</v>
      </c>
      <c r="F791" t="s">
        <v>124</v>
      </c>
      <c r="G791">
        <v>25</v>
      </c>
      <c r="H791">
        <v>2</v>
      </c>
      <c r="I791">
        <v>25070000</v>
      </c>
      <c r="J791">
        <v>929</v>
      </c>
      <c r="K791">
        <v>0</v>
      </c>
      <c r="L791">
        <v>15068</v>
      </c>
      <c r="M791">
        <v>14.253532</v>
      </c>
      <c r="N791">
        <v>101.68810000000001</v>
      </c>
      <c r="O791">
        <v>7.45</v>
      </c>
      <c r="P791">
        <v>0.06</v>
      </c>
      <c r="Q791">
        <v>7.0000000000000007E-2</v>
      </c>
      <c r="R791">
        <v>0.31</v>
      </c>
      <c r="S791">
        <v>0.02</v>
      </c>
      <c r="T791">
        <v>21.99</v>
      </c>
      <c r="U791">
        <v>2.75</v>
      </c>
      <c r="V791">
        <v>0</v>
      </c>
      <c r="W791">
        <v>0</v>
      </c>
      <c r="X791">
        <v>25622.753854999999</v>
      </c>
      <c r="Y791">
        <v>24428383.8499</v>
      </c>
    </row>
    <row r="792" spans="1:25" x14ac:dyDescent="0.55000000000000004">
      <c r="A792">
        <v>790</v>
      </c>
      <c r="B792" t="s">
        <v>20</v>
      </c>
      <c r="C792">
        <v>53</v>
      </c>
      <c r="D792">
        <v>7</v>
      </c>
      <c r="E792" t="s">
        <v>123</v>
      </c>
      <c r="F792" t="s">
        <v>124</v>
      </c>
      <c r="G792">
        <v>25</v>
      </c>
      <c r="H792">
        <v>2</v>
      </c>
      <c r="I792">
        <v>25070000</v>
      </c>
      <c r="J792">
        <v>942</v>
      </c>
      <c r="K792">
        <v>0</v>
      </c>
      <c r="L792">
        <v>15185</v>
      </c>
      <c r="M792">
        <v>14.334099</v>
      </c>
      <c r="N792">
        <v>101.4387</v>
      </c>
      <c r="O792">
        <v>4.93</v>
      </c>
      <c r="P792">
        <v>4.78</v>
      </c>
      <c r="Q792">
        <v>1.19</v>
      </c>
      <c r="R792">
        <v>0.76</v>
      </c>
      <c r="S792">
        <v>7.0000000000000007E-2</v>
      </c>
      <c r="T792">
        <v>69.760002</v>
      </c>
      <c r="U792">
        <v>12.2</v>
      </c>
      <c r="V792">
        <v>0</v>
      </c>
      <c r="W792">
        <v>0</v>
      </c>
      <c r="X792">
        <v>7437.536153</v>
      </c>
      <c r="Y792">
        <v>1641209.0338999999</v>
      </c>
    </row>
    <row r="793" spans="1:25" x14ac:dyDescent="0.55000000000000004">
      <c r="A793">
        <v>791</v>
      </c>
      <c r="B793" t="s">
        <v>20</v>
      </c>
      <c r="C793">
        <v>53</v>
      </c>
      <c r="D793">
        <v>7</v>
      </c>
      <c r="E793" t="s">
        <v>123</v>
      </c>
      <c r="F793" t="s">
        <v>124</v>
      </c>
      <c r="G793">
        <v>25</v>
      </c>
      <c r="H793">
        <v>2</v>
      </c>
      <c r="I793">
        <v>25070000</v>
      </c>
      <c r="J793">
        <v>943</v>
      </c>
      <c r="K793">
        <v>0</v>
      </c>
      <c r="L793">
        <v>15305</v>
      </c>
      <c r="M793">
        <v>14.414635000000001</v>
      </c>
      <c r="N793">
        <v>101.4387</v>
      </c>
      <c r="O793">
        <v>61.259998000000003</v>
      </c>
      <c r="P793">
        <v>16.639999</v>
      </c>
      <c r="Q793">
        <v>0.26</v>
      </c>
      <c r="R793">
        <v>0.11</v>
      </c>
      <c r="S793">
        <v>0.98</v>
      </c>
      <c r="T793">
        <v>10.87</v>
      </c>
      <c r="U793">
        <v>14.23</v>
      </c>
      <c r="V793">
        <v>0</v>
      </c>
      <c r="W793">
        <v>0</v>
      </c>
      <c r="X793">
        <v>27102.680538000001</v>
      </c>
      <c r="Y793">
        <v>36916655.917400002</v>
      </c>
    </row>
    <row r="794" spans="1:25" x14ac:dyDescent="0.55000000000000004">
      <c r="A794">
        <v>792</v>
      </c>
      <c r="B794" t="s">
        <v>20</v>
      </c>
      <c r="C794">
        <v>53</v>
      </c>
      <c r="D794">
        <v>7</v>
      </c>
      <c r="E794" t="s">
        <v>123</v>
      </c>
      <c r="F794" t="s">
        <v>124</v>
      </c>
      <c r="G794">
        <v>25</v>
      </c>
      <c r="H794">
        <v>2</v>
      </c>
      <c r="I794">
        <v>25070000</v>
      </c>
      <c r="J794">
        <v>944</v>
      </c>
      <c r="K794">
        <v>0</v>
      </c>
      <c r="L794">
        <v>15186</v>
      </c>
      <c r="M794">
        <v>14.334099</v>
      </c>
      <c r="N794">
        <v>101.52182999999999</v>
      </c>
      <c r="O794">
        <v>23.9</v>
      </c>
      <c r="P794">
        <v>9.25</v>
      </c>
      <c r="Q794">
        <v>0.52</v>
      </c>
      <c r="R794">
        <v>0.91</v>
      </c>
      <c r="S794">
        <v>0.02</v>
      </c>
      <c r="T794">
        <v>15.28</v>
      </c>
      <c r="U794">
        <v>7.74</v>
      </c>
      <c r="V794">
        <v>0</v>
      </c>
      <c r="W794">
        <v>0</v>
      </c>
      <c r="X794">
        <v>35392.815545999998</v>
      </c>
      <c r="Y794">
        <v>69673614.950599998</v>
      </c>
    </row>
    <row r="795" spans="1:25" x14ac:dyDescent="0.55000000000000004">
      <c r="A795">
        <v>793</v>
      </c>
      <c r="B795" t="s">
        <v>20</v>
      </c>
      <c r="C795">
        <v>53</v>
      </c>
      <c r="D795">
        <v>7</v>
      </c>
      <c r="E795" t="s">
        <v>123</v>
      </c>
      <c r="F795" t="s">
        <v>124</v>
      </c>
      <c r="G795">
        <v>25</v>
      </c>
      <c r="H795">
        <v>2</v>
      </c>
      <c r="I795">
        <v>25070000</v>
      </c>
      <c r="J795">
        <v>948</v>
      </c>
      <c r="K795">
        <v>0</v>
      </c>
      <c r="L795">
        <v>15425</v>
      </c>
      <c r="M795">
        <v>14.495139999999999</v>
      </c>
      <c r="N795">
        <v>101.4387</v>
      </c>
      <c r="O795">
        <v>21.639999</v>
      </c>
      <c r="P795">
        <v>14.17</v>
      </c>
      <c r="Q795">
        <v>0</v>
      </c>
      <c r="R795">
        <v>0</v>
      </c>
      <c r="S795">
        <v>0.04</v>
      </c>
      <c r="T795">
        <v>7.66</v>
      </c>
      <c r="U795">
        <v>3.02</v>
      </c>
      <c r="V795">
        <v>0</v>
      </c>
      <c r="W795">
        <v>0</v>
      </c>
      <c r="X795">
        <v>6329.6912419999999</v>
      </c>
      <c r="Y795">
        <v>1037269.22295</v>
      </c>
    </row>
    <row r="796" spans="1:25" x14ac:dyDescent="0.55000000000000004">
      <c r="A796">
        <v>794</v>
      </c>
      <c r="B796" t="s">
        <v>20</v>
      </c>
      <c r="C796">
        <v>53</v>
      </c>
      <c r="D796">
        <v>7</v>
      </c>
      <c r="E796" t="s">
        <v>123</v>
      </c>
      <c r="F796" t="s">
        <v>124</v>
      </c>
      <c r="G796">
        <v>25</v>
      </c>
      <c r="H796">
        <v>2</v>
      </c>
      <c r="I796">
        <v>25070000</v>
      </c>
      <c r="J796">
        <v>949</v>
      </c>
      <c r="K796">
        <v>0</v>
      </c>
      <c r="L796">
        <v>15306</v>
      </c>
      <c r="M796">
        <v>14.414635000000001</v>
      </c>
      <c r="N796">
        <v>101.52182999999999</v>
      </c>
      <c r="O796">
        <v>52.16</v>
      </c>
      <c r="P796">
        <v>14.35</v>
      </c>
      <c r="Q796">
        <v>0.05</v>
      </c>
      <c r="R796">
        <v>0.03</v>
      </c>
      <c r="S796">
        <v>1.97</v>
      </c>
      <c r="T796">
        <v>12.46</v>
      </c>
      <c r="U796">
        <v>4.6500000000000004</v>
      </c>
      <c r="V796">
        <v>0</v>
      </c>
      <c r="W796">
        <v>0</v>
      </c>
      <c r="X796">
        <v>35664.640925</v>
      </c>
      <c r="Y796">
        <v>61862559.570500001</v>
      </c>
    </row>
    <row r="797" spans="1:25" x14ac:dyDescent="0.55000000000000004">
      <c r="A797">
        <v>795</v>
      </c>
      <c r="B797" t="s">
        <v>20</v>
      </c>
      <c r="C797">
        <v>53</v>
      </c>
      <c r="D797">
        <v>7</v>
      </c>
      <c r="E797" t="s">
        <v>123</v>
      </c>
      <c r="F797" t="s">
        <v>124</v>
      </c>
      <c r="G797">
        <v>25</v>
      </c>
      <c r="H797">
        <v>2</v>
      </c>
      <c r="I797">
        <v>25070000</v>
      </c>
      <c r="J797">
        <v>953</v>
      </c>
      <c r="K797">
        <v>0</v>
      </c>
      <c r="L797">
        <v>15188</v>
      </c>
      <c r="M797">
        <v>14.334099</v>
      </c>
      <c r="N797">
        <v>101.68810000000001</v>
      </c>
      <c r="O797">
        <v>1.3</v>
      </c>
      <c r="P797">
        <v>0.06</v>
      </c>
      <c r="Q797">
        <v>0.08</v>
      </c>
      <c r="R797">
        <v>0.1</v>
      </c>
      <c r="S797">
        <v>0.84</v>
      </c>
      <c r="T797">
        <v>2.54</v>
      </c>
      <c r="U797">
        <v>1.67</v>
      </c>
      <c r="V797">
        <v>0</v>
      </c>
      <c r="W797">
        <v>0</v>
      </c>
      <c r="X797">
        <v>23450.206010999998</v>
      </c>
      <c r="Y797">
        <v>7890455.5822299998</v>
      </c>
    </row>
    <row r="798" spans="1:25" x14ac:dyDescent="0.55000000000000004">
      <c r="A798">
        <v>796</v>
      </c>
      <c r="B798" t="s">
        <v>20</v>
      </c>
      <c r="C798">
        <v>53</v>
      </c>
      <c r="D798">
        <v>7</v>
      </c>
      <c r="E798" t="s">
        <v>123</v>
      </c>
      <c r="F798" t="s">
        <v>124</v>
      </c>
      <c r="G798">
        <v>25</v>
      </c>
      <c r="H798">
        <v>2</v>
      </c>
      <c r="I798">
        <v>25070000</v>
      </c>
      <c r="J798">
        <v>954</v>
      </c>
      <c r="K798">
        <v>0</v>
      </c>
      <c r="L798">
        <v>15187</v>
      </c>
      <c r="M798">
        <v>14.334099</v>
      </c>
      <c r="N798">
        <v>101.60496500000001</v>
      </c>
      <c r="O798">
        <v>20.280000999999999</v>
      </c>
      <c r="P798">
        <v>1.41</v>
      </c>
      <c r="Q798">
        <v>0.53</v>
      </c>
      <c r="R798">
        <v>0.36</v>
      </c>
      <c r="S798">
        <v>0.05</v>
      </c>
      <c r="T798">
        <v>12.17</v>
      </c>
      <c r="U798">
        <v>2.35</v>
      </c>
      <c r="V798">
        <v>0</v>
      </c>
      <c r="W798">
        <v>0</v>
      </c>
      <c r="X798">
        <v>35620.962931000002</v>
      </c>
      <c r="Y798">
        <v>79071337.717500001</v>
      </c>
    </row>
    <row r="799" spans="1:25" x14ac:dyDescent="0.55000000000000004">
      <c r="A799">
        <v>797</v>
      </c>
      <c r="B799" t="s">
        <v>20</v>
      </c>
      <c r="C799">
        <v>53</v>
      </c>
      <c r="D799">
        <v>7</v>
      </c>
      <c r="E799" t="s">
        <v>123</v>
      </c>
      <c r="F799" t="s">
        <v>124</v>
      </c>
      <c r="G799">
        <v>25</v>
      </c>
      <c r="H799">
        <v>2</v>
      </c>
      <c r="I799">
        <v>25070000</v>
      </c>
      <c r="J799">
        <v>956</v>
      </c>
      <c r="K799">
        <v>0</v>
      </c>
      <c r="L799">
        <v>15426</v>
      </c>
      <c r="M799">
        <v>14.495139999999999</v>
      </c>
      <c r="N799">
        <v>101.52182999999999</v>
      </c>
      <c r="O799">
        <v>66.410004000000001</v>
      </c>
      <c r="P799">
        <v>11.85</v>
      </c>
      <c r="Q799">
        <v>0</v>
      </c>
      <c r="R799">
        <v>0</v>
      </c>
      <c r="S799">
        <v>0.92</v>
      </c>
      <c r="T799">
        <v>10.19</v>
      </c>
      <c r="U799">
        <v>1.36</v>
      </c>
      <c r="V799">
        <v>0</v>
      </c>
      <c r="W799">
        <v>0</v>
      </c>
      <c r="X799">
        <v>3653.3940219999999</v>
      </c>
      <c r="Y799">
        <v>746684.81794900005</v>
      </c>
    </row>
    <row r="800" spans="1:25" x14ac:dyDescent="0.55000000000000004">
      <c r="A800">
        <v>798</v>
      </c>
      <c r="B800" t="s">
        <v>20</v>
      </c>
      <c r="C800">
        <v>53</v>
      </c>
      <c r="D800">
        <v>7</v>
      </c>
      <c r="E800" t="s">
        <v>123</v>
      </c>
      <c r="F800" t="s">
        <v>124</v>
      </c>
      <c r="G800">
        <v>25</v>
      </c>
      <c r="H800">
        <v>2</v>
      </c>
      <c r="I800">
        <v>25070000</v>
      </c>
      <c r="J800">
        <v>957</v>
      </c>
      <c r="K800">
        <v>0</v>
      </c>
      <c r="L800">
        <v>15307</v>
      </c>
      <c r="M800">
        <v>14.414635000000001</v>
      </c>
      <c r="N800">
        <v>101.60496500000001</v>
      </c>
      <c r="O800">
        <v>14.7</v>
      </c>
      <c r="P800">
        <v>4.57</v>
      </c>
      <c r="Q800">
        <v>0.02</v>
      </c>
      <c r="R800">
        <v>7.0000000000000007E-2</v>
      </c>
      <c r="S800">
        <v>0.51</v>
      </c>
      <c r="T800">
        <v>36.060001</v>
      </c>
      <c r="U800">
        <v>7.94</v>
      </c>
      <c r="V800">
        <v>0</v>
      </c>
      <c r="W800">
        <v>0</v>
      </c>
      <c r="X800">
        <v>30939.750652999999</v>
      </c>
      <c r="Y800">
        <v>52058405.157300003</v>
      </c>
    </row>
    <row r="801" spans="1:25" x14ac:dyDescent="0.55000000000000004">
      <c r="A801">
        <v>799</v>
      </c>
      <c r="B801" t="s">
        <v>20</v>
      </c>
      <c r="C801">
        <v>53</v>
      </c>
      <c r="D801">
        <v>7</v>
      </c>
      <c r="E801" t="s">
        <v>123</v>
      </c>
      <c r="F801" t="s">
        <v>124</v>
      </c>
      <c r="G801">
        <v>25</v>
      </c>
      <c r="H801">
        <v>2</v>
      </c>
      <c r="I801">
        <v>25070000</v>
      </c>
      <c r="J801">
        <v>961</v>
      </c>
      <c r="K801">
        <v>0</v>
      </c>
      <c r="L801">
        <v>15308</v>
      </c>
      <c r="M801">
        <v>14.414635000000001</v>
      </c>
      <c r="N801">
        <v>101.68810000000001</v>
      </c>
      <c r="O801">
        <v>5.5</v>
      </c>
      <c r="P801">
        <v>0.15</v>
      </c>
      <c r="Q801">
        <v>0</v>
      </c>
      <c r="R801">
        <v>0</v>
      </c>
      <c r="S801">
        <v>2.14</v>
      </c>
      <c r="T801">
        <v>6.32</v>
      </c>
      <c r="U801">
        <v>6.64</v>
      </c>
      <c r="V801">
        <v>0</v>
      </c>
      <c r="W801">
        <v>0</v>
      </c>
      <c r="X801">
        <v>5771.8920609999996</v>
      </c>
      <c r="Y801">
        <v>455228.03057900001</v>
      </c>
    </row>
    <row r="802" spans="1:25" x14ac:dyDescent="0.55000000000000004">
      <c r="A802">
        <v>800</v>
      </c>
      <c r="B802" t="s">
        <v>20</v>
      </c>
      <c r="C802">
        <v>54</v>
      </c>
      <c r="D802">
        <v>8</v>
      </c>
      <c r="E802" t="s">
        <v>125</v>
      </c>
      <c r="F802" t="s">
        <v>126</v>
      </c>
      <c r="G802">
        <v>25</v>
      </c>
      <c r="H802">
        <v>2</v>
      </c>
      <c r="I802">
        <v>25080000</v>
      </c>
      <c r="J802">
        <v>794</v>
      </c>
      <c r="K802">
        <v>0</v>
      </c>
      <c r="L802">
        <v>14465</v>
      </c>
      <c r="M802">
        <v>13.850304</v>
      </c>
      <c r="N802">
        <v>101.4387</v>
      </c>
      <c r="O802">
        <v>0.01</v>
      </c>
      <c r="P802">
        <v>12.42</v>
      </c>
      <c r="Q802">
        <v>13.19</v>
      </c>
      <c r="R802">
        <v>8.01</v>
      </c>
      <c r="S802">
        <v>2.57</v>
      </c>
      <c r="T802">
        <v>4.07</v>
      </c>
      <c r="U802">
        <v>20.399999999999999</v>
      </c>
      <c r="V802">
        <v>1.97</v>
      </c>
      <c r="W802">
        <v>0</v>
      </c>
      <c r="X802">
        <v>14960.878941999999</v>
      </c>
      <c r="Y802">
        <v>11501338.466399999</v>
      </c>
    </row>
    <row r="803" spans="1:25" x14ac:dyDescent="0.55000000000000004">
      <c r="A803">
        <v>801</v>
      </c>
      <c r="B803" t="s">
        <v>20</v>
      </c>
      <c r="C803">
        <v>54</v>
      </c>
      <c r="D803">
        <v>8</v>
      </c>
      <c r="E803" t="s">
        <v>125</v>
      </c>
      <c r="F803" t="s">
        <v>126</v>
      </c>
      <c r="G803">
        <v>25</v>
      </c>
      <c r="H803">
        <v>2</v>
      </c>
      <c r="I803">
        <v>25080000</v>
      </c>
      <c r="J803">
        <v>807</v>
      </c>
      <c r="K803">
        <v>0</v>
      </c>
      <c r="L803">
        <v>14346</v>
      </c>
      <c r="M803">
        <v>13.769569000000001</v>
      </c>
      <c r="N803">
        <v>101.52182999999999</v>
      </c>
      <c r="O803">
        <v>1.84</v>
      </c>
      <c r="P803">
        <v>10.68</v>
      </c>
      <c r="Q803">
        <v>1.07</v>
      </c>
      <c r="R803">
        <v>10.210000000000001</v>
      </c>
      <c r="S803">
        <v>0.38</v>
      </c>
      <c r="T803">
        <v>2.95</v>
      </c>
      <c r="U803">
        <v>6.95</v>
      </c>
      <c r="V803">
        <v>2.4500000000000002</v>
      </c>
      <c r="W803">
        <v>0</v>
      </c>
      <c r="X803">
        <v>18746.826638999999</v>
      </c>
      <c r="Y803">
        <v>10312273.142899999</v>
      </c>
    </row>
    <row r="804" spans="1:25" x14ac:dyDescent="0.55000000000000004">
      <c r="A804">
        <v>802</v>
      </c>
      <c r="B804" t="s">
        <v>20</v>
      </c>
      <c r="C804">
        <v>54</v>
      </c>
      <c r="D804">
        <v>8</v>
      </c>
      <c r="E804" t="s">
        <v>125</v>
      </c>
      <c r="F804" t="s">
        <v>126</v>
      </c>
      <c r="G804">
        <v>25</v>
      </c>
      <c r="H804">
        <v>2</v>
      </c>
      <c r="I804">
        <v>25080000</v>
      </c>
      <c r="J804">
        <v>809</v>
      </c>
      <c r="K804">
        <v>0</v>
      </c>
      <c r="L804">
        <v>14466</v>
      </c>
      <c r="M804">
        <v>13.850304</v>
      </c>
      <c r="N804">
        <v>101.52182999999999</v>
      </c>
      <c r="O804">
        <v>0.02</v>
      </c>
      <c r="P804">
        <v>24.42</v>
      </c>
      <c r="Q804">
        <v>3.31</v>
      </c>
      <c r="R804">
        <v>2.98</v>
      </c>
      <c r="S804">
        <v>3.74</v>
      </c>
      <c r="T804">
        <v>0.8</v>
      </c>
      <c r="U804">
        <v>45.080002</v>
      </c>
      <c r="V804">
        <v>23.799999</v>
      </c>
      <c r="W804">
        <v>0</v>
      </c>
      <c r="X804">
        <v>33335.773596999999</v>
      </c>
      <c r="Y804">
        <v>67729411.090599999</v>
      </c>
    </row>
    <row r="805" spans="1:25" x14ac:dyDescent="0.55000000000000004">
      <c r="A805">
        <v>803</v>
      </c>
      <c r="B805" t="s">
        <v>20</v>
      </c>
      <c r="C805">
        <v>54</v>
      </c>
      <c r="D805">
        <v>8</v>
      </c>
      <c r="E805" t="s">
        <v>125</v>
      </c>
      <c r="F805" t="s">
        <v>126</v>
      </c>
      <c r="G805">
        <v>25</v>
      </c>
      <c r="H805">
        <v>2</v>
      </c>
      <c r="I805">
        <v>25080000</v>
      </c>
      <c r="J805">
        <v>810</v>
      </c>
      <c r="K805">
        <v>0</v>
      </c>
      <c r="L805">
        <v>14347</v>
      </c>
      <c r="M805">
        <v>13.769569000000001</v>
      </c>
      <c r="N805">
        <v>101.60496500000001</v>
      </c>
      <c r="O805">
        <v>2.39</v>
      </c>
      <c r="P805">
        <v>0.17</v>
      </c>
      <c r="Q805">
        <v>0.6</v>
      </c>
      <c r="R805">
        <v>3.17</v>
      </c>
      <c r="S805">
        <v>0.81</v>
      </c>
      <c r="T805">
        <v>0.56000000000000005</v>
      </c>
      <c r="U805">
        <v>5.08</v>
      </c>
      <c r="V805">
        <v>1.77</v>
      </c>
      <c r="W805">
        <v>0</v>
      </c>
      <c r="X805">
        <v>31690.375389000001</v>
      </c>
      <c r="Y805">
        <v>62976961.110600002</v>
      </c>
    </row>
    <row r="806" spans="1:25" x14ac:dyDescent="0.55000000000000004">
      <c r="A806">
        <v>804</v>
      </c>
      <c r="B806" t="s">
        <v>20</v>
      </c>
      <c r="C806">
        <v>54</v>
      </c>
      <c r="D806">
        <v>8</v>
      </c>
      <c r="E806" t="s">
        <v>125</v>
      </c>
      <c r="F806" t="s">
        <v>126</v>
      </c>
      <c r="G806">
        <v>25</v>
      </c>
      <c r="H806">
        <v>2</v>
      </c>
      <c r="I806">
        <v>25080000</v>
      </c>
      <c r="J806">
        <v>813</v>
      </c>
      <c r="K806">
        <v>0</v>
      </c>
      <c r="L806">
        <v>14348</v>
      </c>
      <c r="M806">
        <v>13.769569000000001</v>
      </c>
      <c r="N806">
        <v>101.68810000000001</v>
      </c>
      <c r="O806">
        <v>4.33</v>
      </c>
      <c r="P806">
        <v>0.13</v>
      </c>
      <c r="Q806">
        <v>7.0000000000000007E-2</v>
      </c>
      <c r="R806">
        <v>0.38</v>
      </c>
      <c r="S806">
        <v>0.37</v>
      </c>
      <c r="T806">
        <v>0.83</v>
      </c>
      <c r="U806">
        <v>8.35</v>
      </c>
      <c r="V806">
        <v>0.01</v>
      </c>
      <c r="W806">
        <v>0</v>
      </c>
      <c r="X806">
        <v>22323.074368000001</v>
      </c>
      <c r="Y806">
        <v>28263947.339400001</v>
      </c>
    </row>
    <row r="807" spans="1:25" x14ac:dyDescent="0.55000000000000004">
      <c r="A807">
        <v>805</v>
      </c>
      <c r="B807" t="s">
        <v>20</v>
      </c>
      <c r="C807">
        <v>54</v>
      </c>
      <c r="D807">
        <v>8</v>
      </c>
      <c r="E807" t="s">
        <v>125</v>
      </c>
      <c r="F807" t="s">
        <v>126</v>
      </c>
      <c r="G807">
        <v>25</v>
      </c>
      <c r="H807">
        <v>2</v>
      </c>
      <c r="I807">
        <v>25080000</v>
      </c>
      <c r="J807">
        <v>816</v>
      </c>
      <c r="K807">
        <v>0</v>
      </c>
      <c r="L807">
        <v>14467</v>
      </c>
      <c r="M807">
        <v>13.850304</v>
      </c>
      <c r="N807">
        <v>101.60496500000001</v>
      </c>
      <c r="O807">
        <v>5.68</v>
      </c>
      <c r="P807">
        <v>4.1900000000000004</v>
      </c>
      <c r="Q807">
        <v>0.28000000000000003</v>
      </c>
      <c r="R807">
        <v>6.68</v>
      </c>
      <c r="S807">
        <v>0.93</v>
      </c>
      <c r="T807">
        <v>0.47</v>
      </c>
      <c r="U807">
        <v>38.840000000000003</v>
      </c>
      <c r="V807">
        <v>16.219999000000001</v>
      </c>
      <c r="W807">
        <v>0</v>
      </c>
      <c r="X807">
        <v>33554.024320999997</v>
      </c>
      <c r="Y807">
        <v>54429184.5594</v>
      </c>
    </row>
    <row r="808" spans="1:25" x14ac:dyDescent="0.55000000000000004">
      <c r="A808">
        <v>806</v>
      </c>
      <c r="B808" t="s">
        <v>20</v>
      </c>
      <c r="C808">
        <v>54</v>
      </c>
      <c r="D808">
        <v>8</v>
      </c>
      <c r="E808" t="s">
        <v>125</v>
      </c>
      <c r="F808" t="s">
        <v>126</v>
      </c>
      <c r="G808">
        <v>25</v>
      </c>
      <c r="H808">
        <v>2</v>
      </c>
      <c r="I808">
        <v>25080000</v>
      </c>
      <c r="J808">
        <v>893</v>
      </c>
      <c r="K808">
        <v>0</v>
      </c>
      <c r="L808">
        <v>14584</v>
      </c>
      <c r="M808">
        <v>13.931006999999999</v>
      </c>
      <c r="N808">
        <v>101.35556</v>
      </c>
      <c r="O808">
        <v>4.92</v>
      </c>
      <c r="P808">
        <v>4.8600000000000003</v>
      </c>
      <c r="Q808">
        <v>0.84</v>
      </c>
      <c r="R808">
        <v>0.83</v>
      </c>
      <c r="S808">
        <v>18.790001</v>
      </c>
      <c r="T808">
        <v>6.35</v>
      </c>
      <c r="U808">
        <v>43.5</v>
      </c>
      <c r="V808">
        <v>0</v>
      </c>
      <c r="W808">
        <v>0</v>
      </c>
      <c r="X808">
        <v>4877.0440440000002</v>
      </c>
      <c r="Y808">
        <v>1439792.0556300001</v>
      </c>
    </row>
    <row r="809" spans="1:25" x14ac:dyDescent="0.55000000000000004">
      <c r="A809">
        <v>807</v>
      </c>
      <c r="B809" t="s">
        <v>20</v>
      </c>
      <c r="C809">
        <v>54</v>
      </c>
      <c r="D809">
        <v>8</v>
      </c>
      <c r="E809" t="s">
        <v>125</v>
      </c>
      <c r="F809" t="s">
        <v>126</v>
      </c>
      <c r="G809">
        <v>25</v>
      </c>
      <c r="H809">
        <v>2</v>
      </c>
      <c r="I809">
        <v>25080000</v>
      </c>
      <c r="J809">
        <v>896</v>
      </c>
      <c r="K809">
        <v>0</v>
      </c>
      <c r="L809">
        <v>14704</v>
      </c>
      <c r="M809">
        <v>14.011680999999999</v>
      </c>
      <c r="N809">
        <v>101.35556</v>
      </c>
      <c r="O809">
        <v>0.01</v>
      </c>
      <c r="P809">
        <v>1.04</v>
      </c>
      <c r="Q809">
        <v>2.44</v>
      </c>
      <c r="R809">
        <v>0.52</v>
      </c>
      <c r="S809">
        <v>5.01</v>
      </c>
      <c r="T809">
        <v>6</v>
      </c>
      <c r="U809">
        <v>33.369999</v>
      </c>
      <c r="V809">
        <v>0</v>
      </c>
      <c r="W809">
        <v>0</v>
      </c>
      <c r="X809">
        <v>8072.2334449999998</v>
      </c>
      <c r="Y809">
        <v>2724726.2805699999</v>
      </c>
    </row>
    <row r="810" spans="1:25" x14ac:dyDescent="0.55000000000000004">
      <c r="A810">
        <v>808</v>
      </c>
      <c r="B810" t="s">
        <v>20</v>
      </c>
      <c r="C810">
        <v>54</v>
      </c>
      <c r="D810">
        <v>8</v>
      </c>
      <c r="E810" t="s">
        <v>125</v>
      </c>
      <c r="F810" t="s">
        <v>126</v>
      </c>
      <c r="G810">
        <v>25</v>
      </c>
      <c r="H810">
        <v>2</v>
      </c>
      <c r="I810">
        <v>25080000</v>
      </c>
      <c r="J810">
        <v>899</v>
      </c>
      <c r="K810">
        <v>0</v>
      </c>
      <c r="L810">
        <v>14585</v>
      </c>
      <c r="M810">
        <v>13.931006999999999</v>
      </c>
      <c r="N810">
        <v>101.4387</v>
      </c>
      <c r="O810">
        <v>0.02</v>
      </c>
      <c r="P810">
        <v>1.22</v>
      </c>
      <c r="Q810">
        <v>7.64</v>
      </c>
      <c r="R810">
        <v>3.45</v>
      </c>
      <c r="S810">
        <v>9.74</v>
      </c>
      <c r="T810">
        <v>10.75</v>
      </c>
      <c r="U810">
        <v>28.040001</v>
      </c>
      <c r="V810">
        <v>1.36</v>
      </c>
      <c r="W810">
        <v>0</v>
      </c>
      <c r="X810">
        <v>35206.576373000004</v>
      </c>
      <c r="Y810">
        <v>55246741.798699997</v>
      </c>
    </row>
    <row r="811" spans="1:25" x14ac:dyDescent="0.55000000000000004">
      <c r="A811">
        <v>809</v>
      </c>
      <c r="B811" t="s">
        <v>20</v>
      </c>
      <c r="C811">
        <v>54</v>
      </c>
      <c r="D811">
        <v>8</v>
      </c>
      <c r="E811" t="s">
        <v>125</v>
      </c>
      <c r="F811" t="s">
        <v>126</v>
      </c>
      <c r="G811">
        <v>25</v>
      </c>
      <c r="H811">
        <v>2</v>
      </c>
      <c r="I811">
        <v>25080000</v>
      </c>
      <c r="J811">
        <v>902</v>
      </c>
      <c r="K811">
        <v>0</v>
      </c>
      <c r="L811">
        <v>14705</v>
      </c>
      <c r="M811">
        <v>14.011680999999999</v>
      </c>
      <c r="N811">
        <v>101.4387</v>
      </c>
      <c r="O811">
        <v>1.57</v>
      </c>
      <c r="P811">
        <v>2.44</v>
      </c>
      <c r="Q811">
        <v>0.3</v>
      </c>
      <c r="R811">
        <v>0.82</v>
      </c>
      <c r="S811">
        <v>4.45</v>
      </c>
      <c r="T811">
        <v>3.15</v>
      </c>
      <c r="U811">
        <v>32.619999</v>
      </c>
      <c r="V811">
        <v>0</v>
      </c>
      <c r="W811">
        <v>0</v>
      </c>
      <c r="X811">
        <v>27123.916125</v>
      </c>
      <c r="Y811">
        <v>30734453.121300001</v>
      </c>
    </row>
    <row r="812" spans="1:25" x14ac:dyDescent="0.55000000000000004">
      <c r="A812">
        <v>810</v>
      </c>
      <c r="B812" t="s">
        <v>20</v>
      </c>
      <c r="C812">
        <v>54</v>
      </c>
      <c r="D812">
        <v>8</v>
      </c>
      <c r="E812" t="s">
        <v>125</v>
      </c>
      <c r="F812" t="s">
        <v>126</v>
      </c>
      <c r="G812">
        <v>25</v>
      </c>
      <c r="H812">
        <v>2</v>
      </c>
      <c r="I812">
        <v>25080000</v>
      </c>
      <c r="J812">
        <v>903</v>
      </c>
      <c r="K812">
        <v>0</v>
      </c>
      <c r="L812">
        <v>14586</v>
      </c>
      <c r="M812">
        <v>13.931006999999999</v>
      </c>
      <c r="N812">
        <v>101.52182999999999</v>
      </c>
      <c r="O812">
        <v>2.0099999999999998</v>
      </c>
      <c r="P812">
        <v>1.73</v>
      </c>
      <c r="Q812">
        <v>3.97</v>
      </c>
      <c r="R812">
        <v>1.89</v>
      </c>
      <c r="S812">
        <v>4.95</v>
      </c>
      <c r="T812">
        <v>3.13</v>
      </c>
      <c r="U812">
        <v>26.549999</v>
      </c>
      <c r="V812">
        <v>0.53</v>
      </c>
      <c r="W812">
        <v>0</v>
      </c>
      <c r="X812">
        <v>35840.73199</v>
      </c>
      <c r="Y812">
        <v>80284078.1347</v>
      </c>
    </row>
    <row r="813" spans="1:25" x14ac:dyDescent="0.55000000000000004">
      <c r="A813">
        <v>811</v>
      </c>
      <c r="B813" t="s">
        <v>20</v>
      </c>
      <c r="C813">
        <v>54</v>
      </c>
      <c r="D813">
        <v>8</v>
      </c>
      <c r="E813" t="s">
        <v>125</v>
      </c>
      <c r="F813" t="s">
        <v>126</v>
      </c>
      <c r="G813">
        <v>25</v>
      </c>
      <c r="H813">
        <v>2</v>
      </c>
      <c r="I813">
        <v>25080000</v>
      </c>
      <c r="J813">
        <v>906</v>
      </c>
      <c r="K813">
        <v>0</v>
      </c>
      <c r="L813">
        <v>14706</v>
      </c>
      <c r="M813">
        <v>14.011680999999999</v>
      </c>
      <c r="N813">
        <v>101.52182999999999</v>
      </c>
      <c r="O813">
        <v>0.01</v>
      </c>
      <c r="P813">
        <v>0.23</v>
      </c>
      <c r="Q813">
        <v>0.66</v>
      </c>
      <c r="R813">
        <v>0.9</v>
      </c>
      <c r="S813">
        <v>8.2200000000000006</v>
      </c>
      <c r="T813">
        <v>7.34</v>
      </c>
      <c r="U813">
        <v>17.75</v>
      </c>
      <c r="V813">
        <v>0</v>
      </c>
      <c r="W813">
        <v>0</v>
      </c>
      <c r="X813">
        <v>27830.710632999999</v>
      </c>
      <c r="Y813">
        <v>28566735.904300001</v>
      </c>
    </row>
    <row r="814" spans="1:25" x14ac:dyDescent="0.55000000000000004">
      <c r="A814">
        <v>812</v>
      </c>
      <c r="B814" t="s">
        <v>20</v>
      </c>
      <c r="C814">
        <v>54</v>
      </c>
      <c r="D814">
        <v>8</v>
      </c>
      <c r="E814" t="s">
        <v>125</v>
      </c>
      <c r="F814" t="s">
        <v>126</v>
      </c>
      <c r="G814">
        <v>25</v>
      </c>
      <c r="H814">
        <v>2</v>
      </c>
      <c r="I814">
        <v>25080000</v>
      </c>
      <c r="J814">
        <v>911</v>
      </c>
      <c r="K814">
        <v>0</v>
      </c>
      <c r="L814">
        <v>14587</v>
      </c>
      <c r="M814">
        <v>13.931006999999999</v>
      </c>
      <c r="N814">
        <v>101.60496500000001</v>
      </c>
      <c r="O814">
        <v>0.01</v>
      </c>
      <c r="P814">
        <v>3.11</v>
      </c>
      <c r="Q814">
        <v>0.51</v>
      </c>
      <c r="R814">
        <v>9.07</v>
      </c>
      <c r="S814">
        <v>3.47</v>
      </c>
      <c r="T814">
        <v>7.43</v>
      </c>
      <c r="U814">
        <v>14.88</v>
      </c>
      <c r="V814">
        <v>0.38</v>
      </c>
      <c r="W814">
        <v>0</v>
      </c>
      <c r="X814">
        <v>33610.534746999998</v>
      </c>
      <c r="Y814">
        <v>43392011.412</v>
      </c>
    </row>
    <row r="815" spans="1:25" x14ac:dyDescent="0.55000000000000004">
      <c r="A815">
        <v>813</v>
      </c>
      <c r="B815" t="s">
        <v>20</v>
      </c>
      <c r="C815">
        <v>54</v>
      </c>
      <c r="D815">
        <v>8</v>
      </c>
      <c r="E815" t="s">
        <v>125</v>
      </c>
      <c r="F815" t="s">
        <v>126</v>
      </c>
      <c r="G815">
        <v>25</v>
      </c>
      <c r="H815">
        <v>2</v>
      </c>
      <c r="I815">
        <v>25080000</v>
      </c>
      <c r="J815">
        <v>912</v>
      </c>
      <c r="K815">
        <v>0</v>
      </c>
      <c r="L815">
        <v>14707</v>
      </c>
      <c r="M815">
        <v>14.011680999999999</v>
      </c>
      <c r="N815">
        <v>101.60496500000001</v>
      </c>
      <c r="O815">
        <v>0.02</v>
      </c>
      <c r="P815">
        <v>0.54</v>
      </c>
      <c r="Q815">
        <v>0.16</v>
      </c>
      <c r="R815">
        <v>6.23</v>
      </c>
      <c r="S815">
        <v>5.04</v>
      </c>
      <c r="T815">
        <v>9.09</v>
      </c>
      <c r="U815">
        <v>3.49</v>
      </c>
      <c r="V815">
        <v>0</v>
      </c>
      <c r="W815">
        <v>0</v>
      </c>
      <c r="X815">
        <v>13366.970582</v>
      </c>
      <c r="Y815">
        <v>6679383.7282299995</v>
      </c>
    </row>
    <row r="816" spans="1:25" x14ac:dyDescent="0.55000000000000004">
      <c r="A816">
        <v>814</v>
      </c>
      <c r="B816" t="s">
        <v>20</v>
      </c>
      <c r="C816">
        <v>55</v>
      </c>
      <c r="D816">
        <v>9</v>
      </c>
      <c r="E816" t="s">
        <v>127</v>
      </c>
      <c r="F816" t="s">
        <v>128</v>
      </c>
      <c r="G816">
        <v>25</v>
      </c>
      <c r="H816">
        <v>2</v>
      </c>
      <c r="I816">
        <v>25090000</v>
      </c>
      <c r="J816">
        <v>794</v>
      </c>
      <c r="K816">
        <v>0</v>
      </c>
      <c r="L816">
        <v>14465</v>
      </c>
      <c r="M816">
        <v>13.850304</v>
      </c>
      <c r="N816">
        <v>101.4387</v>
      </c>
      <c r="O816">
        <v>0.01</v>
      </c>
      <c r="P816">
        <v>12.42</v>
      </c>
      <c r="Q816">
        <v>13.19</v>
      </c>
      <c r="R816">
        <v>8.01</v>
      </c>
      <c r="S816">
        <v>2.57</v>
      </c>
      <c r="T816">
        <v>4.07</v>
      </c>
      <c r="U816">
        <v>20.399999999999999</v>
      </c>
      <c r="V816">
        <v>1.97</v>
      </c>
      <c r="W816">
        <v>0</v>
      </c>
      <c r="X816">
        <v>30877.056315000002</v>
      </c>
      <c r="Y816">
        <v>49141277.669100001</v>
      </c>
    </row>
    <row r="817" spans="1:25" x14ac:dyDescent="0.55000000000000004">
      <c r="A817">
        <v>815</v>
      </c>
      <c r="B817" t="s">
        <v>20</v>
      </c>
      <c r="C817">
        <v>55</v>
      </c>
      <c r="D817">
        <v>9</v>
      </c>
      <c r="E817" t="s">
        <v>127</v>
      </c>
      <c r="F817" t="s">
        <v>128</v>
      </c>
      <c r="G817">
        <v>25</v>
      </c>
      <c r="H817">
        <v>2</v>
      </c>
      <c r="I817">
        <v>25090000</v>
      </c>
      <c r="J817">
        <v>795</v>
      </c>
      <c r="K817">
        <v>0</v>
      </c>
      <c r="L817">
        <v>14464</v>
      </c>
      <c r="M817">
        <v>13.850304</v>
      </c>
      <c r="N817">
        <v>101.35556</v>
      </c>
      <c r="O817">
        <v>3.7</v>
      </c>
      <c r="P817">
        <v>11.42</v>
      </c>
      <c r="Q817">
        <v>13.26</v>
      </c>
      <c r="R817">
        <v>0.02</v>
      </c>
      <c r="S817">
        <v>0.1</v>
      </c>
      <c r="T817">
        <v>8.7200000000000006</v>
      </c>
      <c r="U817">
        <v>10.66</v>
      </c>
      <c r="V817">
        <v>0.02</v>
      </c>
      <c r="W817">
        <v>0.01</v>
      </c>
      <c r="X817">
        <v>19296.920945999998</v>
      </c>
      <c r="Y817">
        <v>13825736.4342</v>
      </c>
    </row>
    <row r="818" spans="1:25" x14ac:dyDescent="0.55000000000000004">
      <c r="A818">
        <v>816</v>
      </c>
      <c r="B818" t="s">
        <v>20</v>
      </c>
      <c r="C818">
        <v>55</v>
      </c>
      <c r="D818">
        <v>9</v>
      </c>
      <c r="E818" t="s">
        <v>127</v>
      </c>
      <c r="F818" t="s">
        <v>128</v>
      </c>
      <c r="G818">
        <v>25</v>
      </c>
      <c r="H818">
        <v>2</v>
      </c>
      <c r="I818">
        <v>25090000</v>
      </c>
      <c r="J818">
        <v>807</v>
      </c>
      <c r="K818">
        <v>0</v>
      </c>
      <c r="L818">
        <v>14346</v>
      </c>
      <c r="M818">
        <v>13.769569000000001</v>
      </c>
      <c r="N818">
        <v>101.52182999999999</v>
      </c>
      <c r="O818">
        <v>1.84</v>
      </c>
      <c r="P818">
        <v>10.68</v>
      </c>
      <c r="Q818">
        <v>1.07</v>
      </c>
      <c r="R818">
        <v>10.210000000000001</v>
      </c>
      <c r="S818">
        <v>0.38</v>
      </c>
      <c r="T818">
        <v>2.95</v>
      </c>
      <c r="U818">
        <v>6.95</v>
      </c>
      <c r="V818">
        <v>2.4500000000000002</v>
      </c>
      <c r="W818">
        <v>0</v>
      </c>
      <c r="X818">
        <v>13383.392855</v>
      </c>
      <c r="Y818">
        <v>6499475.8797199996</v>
      </c>
    </row>
    <row r="819" spans="1:25" x14ac:dyDescent="0.55000000000000004">
      <c r="A819">
        <v>817</v>
      </c>
      <c r="B819" t="s">
        <v>20</v>
      </c>
      <c r="C819">
        <v>55</v>
      </c>
      <c r="D819">
        <v>9</v>
      </c>
      <c r="E819" t="s">
        <v>127</v>
      </c>
      <c r="F819" t="s">
        <v>128</v>
      </c>
      <c r="G819">
        <v>25</v>
      </c>
      <c r="H819">
        <v>2</v>
      </c>
      <c r="I819">
        <v>25090000</v>
      </c>
      <c r="J819">
        <v>809</v>
      </c>
      <c r="K819">
        <v>0</v>
      </c>
      <c r="L819">
        <v>14466</v>
      </c>
      <c r="M819">
        <v>13.850304</v>
      </c>
      <c r="N819">
        <v>101.52182999999999</v>
      </c>
      <c r="O819">
        <v>0.02</v>
      </c>
      <c r="P819">
        <v>24.42</v>
      </c>
      <c r="Q819">
        <v>3.31</v>
      </c>
      <c r="R819">
        <v>2.98</v>
      </c>
      <c r="S819">
        <v>3.74</v>
      </c>
      <c r="T819">
        <v>0.8</v>
      </c>
      <c r="U819">
        <v>45.080002</v>
      </c>
      <c r="V819">
        <v>23.799999</v>
      </c>
      <c r="W819">
        <v>0</v>
      </c>
      <c r="X819">
        <v>15756.419927999999</v>
      </c>
      <c r="Y819">
        <v>12358348.837400001</v>
      </c>
    </row>
    <row r="820" spans="1:25" x14ac:dyDescent="0.55000000000000004">
      <c r="A820">
        <v>818</v>
      </c>
      <c r="B820" t="s">
        <v>20</v>
      </c>
      <c r="C820">
        <v>55</v>
      </c>
      <c r="D820">
        <v>9</v>
      </c>
      <c r="E820" t="s">
        <v>127</v>
      </c>
      <c r="F820" t="s">
        <v>128</v>
      </c>
      <c r="G820">
        <v>25</v>
      </c>
      <c r="H820">
        <v>2</v>
      </c>
      <c r="I820">
        <v>25090000</v>
      </c>
      <c r="J820">
        <v>893</v>
      </c>
      <c r="K820">
        <v>0</v>
      </c>
      <c r="L820">
        <v>14584</v>
      </c>
      <c r="M820">
        <v>13.931006999999999</v>
      </c>
      <c r="N820">
        <v>101.35556</v>
      </c>
      <c r="O820">
        <v>4.92</v>
      </c>
      <c r="P820">
        <v>4.8600000000000003</v>
      </c>
      <c r="Q820">
        <v>0.84</v>
      </c>
      <c r="R820">
        <v>0.83</v>
      </c>
      <c r="S820">
        <v>18.790001</v>
      </c>
      <c r="T820">
        <v>6.35</v>
      </c>
      <c r="U820">
        <v>43.5</v>
      </c>
      <c r="V820">
        <v>0</v>
      </c>
      <c r="W820">
        <v>0</v>
      </c>
      <c r="X820">
        <v>26372.870730999999</v>
      </c>
      <c r="Y820">
        <v>34486344.793300003</v>
      </c>
    </row>
    <row r="821" spans="1:25" x14ac:dyDescent="0.55000000000000004">
      <c r="A821">
        <v>819</v>
      </c>
      <c r="B821" t="s">
        <v>20</v>
      </c>
      <c r="C821">
        <v>55</v>
      </c>
      <c r="D821">
        <v>9</v>
      </c>
      <c r="E821" t="s">
        <v>127</v>
      </c>
      <c r="F821" t="s">
        <v>128</v>
      </c>
      <c r="G821">
        <v>25</v>
      </c>
      <c r="H821">
        <v>2</v>
      </c>
      <c r="I821">
        <v>25090000</v>
      </c>
      <c r="J821">
        <v>899</v>
      </c>
      <c r="K821">
        <v>0</v>
      </c>
      <c r="L821">
        <v>14585</v>
      </c>
      <c r="M821">
        <v>13.931006999999999</v>
      </c>
      <c r="N821">
        <v>101.4387</v>
      </c>
      <c r="O821">
        <v>0.02</v>
      </c>
      <c r="P821">
        <v>1.22</v>
      </c>
      <c r="Q821">
        <v>7.64</v>
      </c>
      <c r="R821">
        <v>3.45</v>
      </c>
      <c r="S821">
        <v>9.74</v>
      </c>
      <c r="T821">
        <v>10.75</v>
      </c>
      <c r="U821">
        <v>28.040001</v>
      </c>
      <c r="V821">
        <v>1.36</v>
      </c>
      <c r="W821">
        <v>0</v>
      </c>
      <c r="X821">
        <v>23300.984548</v>
      </c>
      <c r="Y821">
        <v>25030184.873399999</v>
      </c>
    </row>
    <row r="822" spans="1:25" x14ac:dyDescent="0.55000000000000004">
      <c r="A822">
        <v>820</v>
      </c>
      <c r="B822" t="s">
        <v>20</v>
      </c>
      <c r="C822">
        <v>56</v>
      </c>
      <c r="D822">
        <v>1</v>
      </c>
      <c r="E822" t="s">
        <v>129</v>
      </c>
      <c r="F822" t="s">
        <v>130</v>
      </c>
      <c r="G822">
        <v>26</v>
      </c>
      <c r="H822">
        <v>2</v>
      </c>
      <c r="I822">
        <v>26010000</v>
      </c>
      <c r="J822">
        <v>845</v>
      </c>
      <c r="K822">
        <v>0</v>
      </c>
      <c r="L822">
        <v>14701</v>
      </c>
      <c r="M822">
        <v>14.011680999999999</v>
      </c>
      <c r="N822">
        <v>101.10615</v>
      </c>
      <c r="O822">
        <v>0.08</v>
      </c>
      <c r="P822">
        <v>0.31</v>
      </c>
      <c r="Q822">
        <v>22.43</v>
      </c>
      <c r="R822">
        <v>2.87</v>
      </c>
      <c r="S822">
        <v>0</v>
      </c>
      <c r="T822">
        <v>11.88</v>
      </c>
      <c r="U822">
        <v>11.18</v>
      </c>
      <c r="V822">
        <v>0</v>
      </c>
      <c r="W822">
        <v>0</v>
      </c>
      <c r="X822">
        <v>11561.904369</v>
      </c>
      <c r="Y822">
        <v>5469096.8871999998</v>
      </c>
    </row>
    <row r="823" spans="1:25" x14ac:dyDescent="0.55000000000000004">
      <c r="A823">
        <v>821</v>
      </c>
      <c r="B823" t="s">
        <v>20</v>
      </c>
      <c r="C823">
        <v>56</v>
      </c>
      <c r="D823">
        <v>1</v>
      </c>
      <c r="E823" t="s">
        <v>129</v>
      </c>
      <c r="F823" t="s">
        <v>130</v>
      </c>
      <c r="G823">
        <v>26</v>
      </c>
      <c r="H823">
        <v>2</v>
      </c>
      <c r="I823">
        <v>26010000</v>
      </c>
      <c r="J823">
        <v>848</v>
      </c>
      <c r="K823">
        <v>0</v>
      </c>
      <c r="L823">
        <v>14941</v>
      </c>
      <c r="M823">
        <v>14.172943</v>
      </c>
      <c r="N823">
        <v>101.10615</v>
      </c>
      <c r="O823">
        <v>2.93</v>
      </c>
      <c r="P823">
        <v>0.04</v>
      </c>
      <c r="Q823">
        <v>0.44</v>
      </c>
      <c r="R823">
        <v>0.33</v>
      </c>
      <c r="S823">
        <v>1.77</v>
      </c>
      <c r="T823">
        <v>2.4900000000000002</v>
      </c>
      <c r="U823">
        <v>40.279998999999997</v>
      </c>
      <c r="V823">
        <v>0.06</v>
      </c>
      <c r="W823">
        <v>0</v>
      </c>
      <c r="X823">
        <v>33814.534764999997</v>
      </c>
      <c r="Y823">
        <v>47965481.813299999</v>
      </c>
    </row>
    <row r="824" spans="1:25" x14ac:dyDescent="0.55000000000000004">
      <c r="A824">
        <v>822</v>
      </c>
      <c r="B824" t="s">
        <v>20</v>
      </c>
      <c r="C824">
        <v>56</v>
      </c>
      <c r="D824">
        <v>1</v>
      </c>
      <c r="E824" t="s">
        <v>129</v>
      </c>
      <c r="F824" t="s">
        <v>130</v>
      </c>
      <c r="G824">
        <v>26</v>
      </c>
      <c r="H824">
        <v>2</v>
      </c>
      <c r="I824">
        <v>26010000</v>
      </c>
      <c r="J824">
        <v>850</v>
      </c>
      <c r="K824">
        <v>0</v>
      </c>
      <c r="L824">
        <v>14821</v>
      </c>
      <c r="M824">
        <v>14.092331</v>
      </c>
      <c r="N824">
        <v>101.10615</v>
      </c>
      <c r="O824">
        <v>1.33</v>
      </c>
      <c r="P824">
        <v>0.89</v>
      </c>
      <c r="Q824">
        <v>0.79</v>
      </c>
      <c r="R824">
        <v>0.77</v>
      </c>
      <c r="S824">
        <v>0</v>
      </c>
      <c r="T824">
        <v>6.27</v>
      </c>
      <c r="U824">
        <v>15.94</v>
      </c>
      <c r="V824">
        <v>0</v>
      </c>
      <c r="W824">
        <v>0</v>
      </c>
      <c r="X824">
        <v>30505.115281999999</v>
      </c>
      <c r="Y824">
        <v>43612893.826099999</v>
      </c>
    </row>
    <row r="825" spans="1:25" x14ac:dyDescent="0.55000000000000004">
      <c r="A825">
        <v>823</v>
      </c>
      <c r="B825" t="s">
        <v>20</v>
      </c>
      <c r="C825">
        <v>56</v>
      </c>
      <c r="D825">
        <v>1</v>
      </c>
      <c r="E825" t="s">
        <v>129</v>
      </c>
      <c r="F825" t="s">
        <v>130</v>
      </c>
      <c r="G825">
        <v>26</v>
      </c>
      <c r="H825">
        <v>2</v>
      </c>
      <c r="I825">
        <v>26010000</v>
      </c>
      <c r="J825">
        <v>851</v>
      </c>
      <c r="K825">
        <v>0</v>
      </c>
      <c r="L825">
        <v>14702</v>
      </c>
      <c r="M825">
        <v>14.011680999999999</v>
      </c>
      <c r="N825">
        <v>101.189285</v>
      </c>
      <c r="O825">
        <v>0.78</v>
      </c>
      <c r="P825">
        <v>0.43</v>
      </c>
      <c r="Q825">
        <v>39.43</v>
      </c>
      <c r="R825">
        <v>0.74</v>
      </c>
      <c r="S825">
        <v>0.24</v>
      </c>
      <c r="T825">
        <v>12.11</v>
      </c>
      <c r="U825">
        <v>11.77</v>
      </c>
      <c r="V825">
        <v>0</v>
      </c>
      <c r="W825">
        <v>0</v>
      </c>
      <c r="X825">
        <v>21881.591389000001</v>
      </c>
      <c r="Y825">
        <v>23894216.989</v>
      </c>
    </row>
    <row r="826" spans="1:25" x14ac:dyDescent="0.55000000000000004">
      <c r="A826">
        <v>824</v>
      </c>
      <c r="B826" t="s">
        <v>20</v>
      </c>
      <c r="C826">
        <v>56</v>
      </c>
      <c r="D826">
        <v>1</v>
      </c>
      <c r="E826" t="s">
        <v>129</v>
      </c>
      <c r="F826" t="s">
        <v>130</v>
      </c>
      <c r="G826">
        <v>26</v>
      </c>
      <c r="H826">
        <v>2</v>
      </c>
      <c r="I826">
        <v>26010000</v>
      </c>
      <c r="J826">
        <v>852</v>
      </c>
      <c r="K826">
        <v>0</v>
      </c>
      <c r="L826">
        <v>15061</v>
      </c>
      <c r="M826">
        <v>14.253532</v>
      </c>
      <c r="N826">
        <v>101.10615</v>
      </c>
      <c r="O826">
        <v>7.43</v>
      </c>
      <c r="P826">
        <v>0</v>
      </c>
      <c r="Q826">
        <v>0.23</v>
      </c>
      <c r="R826">
        <v>1.48</v>
      </c>
      <c r="S826">
        <v>0.03</v>
      </c>
      <c r="T826">
        <v>7.34</v>
      </c>
      <c r="U826">
        <v>22.290001</v>
      </c>
      <c r="V826">
        <v>0.01</v>
      </c>
      <c r="W826">
        <v>0.01</v>
      </c>
      <c r="X826">
        <v>23942.580762000001</v>
      </c>
      <c r="Y826">
        <v>16431003.554300001</v>
      </c>
    </row>
    <row r="827" spans="1:25" x14ac:dyDescent="0.55000000000000004">
      <c r="A827">
        <v>825</v>
      </c>
      <c r="B827" t="s">
        <v>20</v>
      </c>
      <c r="C827">
        <v>56</v>
      </c>
      <c r="D827">
        <v>1</v>
      </c>
      <c r="E827" t="s">
        <v>129</v>
      </c>
      <c r="F827" t="s">
        <v>130</v>
      </c>
      <c r="G827">
        <v>26</v>
      </c>
      <c r="H827">
        <v>2</v>
      </c>
      <c r="I827">
        <v>26010000</v>
      </c>
      <c r="J827">
        <v>882</v>
      </c>
      <c r="K827">
        <v>0</v>
      </c>
      <c r="L827">
        <v>15181</v>
      </c>
      <c r="M827">
        <v>14.334099</v>
      </c>
      <c r="N827">
        <v>101.10615</v>
      </c>
      <c r="O827">
        <v>6.78</v>
      </c>
      <c r="P827">
        <v>0</v>
      </c>
      <c r="Q827">
        <v>0.56999999999999995</v>
      </c>
      <c r="R827">
        <v>0.27</v>
      </c>
      <c r="S827">
        <v>0</v>
      </c>
      <c r="T827">
        <v>17.040001</v>
      </c>
      <c r="U827">
        <v>16.129999000000002</v>
      </c>
      <c r="V827">
        <v>1.29</v>
      </c>
      <c r="W827">
        <v>3.56</v>
      </c>
      <c r="X827">
        <v>7670.2784579999998</v>
      </c>
      <c r="Y827">
        <v>1151753.1000600001</v>
      </c>
    </row>
    <row r="828" spans="1:25" x14ac:dyDescent="0.55000000000000004">
      <c r="A828">
        <v>826</v>
      </c>
      <c r="B828" t="s">
        <v>20</v>
      </c>
      <c r="C828">
        <v>56</v>
      </c>
      <c r="D828">
        <v>1</v>
      </c>
      <c r="E828" t="s">
        <v>129</v>
      </c>
      <c r="F828" t="s">
        <v>130</v>
      </c>
      <c r="G828">
        <v>26</v>
      </c>
      <c r="H828">
        <v>2</v>
      </c>
      <c r="I828">
        <v>26010000</v>
      </c>
      <c r="J828">
        <v>891</v>
      </c>
      <c r="K828">
        <v>0</v>
      </c>
      <c r="L828">
        <v>14822</v>
      </c>
      <c r="M828">
        <v>14.092331</v>
      </c>
      <c r="N828">
        <v>101.189285</v>
      </c>
      <c r="O828">
        <v>2</v>
      </c>
      <c r="P828">
        <v>7.0000000000000007E-2</v>
      </c>
      <c r="Q828">
        <v>6.34</v>
      </c>
      <c r="R828">
        <v>1.91</v>
      </c>
      <c r="S828">
        <v>0.87</v>
      </c>
      <c r="T828">
        <v>2.95</v>
      </c>
      <c r="U828">
        <v>36.040000999999997</v>
      </c>
      <c r="V828">
        <v>0</v>
      </c>
      <c r="W828">
        <v>0</v>
      </c>
      <c r="X828">
        <v>33373.391737999998</v>
      </c>
      <c r="Y828">
        <v>42916982.737099998</v>
      </c>
    </row>
    <row r="829" spans="1:25" x14ac:dyDescent="0.55000000000000004">
      <c r="A829">
        <v>827</v>
      </c>
      <c r="B829" t="s">
        <v>20</v>
      </c>
      <c r="C829">
        <v>56</v>
      </c>
      <c r="D829">
        <v>1</v>
      </c>
      <c r="E829" t="s">
        <v>129</v>
      </c>
      <c r="F829" t="s">
        <v>130</v>
      </c>
      <c r="G829">
        <v>26</v>
      </c>
      <c r="H829">
        <v>2</v>
      </c>
      <c r="I829">
        <v>26010000</v>
      </c>
      <c r="J829">
        <v>894</v>
      </c>
      <c r="K829">
        <v>0</v>
      </c>
      <c r="L829">
        <v>14943</v>
      </c>
      <c r="M829">
        <v>14.172943</v>
      </c>
      <c r="N829">
        <v>101.27242</v>
      </c>
      <c r="O829">
        <v>1.44</v>
      </c>
      <c r="P829">
        <v>0</v>
      </c>
      <c r="Q829">
        <v>0.2</v>
      </c>
      <c r="R829">
        <v>5.63</v>
      </c>
      <c r="S829">
        <v>1.37</v>
      </c>
      <c r="T829">
        <v>12.46</v>
      </c>
      <c r="U829">
        <v>83.419998000000007</v>
      </c>
      <c r="V829">
        <v>0.57999999999999996</v>
      </c>
      <c r="W829">
        <v>0</v>
      </c>
      <c r="X829">
        <v>18702.778437000001</v>
      </c>
      <c r="Y829">
        <v>13152832.657400001</v>
      </c>
    </row>
    <row r="830" spans="1:25" x14ac:dyDescent="0.55000000000000004">
      <c r="A830">
        <v>828</v>
      </c>
      <c r="B830" t="s">
        <v>20</v>
      </c>
      <c r="C830">
        <v>56</v>
      </c>
      <c r="D830">
        <v>1</v>
      </c>
      <c r="E830" t="s">
        <v>129</v>
      </c>
      <c r="F830" t="s">
        <v>130</v>
      </c>
      <c r="G830">
        <v>26</v>
      </c>
      <c r="H830">
        <v>2</v>
      </c>
      <c r="I830">
        <v>26010000</v>
      </c>
      <c r="J830">
        <v>895</v>
      </c>
      <c r="K830">
        <v>0</v>
      </c>
      <c r="L830">
        <v>14942</v>
      </c>
      <c r="M830">
        <v>14.172943</v>
      </c>
      <c r="N830">
        <v>101.189285</v>
      </c>
      <c r="O830">
        <v>10.01</v>
      </c>
      <c r="P830">
        <v>0.03</v>
      </c>
      <c r="Q830">
        <v>0.83</v>
      </c>
      <c r="R830">
        <v>0.78</v>
      </c>
      <c r="S830">
        <v>0.01</v>
      </c>
      <c r="T830">
        <v>2.98</v>
      </c>
      <c r="U830">
        <v>71.010002</v>
      </c>
      <c r="V830">
        <v>3.04</v>
      </c>
      <c r="W830">
        <v>0.09</v>
      </c>
      <c r="X830">
        <v>37155.074930000002</v>
      </c>
      <c r="Y830">
        <v>70696564.346100003</v>
      </c>
    </row>
    <row r="831" spans="1:25" x14ac:dyDescent="0.55000000000000004">
      <c r="A831">
        <v>829</v>
      </c>
      <c r="B831" t="s">
        <v>20</v>
      </c>
      <c r="C831">
        <v>56</v>
      </c>
      <c r="D831">
        <v>1</v>
      </c>
      <c r="E831" t="s">
        <v>129</v>
      </c>
      <c r="F831" t="s">
        <v>130</v>
      </c>
      <c r="G831">
        <v>26</v>
      </c>
      <c r="H831">
        <v>2</v>
      </c>
      <c r="I831">
        <v>26010000</v>
      </c>
      <c r="J831">
        <v>897</v>
      </c>
      <c r="K831">
        <v>0</v>
      </c>
      <c r="L831">
        <v>15063</v>
      </c>
      <c r="M831">
        <v>14.253532</v>
      </c>
      <c r="N831">
        <v>101.27242</v>
      </c>
      <c r="O831">
        <v>0.92</v>
      </c>
      <c r="P831">
        <v>0.05</v>
      </c>
      <c r="Q831">
        <v>1.6</v>
      </c>
      <c r="R831">
        <v>1.67</v>
      </c>
      <c r="S831">
        <v>1.53</v>
      </c>
      <c r="T831">
        <v>42.110000999999997</v>
      </c>
      <c r="U831">
        <v>41.540000999999997</v>
      </c>
      <c r="V831">
        <v>0.03</v>
      </c>
      <c r="W831">
        <v>0</v>
      </c>
      <c r="X831">
        <v>34564.269368000001</v>
      </c>
      <c r="Y831">
        <v>74873444.333900005</v>
      </c>
    </row>
    <row r="832" spans="1:25" x14ac:dyDescent="0.55000000000000004">
      <c r="A832">
        <v>830</v>
      </c>
      <c r="B832" t="s">
        <v>20</v>
      </c>
      <c r="C832">
        <v>56</v>
      </c>
      <c r="D832">
        <v>1</v>
      </c>
      <c r="E832" t="s">
        <v>129</v>
      </c>
      <c r="F832" t="s">
        <v>130</v>
      </c>
      <c r="G832">
        <v>26</v>
      </c>
      <c r="H832">
        <v>2</v>
      </c>
      <c r="I832">
        <v>26010000</v>
      </c>
      <c r="J832">
        <v>898</v>
      </c>
      <c r="K832">
        <v>0</v>
      </c>
      <c r="L832">
        <v>15062</v>
      </c>
      <c r="M832">
        <v>14.253532</v>
      </c>
      <c r="N832">
        <v>101.189285</v>
      </c>
      <c r="O832">
        <v>10.02</v>
      </c>
      <c r="P832">
        <v>0.08</v>
      </c>
      <c r="Q832">
        <v>0.34</v>
      </c>
      <c r="R832">
        <v>1.96</v>
      </c>
      <c r="S832">
        <v>0.66</v>
      </c>
      <c r="T832">
        <v>19.350000000000001</v>
      </c>
      <c r="U832">
        <v>30.82</v>
      </c>
      <c r="V832">
        <v>0.05</v>
      </c>
      <c r="W832">
        <v>0.1</v>
      </c>
      <c r="X832">
        <v>35783.888311000002</v>
      </c>
      <c r="Y832">
        <v>80029625.373199999</v>
      </c>
    </row>
    <row r="833" spans="1:25" x14ac:dyDescent="0.55000000000000004">
      <c r="A833">
        <v>831</v>
      </c>
      <c r="B833" t="s">
        <v>20</v>
      </c>
      <c r="C833">
        <v>56</v>
      </c>
      <c r="D833">
        <v>1</v>
      </c>
      <c r="E833" t="s">
        <v>129</v>
      </c>
      <c r="F833" t="s">
        <v>130</v>
      </c>
      <c r="G833">
        <v>26</v>
      </c>
      <c r="H833">
        <v>2</v>
      </c>
      <c r="I833">
        <v>26010000</v>
      </c>
      <c r="J833">
        <v>908</v>
      </c>
      <c r="K833">
        <v>0</v>
      </c>
      <c r="L833">
        <v>15064</v>
      </c>
      <c r="M833">
        <v>14.253532</v>
      </c>
      <c r="N833">
        <v>101.35556</v>
      </c>
      <c r="O833">
        <v>0.51</v>
      </c>
      <c r="P833">
        <v>2.38</v>
      </c>
      <c r="Q833">
        <v>1.99</v>
      </c>
      <c r="R833">
        <v>1.2</v>
      </c>
      <c r="S833">
        <v>0.44</v>
      </c>
      <c r="T833">
        <v>77.680000000000007</v>
      </c>
      <c r="U833">
        <v>12.14</v>
      </c>
      <c r="V833">
        <v>0</v>
      </c>
      <c r="W833">
        <v>0</v>
      </c>
      <c r="X833">
        <v>15520.889185</v>
      </c>
      <c r="Y833">
        <v>11549319.703600001</v>
      </c>
    </row>
    <row r="834" spans="1:25" x14ac:dyDescent="0.55000000000000004">
      <c r="A834">
        <v>832</v>
      </c>
      <c r="B834" t="s">
        <v>20</v>
      </c>
      <c r="C834">
        <v>56</v>
      </c>
      <c r="D834">
        <v>1</v>
      </c>
      <c r="E834" t="s">
        <v>129</v>
      </c>
      <c r="F834" t="s">
        <v>130</v>
      </c>
      <c r="G834">
        <v>26</v>
      </c>
      <c r="H834">
        <v>2</v>
      </c>
      <c r="I834">
        <v>26010000</v>
      </c>
      <c r="J834">
        <v>931</v>
      </c>
      <c r="K834">
        <v>0</v>
      </c>
      <c r="L834">
        <v>15183</v>
      </c>
      <c r="M834">
        <v>14.334099</v>
      </c>
      <c r="N834">
        <v>101.27242</v>
      </c>
      <c r="O834">
        <v>19.34</v>
      </c>
      <c r="P834">
        <v>0.03</v>
      </c>
      <c r="Q834">
        <v>1.17</v>
      </c>
      <c r="R834">
        <v>0.74</v>
      </c>
      <c r="S834">
        <v>17.719999000000001</v>
      </c>
      <c r="T834">
        <v>23.299999</v>
      </c>
      <c r="U834">
        <v>37.540000999999997</v>
      </c>
      <c r="V834">
        <v>0</v>
      </c>
      <c r="W834">
        <v>0</v>
      </c>
      <c r="X834">
        <v>35866.650018</v>
      </c>
      <c r="Y834">
        <v>79931589.362399995</v>
      </c>
    </row>
    <row r="835" spans="1:25" x14ac:dyDescent="0.55000000000000004">
      <c r="A835">
        <v>833</v>
      </c>
      <c r="B835" t="s">
        <v>20</v>
      </c>
      <c r="C835">
        <v>56</v>
      </c>
      <c r="D835">
        <v>1</v>
      </c>
      <c r="E835" t="s">
        <v>129</v>
      </c>
      <c r="F835" t="s">
        <v>130</v>
      </c>
      <c r="G835">
        <v>26</v>
      </c>
      <c r="H835">
        <v>2</v>
      </c>
      <c r="I835">
        <v>26010000</v>
      </c>
      <c r="J835">
        <v>932</v>
      </c>
      <c r="K835">
        <v>0</v>
      </c>
      <c r="L835">
        <v>15302</v>
      </c>
      <c r="M835">
        <v>14.414635000000001</v>
      </c>
      <c r="N835">
        <v>101.189285</v>
      </c>
      <c r="O835">
        <v>2.1800000000000002</v>
      </c>
      <c r="P835">
        <v>2.68</v>
      </c>
      <c r="Q835">
        <v>0.39</v>
      </c>
      <c r="R835">
        <v>0.01</v>
      </c>
      <c r="S835">
        <v>0.32</v>
      </c>
      <c r="T835">
        <v>48.48</v>
      </c>
      <c r="U835">
        <v>38.150002000000001</v>
      </c>
      <c r="V835">
        <v>0.01</v>
      </c>
      <c r="W835">
        <v>0</v>
      </c>
      <c r="X835">
        <v>23703.806756999998</v>
      </c>
      <c r="Y835">
        <v>17444045.883400001</v>
      </c>
    </row>
    <row r="836" spans="1:25" x14ac:dyDescent="0.55000000000000004">
      <c r="A836">
        <v>834</v>
      </c>
      <c r="B836" t="s">
        <v>20</v>
      </c>
      <c r="C836">
        <v>56</v>
      </c>
      <c r="D836">
        <v>1</v>
      </c>
      <c r="E836" t="s">
        <v>129</v>
      </c>
      <c r="F836" t="s">
        <v>130</v>
      </c>
      <c r="G836">
        <v>26</v>
      </c>
      <c r="H836">
        <v>2</v>
      </c>
      <c r="I836">
        <v>26010000</v>
      </c>
      <c r="J836">
        <v>933</v>
      </c>
      <c r="K836">
        <v>0</v>
      </c>
      <c r="L836">
        <v>15423</v>
      </c>
      <c r="M836">
        <v>14.495139999999999</v>
      </c>
      <c r="N836">
        <v>101.27242</v>
      </c>
      <c r="O836">
        <v>18.91</v>
      </c>
      <c r="P836">
        <v>34.909999999999997</v>
      </c>
      <c r="Q836">
        <v>0.03</v>
      </c>
      <c r="R836">
        <v>1.2</v>
      </c>
      <c r="S836">
        <v>0.01</v>
      </c>
      <c r="T836">
        <v>8.2899999999999991</v>
      </c>
      <c r="U836">
        <v>2.74</v>
      </c>
      <c r="V836">
        <v>0.16</v>
      </c>
      <c r="W836">
        <v>0</v>
      </c>
      <c r="X836">
        <v>30493.630601000001</v>
      </c>
      <c r="Y836">
        <v>37353230.766199999</v>
      </c>
    </row>
    <row r="837" spans="1:25" x14ac:dyDescent="0.55000000000000004">
      <c r="A837">
        <v>835</v>
      </c>
      <c r="B837" t="s">
        <v>20</v>
      </c>
      <c r="C837">
        <v>56</v>
      </c>
      <c r="D837">
        <v>1</v>
      </c>
      <c r="E837" t="s">
        <v>129</v>
      </c>
      <c r="F837" t="s">
        <v>130</v>
      </c>
      <c r="G837">
        <v>26</v>
      </c>
      <c r="H837">
        <v>2</v>
      </c>
      <c r="I837">
        <v>26010000</v>
      </c>
      <c r="J837">
        <v>934</v>
      </c>
      <c r="K837">
        <v>0</v>
      </c>
      <c r="L837">
        <v>15422</v>
      </c>
      <c r="M837">
        <v>14.495139999999999</v>
      </c>
      <c r="N837">
        <v>101.189285</v>
      </c>
      <c r="O837">
        <v>0.65</v>
      </c>
      <c r="P837">
        <v>12.32</v>
      </c>
      <c r="Q837">
        <v>7.0000000000000007E-2</v>
      </c>
      <c r="R837">
        <v>0</v>
      </c>
      <c r="S837">
        <v>0</v>
      </c>
      <c r="T837">
        <v>20.530000999999999</v>
      </c>
      <c r="U837">
        <v>1.36</v>
      </c>
      <c r="V837">
        <v>0</v>
      </c>
      <c r="W837">
        <v>0</v>
      </c>
      <c r="X837">
        <v>3613.196821</v>
      </c>
      <c r="Y837">
        <v>710500.19424099999</v>
      </c>
    </row>
    <row r="838" spans="1:25" x14ac:dyDescent="0.55000000000000004">
      <c r="A838">
        <v>836</v>
      </c>
      <c r="B838" t="s">
        <v>20</v>
      </c>
      <c r="C838">
        <v>56</v>
      </c>
      <c r="D838">
        <v>1</v>
      </c>
      <c r="E838" t="s">
        <v>129</v>
      </c>
      <c r="F838" t="s">
        <v>130</v>
      </c>
      <c r="G838">
        <v>26</v>
      </c>
      <c r="H838">
        <v>2</v>
      </c>
      <c r="I838">
        <v>26010000</v>
      </c>
      <c r="J838">
        <v>935</v>
      </c>
      <c r="K838">
        <v>0</v>
      </c>
      <c r="L838">
        <v>15303</v>
      </c>
      <c r="M838">
        <v>14.414635000000001</v>
      </c>
      <c r="N838">
        <v>101.27242</v>
      </c>
      <c r="O838">
        <v>3.15</v>
      </c>
      <c r="P838">
        <v>4.17</v>
      </c>
      <c r="Q838">
        <v>0.3</v>
      </c>
      <c r="R838">
        <v>0.1</v>
      </c>
      <c r="S838">
        <v>0.88</v>
      </c>
      <c r="T838">
        <v>95.050003000000004</v>
      </c>
      <c r="U838">
        <v>35.360000999999997</v>
      </c>
      <c r="V838">
        <v>0.02</v>
      </c>
      <c r="W838">
        <v>0</v>
      </c>
      <c r="X838">
        <v>35698.316406999998</v>
      </c>
      <c r="Y838">
        <v>79886160.782600001</v>
      </c>
    </row>
    <row r="839" spans="1:25" x14ac:dyDescent="0.55000000000000004">
      <c r="A839">
        <v>837</v>
      </c>
      <c r="B839" t="s">
        <v>20</v>
      </c>
      <c r="C839">
        <v>56</v>
      </c>
      <c r="D839">
        <v>1</v>
      </c>
      <c r="E839" t="s">
        <v>129</v>
      </c>
      <c r="F839" t="s">
        <v>130</v>
      </c>
      <c r="G839">
        <v>26</v>
      </c>
      <c r="H839">
        <v>2</v>
      </c>
      <c r="I839">
        <v>26010000</v>
      </c>
      <c r="J839">
        <v>940</v>
      </c>
      <c r="K839">
        <v>0</v>
      </c>
      <c r="L839">
        <v>15184</v>
      </c>
      <c r="M839">
        <v>14.334099</v>
      </c>
      <c r="N839">
        <v>101.35556</v>
      </c>
      <c r="O839">
        <v>2.5</v>
      </c>
      <c r="P839">
        <v>0.24</v>
      </c>
      <c r="Q839">
        <v>5.97</v>
      </c>
      <c r="R839">
        <v>4.8099999999999996</v>
      </c>
      <c r="S839">
        <v>0.6</v>
      </c>
      <c r="T839">
        <v>67.110000999999997</v>
      </c>
      <c r="U839">
        <v>34.959999000000003</v>
      </c>
      <c r="V839">
        <v>0</v>
      </c>
      <c r="W839">
        <v>0</v>
      </c>
      <c r="X839">
        <v>38644.106146999999</v>
      </c>
      <c r="Y839">
        <v>24121067.215100002</v>
      </c>
    </row>
    <row r="840" spans="1:25" x14ac:dyDescent="0.55000000000000004">
      <c r="A840">
        <v>838</v>
      </c>
      <c r="B840" t="s">
        <v>20</v>
      </c>
      <c r="C840">
        <v>56</v>
      </c>
      <c r="D840">
        <v>1</v>
      </c>
      <c r="E840" t="s">
        <v>129</v>
      </c>
      <c r="F840" t="s">
        <v>130</v>
      </c>
      <c r="G840">
        <v>26</v>
      </c>
      <c r="H840">
        <v>2</v>
      </c>
      <c r="I840">
        <v>26010000</v>
      </c>
      <c r="J840">
        <v>941</v>
      </c>
      <c r="K840">
        <v>0</v>
      </c>
      <c r="L840">
        <v>15304</v>
      </c>
      <c r="M840">
        <v>14.414635000000001</v>
      </c>
      <c r="N840">
        <v>101.35556</v>
      </c>
      <c r="O840">
        <v>7.89</v>
      </c>
      <c r="P840">
        <v>15.73</v>
      </c>
      <c r="Q840">
        <v>0.6</v>
      </c>
      <c r="R840">
        <v>0.52</v>
      </c>
      <c r="S840">
        <v>0.33</v>
      </c>
      <c r="T840">
        <v>81.110000999999997</v>
      </c>
      <c r="U840">
        <v>30.33</v>
      </c>
      <c r="V840">
        <v>0.04</v>
      </c>
      <c r="W840">
        <v>0</v>
      </c>
      <c r="X840">
        <v>35842.127583000001</v>
      </c>
      <c r="Y840">
        <v>69555286.837699994</v>
      </c>
    </row>
    <row r="841" spans="1:25" x14ac:dyDescent="0.55000000000000004">
      <c r="A841">
        <v>839</v>
      </c>
      <c r="B841" t="s">
        <v>20</v>
      </c>
      <c r="C841">
        <v>56</v>
      </c>
      <c r="D841">
        <v>1</v>
      </c>
      <c r="E841" t="s">
        <v>129</v>
      </c>
      <c r="F841" t="s">
        <v>130</v>
      </c>
      <c r="G841">
        <v>26</v>
      </c>
      <c r="H841">
        <v>2</v>
      </c>
      <c r="I841">
        <v>26010000</v>
      </c>
      <c r="J841">
        <v>942</v>
      </c>
      <c r="K841">
        <v>0</v>
      </c>
      <c r="L841">
        <v>15185</v>
      </c>
      <c r="M841">
        <v>14.334099</v>
      </c>
      <c r="N841">
        <v>101.4387</v>
      </c>
      <c r="O841">
        <v>4.93</v>
      </c>
      <c r="P841">
        <v>4.78</v>
      </c>
      <c r="Q841">
        <v>1.19</v>
      </c>
      <c r="R841">
        <v>0.76</v>
      </c>
      <c r="S841">
        <v>7.0000000000000007E-2</v>
      </c>
      <c r="T841">
        <v>69.760002</v>
      </c>
      <c r="U841">
        <v>12.2</v>
      </c>
      <c r="V841">
        <v>0</v>
      </c>
      <c r="W841">
        <v>0</v>
      </c>
      <c r="X841">
        <v>5022.2383300000001</v>
      </c>
      <c r="Y841">
        <v>1030570.91187</v>
      </c>
    </row>
    <row r="842" spans="1:25" x14ac:dyDescent="0.55000000000000004">
      <c r="A842">
        <v>840</v>
      </c>
      <c r="B842" t="s">
        <v>20</v>
      </c>
      <c r="C842">
        <v>56</v>
      </c>
      <c r="D842">
        <v>1</v>
      </c>
      <c r="E842" t="s">
        <v>129</v>
      </c>
      <c r="F842" t="s">
        <v>130</v>
      </c>
      <c r="G842">
        <v>26</v>
      </c>
      <c r="H842">
        <v>2</v>
      </c>
      <c r="I842">
        <v>26010000</v>
      </c>
      <c r="J842">
        <v>943</v>
      </c>
      <c r="K842">
        <v>0</v>
      </c>
      <c r="L842">
        <v>15305</v>
      </c>
      <c r="M842">
        <v>14.414635000000001</v>
      </c>
      <c r="N842">
        <v>101.4387</v>
      </c>
      <c r="O842">
        <v>61.259998000000003</v>
      </c>
      <c r="P842">
        <v>16.639999</v>
      </c>
      <c r="Q842">
        <v>0.26</v>
      </c>
      <c r="R842">
        <v>0.11</v>
      </c>
      <c r="S842">
        <v>0.98</v>
      </c>
      <c r="T842">
        <v>10.87</v>
      </c>
      <c r="U842">
        <v>14.23</v>
      </c>
      <c r="V842">
        <v>0</v>
      </c>
      <c r="W842">
        <v>0</v>
      </c>
      <c r="X842">
        <v>11008.494188999999</v>
      </c>
      <c r="Y842">
        <v>6625180.0224000001</v>
      </c>
    </row>
    <row r="843" spans="1:25" x14ac:dyDescent="0.55000000000000004">
      <c r="A843">
        <v>841</v>
      </c>
      <c r="B843" t="s">
        <v>20</v>
      </c>
      <c r="C843">
        <v>56</v>
      </c>
      <c r="D843">
        <v>1</v>
      </c>
      <c r="E843" t="s">
        <v>129</v>
      </c>
      <c r="F843" t="s">
        <v>130</v>
      </c>
      <c r="G843">
        <v>26</v>
      </c>
      <c r="H843">
        <v>2</v>
      </c>
      <c r="I843">
        <v>26010000</v>
      </c>
      <c r="J843">
        <v>945</v>
      </c>
      <c r="K843">
        <v>0</v>
      </c>
      <c r="L843">
        <v>15424</v>
      </c>
      <c r="M843">
        <v>14.495139999999999</v>
      </c>
      <c r="N843">
        <v>101.35556</v>
      </c>
      <c r="O843">
        <v>18.530000999999999</v>
      </c>
      <c r="P843">
        <v>30.34</v>
      </c>
      <c r="Q843">
        <v>0.01</v>
      </c>
      <c r="R843">
        <v>0.01</v>
      </c>
      <c r="S843">
        <v>0</v>
      </c>
      <c r="T843">
        <v>4.9800000000000004</v>
      </c>
      <c r="U843">
        <v>8.9700000000000006</v>
      </c>
      <c r="V843">
        <v>0</v>
      </c>
      <c r="W843">
        <v>0</v>
      </c>
      <c r="X843">
        <v>9457.6171329999997</v>
      </c>
      <c r="Y843">
        <v>3733250.9636599999</v>
      </c>
    </row>
    <row r="844" spans="1:25" x14ac:dyDescent="0.55000000000000004">
      <c r="A844">
        <v>842</v>
      </c>
      <c r="B844" t="s">
        <v>20</v>
      </c>
      <c r="C844">
        <v>56</v>
      </c>
      <c r="D844">
        <v>1</v>
      </c>
      <c r="E844" t="s">
        <v>129</v>
      </c>
      <c r="F844" t="s">
        <v>130</v>
      </c>
      <c r="G844">
        <v>26</v>
      </c>
      <c r="H844">
        <v>2</v>
      </c>
      <c r="I844">
        <v>26010000</v>
      </c>
      <c r="J844">
        <v>952</v>
      </c>
      <c r="K844">
        <v>0</v>
      </c>
      <c r="L844">
        <v>15182</v>
      </c>
      <c r="M844">
        <v>14.334099</v>
      </c>
      <c r="N844">
        <v>101.189285</v>
      </c>
      <c r="O844">
        <v>9.5</v>
      </c>
      <c r="P844">
        <v>0</v>
      </c>
      <c r="Q844">
        <v>0.53</v>
      </c>
      <c r="R844">
        <v>2.02</v>
      </c>
      <c r="S844">
        <v>0.21</v>
      </c>
      <c r="T844">
        <v>31.41</v>
      </c>
      <c r="U844">
        <v>20.379999000000002</v>
      </c>
      <c r="V844">
        <v>0</v>
      </c>
      <c r="W844">
        <v>0</v>
      </c>
      <c r="X844">
        <v>34999.795616000003</v>
      </c>
      <c r="Y844">
        <v>64990496.651500002</v>
      </c>
    </row>
    <row r="845" spans="1:25" x14ac:dyDescent="0.55000000000000004">
      <c r="A845">
        <v>843</v>
      </c>
      <c r="B845" t="s">
        <v>20</v>
      </c>
      <c r="C845">
        <v>57</v>
      </c>
      <c r="D845">
        <v>2</v>
      </c>
      <c r="E845" t="s">
        <v>131</v>
      </c>
      <c r="F845" t="s">
        <v>132</v>
      </c>
      <c r="G845">
        <v>26</v>
      </c>
      <c r="H845">
        <v>2</v>
      </c>
      <c r="I845">
        <v>26020000</v>
      </c>
      <c r="J845">
        <v>851</v>
      </c>
      <c r="K845">
        <v>0</v>
      </c>
      <c r="L845">
        <v>14702</v>
      </c>
      <c r="M845">
        <v>14.011680999999999</v>
      </c>
      <c r="N845">
        <v>101.189285</v>
      </c>
      <c r="O845">
        <v>0.78</v>
      </c>
      <c r="P845">
        <v>0.43</v>
      </c>
      <c r="Q845">
        <v>39.43</v>
      </c>
      <c r="R845">
        <v>0.74</v>
      </c>
      <c r="S845">
        <v>0.24</v>
      </c>
      <c r="T845">
        <v>12.11</v>
      </c>
      <c r="U845">
        <v>11.77</v>
      </c>
      <c r="V845">
        <v>0</v>
      </c>
      <c r="W845">
        <v>0</v>
      </c>
      <c r="X845">
        <v>4658.8830170000001</v>
      </c>
      <c r="Y845">
        <v>934295.34292900003</v>
      </c>
    </row>
    <row r="846" spans="1:25" x14ac:dyDescent="0.55000000000000004">
      <c r="A846">
        <v>844</v>
      </c>
      <c r="B846" t="s">
        <v>20</v>
      </c>
      <c r="C846">
        <v>57</v>
      </c>
      <c r="D846">
        <v>2</v>
      </c>
      <c r="E846" t="s">
        <v>131</v>
      </c>
      <c r="F846" t="s">
        <v>132</v>
      </c>
      <c r="G846">
        <v>26</v>
      </c>
      <c r="H846">
        <v>2</v>
      </c>
      <c r="I846">
        <v>26020000</v>
      </c>
      <c r="J846">
        <v>890</v>
      </c>
      <c r="K846">
        <v>0</v>
      </c>
      <c r="L846">
        <v>14823</v>
      </c>
      <c r="M846">
        <v>14.092331</v>
      </c>
      <c r="N846">
        <v>101.27242</v>
      </c>
      <c r="O846">
        <v>0.15</v>
      </c>
      <c r="P846">
        <v>0.09</v>
      </c>
      <c r="Q846">
        <v>2.81</v>
      </c>
      <c r="R846">
        <v>0.82</v>
      </c>
      <c r="S846">
        <v>3.92</v>
      </c>
      <c r="T846">
        <v>3.65</v>
      </c>
      <c r="U846">
        <v>62.110000999999997</v>
      </c>
      <c r="V846">
        <v>0</v>
      </c>
      <c r="W846">
        <v>0</v>
      </c>
      <c r="X846">
        <v>32513.729770000002</v>
      </c>
      <c r="Y846">
        <v>64773313.809799999</v>
      </c>
    </row>
    <row r="847" spans="1:25" x14ac:dyDescent="0.55000000000000004">
      <c r="A847">
        <v>845</v>
      </c>
      <c r="B847" t="s">
        <v>20</v>
      </c>
      <c r="C847">
        <v>57</v>
      </c>
      <c r="D847">
        <v>2</v>
      </c>
      <c r="E847" t="s">
        <v>131</v>
      </c>
      <c r="F847" t="s">
        <v>132</v>
      </c>
      <c r="G847">
        <v>26</v>
      </c>
      <c r="H847">
        <v>2</v>
      </c>
      <c r="I847">
        <v>26020000</v>
      </c>
      <c r="J847">
        <v>891</v>
      </c>
      <c r="K847">
        <v>0</v>
      </c>
      <c r="L847">
        <v>14822</v>
      </c>
      <c r="M847">
        <v>14.092331</v>
      </c>
      <c r="N847">
        <v>101.189285</v>
      </c>
      <c r="O847">
        <v>2</v>
      </c>
      <c r="P847">
        <v>7.0000000000000007E-2</v>
      </c>
      <c r="Q847">
        <v>6.34</v>
      </c>
      <c r="R847">
        <v>1.91</v>
      </c>
      <c r="S847">
        <v>0.87</v>
      </c>
      <c r="T847">
        <v>2.95</v>
      </c>
      <c r="U847">
        <v>36.040000999999997</v>
      </c>
      <c r="V847">
        <v>0</v>
      </c>
      <c r="W847">
        <v>0</v>
      </c>
      <c r="X847">
        <v>30423.454461000001</v>
      </c>
      <c r="Y847">
        <v>36775148.301399998</v>
      </c>
    </row>
    <row r="848" spans="1:25" x14ac:dyDescent="0.55000000000000004">
      <c r="A848">
        <v>846</v>
      </c>
      <c r="B848" t="s">
        <v>20</v>
      </c>
      <c r="C848">
        <v>57</v>
      </c>
      <c r="D848">
        <v>2</v>
      </c>
      <c r="E848" t="s">
        <v>131</v>
      </c>
      <c r="F848" t="s">
        <v>132</v>
      </c>
      <c r="G848">
        <v>26</v>
      </c>
      <c r="H848">
        <v>2</v>
      </c>
      <c r="I848">
        <v>26020000</v>
      </c>
      <c r="J848">
        <v>894</v>
      </c>
      <c r="K848">
        <v>0</v>
      </c>
      <c r="L848">
        <v>14943</v>
      </c>
      <c r="M848">
        <v>14.172943</v>
      </c>
      <c r="N848">
        <v>101.27242</v>
      </c>
      <c r="O848">
        <v>1.44</v>
      </c>
      <c r="P848">
        <v>0</v>
      </c>
      <c r="Q848">
        <v>0.2</v>
      </c>
      <c r="R848">
        <v>5.63</v>
      </c>
      <c r="S848">
        <v>1.37</v>
      </c>
      <c r="T848">
        <v>12.46</v>
      </c>
      <c r="U848">
        <v>83.419998000000007</v>
      </c>
      <c r="V848">
        <v>0.57999999999999996</v>
      </c>
      <c r="W848">
        <v>0</v>
      </c>
      <c r="X848">
        <v>33813.315836000002</v>
      </c>
      <c r="Y848">
        <v>58498408.573600002</v>
      </c>
    </row>
    <row r="849" spans="1:25" x14ac:dyDescent="0.55000000000000004">
      <c r="A849">
        <v>847</v>
      </c>
      <c r="B849" t="s">
        <v>20</v>
      </c>
      <c r="C849">
        <v>57</v>
      </c>
      <c r="D849">
        <v>2</v>
      </c>
      <c r="E849" t="s">
        <v>131</v>
      </c>
      <c r="F849" t="s">
        <v>132</v>
      </c>
      <c r="G849">
        <v>26</v>
      </c>
      <c r="H849">
        <v>2</v>
      </c>
      <c r="I849">
        <v>26020000</v>
      </c>
      <c r="J849">
        <v>895</v>
      </c>
      <c r="K849">
        <v>0</v>
      </c>
      <c r="L849">
        <v>14942</v>
      </c>
      <c r="M849">
        <v>14.172943</v>
      </c>
      <c r="N849">
        <v>101.189285</v>
      </c>
      <c r="O849">
        <v>10.01</v>
      </c>
      <c r="P849">
        <v>0.03</v>
      </c>
      <c r="Q849">
        <v>0.83</v>
      </c>
      <c r="R849">
        <v>0.78</v>
      </c>
      <c r="S849">
        <v>0.01</v>
      </c>
      <c r="T849">
        <v>2.98</v>
      </c>
      <c r="U849">
        <v>71.010002</v>
      </c>
      <c r="V849">
        <v>3.04</v>
      </c>
      <c r="W849">
        <v>0.09</v>
      </c>
      <c r="X849">
        <v>20141.085572</v>
      </c>
      <c r="Y849">
        <v>9383293.2608499993</v>
      </c>
    </row>
    <row r="850" spans="1:25" x14ac:dyDescent="0.55000000000000004">
      <c r="A850">
        <v>848</v>
      </c>
      <c r="B850" t="s">
        <v>20</v>
      </c>
      <c r="C850">
        <v>57</v>
      </c>
      <c r="D850">
        <v>2</v>
      </c>
      <c r="E850" t="s">
        <v>131</v>
      </c>
      <c r="F850" t="s">
        <v>132</v>
      </c>
      <c r="G850">
        <v>26</v>
      </c>
      <c r="H850">
        <v>2</v>
      </c>
      <c r="I850">
        <v>26020000</v>
      </c>
      <c r="J850">
        <v>897</v>
      </c>
      <c r="K850">
        <v>0</v>
      </c>
      <c r="L850">
        <v>15063</v>
      </c>
      <c r="M850">
        <v>14.253532</v>
      </c>
      <c r="N850">
        <v>101.27242</v>
      </c>
      <c r="O850">
        <v>0.92</v>
      </c>
      <c r="P850">
        <v>0.05</v>
      </c>
      <c r="Q850">
        <v>1.6</v>
      </c>
      <c r="R850">
        <v>1.67</v>
      </c>
      <c r="S850">
        <v>1.53</v>
      </c>
      <c r="T850">
        <v>42.110000999999997</v>
      </c>
      <c r="U850">
        <v>41.540000999999997</v>
      </c>
      <c r="V850">
        <v>0.03</v>
      </c>
      <c r="W850">
        <v>0</v>
      </c>
      <c r="X850">
        <v>10200.969273999999</v>
      </c>
      <c r="Y850">
        <v>5167140.2443199996</v>
      </c>
    </row>
    <row r="851" spans="1:25" x14ac:dyDescent="0.55000000000000004">
      <c r="A851">
        <v>849</v>
      </c>
      <c r="B851" t="s">
        <v>20</v>
      </c>
      <c r="C851">
        <v>57</v>
      </c>
      <c r="D851">
        <v>2</v>
      </c>
      <c r="E851" t="s">
        <v>131</v>
      </c>
      <c r="F851" t="s">
        <v>132</v>
      </c>
      <c r="G851">
        <v>26</v>
      </c>
      <c r="H851">
        <v>2</v>
      </c>
      <c r="I851">
        <v>26020000</v>
      </c>
      <c r="J851">
        <v>901</v>
      </c>
      <c r="K851">
        <v>0</v>
      </c>
      <c r="L851">
        <v>14824</v>
      </c>
      <c r="M851">
        <v>14.092331</v>
      </c>
      <c r="N851">
        <v>101.35556</v>
      </c>
      <c r="O851">
        <v>0.1</v>
      </c>
      <c r="P851">
        <v>7.0000000000000007E-2</v>
      </c>
      <c r="Q851">
        <v>0.44</v>
      </c>
      <c r="R851">
        <v>0.75</v>
      </c>
      <c r="S851">
        <v>1.9</v>
      </c>
      <c r="T851">
        <v>5.47</v>
      </c>
      <c r="U851">
        <v>11.5</v>
      </c>
      <c r="V851">
        <v>0</v>
      </c>
      <c r="W851">
        <v>0</v>
      </c>
      <c r="X851">
        <v>4089.2934740000001</v>
      </c>
      <c r="Y851">
        <v>753270.68204600003</v>
      </c>
    </row>
    <row r="852" spans="1:25" x14ac:dyDescent="0.55000000000000004">
      <c r="A852">
        <v>850</v>
      </c>
      <c r="B852" t="s">
        <v>20</v>
      </c>
      <c r="C852">
        <v>57</v>
      </c>
      <c r="D852">
        <v>2</v>
      </c>
      <c r="E852" t="s">
        <v>131</v>
      </c>
      <c r="F852" t="s">
        <v>132</v>
      </c>
      <c r="G852">
        <v>26</v>
      </c>
      <c r="H852">
        <v>2</v>
      </c>
      <c r="I852">
        <v>26020000</v>
      </c>
      <c r="J852">
        <v>905</v>
      </c>
      <c r="K852">
        <v>0</v>
      </c>
      <c r="L852">
        <v>14944</v>
      </c>
      <c r="M852">
        <v>14.172943</v>
      </c>
      <c r="N852">
        <v>101.35556</v>
      </c>
      <c r="O852">
        <v>7.38</v>
      </c>
      <c r="P852">
        <v>0.03</v>
      </c>
      <c r="Q852">
        <v>0.49</v>
      </c>
      <c r="R852">
        <v>0.27</v>
      </c>
      <c r="S852">
        <v>2.74</v>
      </c>
      <c r="T852">
        <v>48.040000999999997</v>
      </c>
      <c r="U852">
        <v>62.509998000000003</v>
      </c>
      <c r="V852">
        <v>0</v>
      </c>
      <c r="W852">
        <v>0</v>
      </c>
      <c r="X852">
        <v>22650.222301999998</v>
      </c>
      <c r="Y852">
        <v>16213441.129699999</v>
      </c>
    </row>
    <row r="853" spans="1:25" x14ac:dyDescent="0.55000000000000004">
      <c r="A853">
        <v>851</v>
      </c>
      <c r="B853" t="s">
        <v>20</v>
      </c>
      <c r="C853">
        <v>57</v>
      </c>
      <c r="D853">
        <v>2</v>
      </c>
      <c r="E853" t="s">
        <v>131</v>
      </c>
      <c r="F853" t="s">
        <v>132</v>
      </c>
      <c r="G853">
        <v>26</v>
      </c>
      <c r="H853">
        <v>2</v>
      </c>
      <c r="I853">
        <v>26020000</v>
      </c>
      <c r="J853">
        <v>907</v>
      </c>
      <c r="K853">
        <v>0</v>
      </c>
      <c r="L853">
        <v>15065</v>
      </c>
      <c r="M853">
        <v>14.253532</v>
      </c>
      <c r="N853">
        <v>101.4387</v>
      </c>
      <c r="O853">
        <v>3.54</v>
      </c>
      <c r="P853">
        <v>0.44</v>
      </c>
      <c r="Q853">
        <v>2.02</v>
      </c>
      <c r="R853">
        <v>1.9</v>
      </c>
      <c r="S853">
        <v>3</v>
      </c>
      <c r="T853">
        <v>59.029998999999997</v>
      </c>
      <c r="U853">
        <v>4.5</v>
      </c>
      <c r="V853">
        <v>0</v>
      </c>
      <c r="W853">
        <v>0</v>
      </c>
      <c r="X853">
        <v>25035.065363000002</v>
      </c>
      <c r="Y853">
        <v>34858260.4912</v>
      </c>
    </row>
    <row r="854" spans="1:25" x14ac:dyDescent="0.55000000000000004">
      <c r="A854">
        <v>852</v>
      </c>
      <c r="B854" t="s">
        <v>20</v>
      </c>
      <c r="C854">
        <v>57</v>
      </c>
      <c r="D854">
        <v>2</v>
      </c>
      <c r="E854" t="s">
        <v>131</v>
      </c>
      <c r="F854" t="s">
        <v>132</v>
      </c>
      <c r="G854">
        <v>26</v>
      </c>
      <c r="H854">
        <v>2</v>
      </c>
      <c r="I854">
        <v>26020000</v>
      </c>
      <c r="J854">
        <v>908</v>
      </c>
      <c r="K854">
        <v>0</v>
      </c>
      <c r="L854">
        <v>15064</v>
      </c>
      <c r="M854">
        <v>14.253532</v>
      </c>
      <c r="N854">
        <v>101.35556</v>
      </c>
      <c r="O854">
        <v>0.51</v>
      </c>
      <c r="P854">
        <v>2.38</v>
      </c>
      <c r="Q854">
        <v>1.99</v>
      </c>
      <c r="R854">
        <v>1.2</v>
      </c>
      <c r="S854">
        <v>0.44</v>
      </c>
      <c r="T854">
        <v>77.680000000000007</v>
      </c>
      <c r="U854">
        <v>12.14</v>
      </c>
      <c r="V854">
        <v>0</v>
      </c>
      <c r="W854">
        <v>0</v>
      </c>
      <c r="X854">
        <v>36684.498080999998</v>
      </c>
      <c r="Y854">
        <v>57785539.3182</v>
      </c>
    </row>
    <row r="855" spans="1:25" x14ac:dyDescent="0.55000000000000004">
      <c r="A855">
        <v>853</v>
      </c>
      <c r="B855" t="s">
        <v>20</v>
      </c>
      <c r="C855">
        <v>57</v>
      </c>
      <c r="D855">
        <v>2</v>
      </c>
      <c r="E855" t="s">
        <v>131</v>
      </c>
      <c r="F855" t="s">
        <v>132</v>
      </c>
      <c r="G855">
        <v>26</v>
      </c>
      <c r="H855">
        <v>2</v>
      </c>
      <c r="I855">
        <v>26020000</v>
      </c>
      <c r="J855">
        <v>922</v>
      </c>
      <c r="K855">
        <v>0</v>
      </c>
      <c r="L855">
        <v>15066</v>
      </c>
      <c r="M855">
        <v>14.253532</v>
      </c>
      <c r="N855">
        <v>101.52182999999999</v>
      </c>
      <c r="O855">
        <v>0.17</v>
      </c>
      <c r="P855">
        <v>0.93</v>
      </c>
      <c r="Q855">
        <v>1.67</v>
      </c>
      <c r="R855">
        <v>0.92</v>
      </c>
      <c r="S855">
        <v>0.36</v>
      </c>
      <c r="T855">
        <v>93.400002000000001</v>
      </c>
      <c r="U855">
        <v>16.280000999999999</v>
      </c>
      <c r="V855">
        <v>0</v>
      </c>
      <c r="W855">
        <v>0</v>
      </c>
      <c r="X855">
        <v>10374.983111</v>
      </c>
      <c r="Y855">
        <v>6491399.2869899999</v>
      </c>
    </row>
    <row r="856" spans="1:25" x14ac:dyDescent="0.55000000000000004">
      <c r="A856">
        <v>854</v>
      </c>
      <c r="B856" t="s">
        <v>20</v>
      </c>
      <c r="C856">
        <v>57</v>
      </c>
      <c r="D856">
        <v>2</v>
      </c>
      <c r="E856" t="s">
        <v>131</v>
      </c>
      <c r="F856" t="s">
        <v>132</v>
      </c>
      <c r="G856">
        <v>26</v>
      </c>
      <c r="H856">
        <v>2</v>
      </c>
      <c r="I856">
        <v>26020000</v>
      </c>
      <c r="J856">
        <v>931</v>
      </c>
      <c r="K856">
        <v>0</v>
      </c>
      <c r="L856">
        <v>15183</v>
      </c>
      <c r="M856">
        <v>14.334099</v>
      </c>
      <c r="N856">
        <v>101.27242</v>
      </c>
      <c r="O856">
        <v>19.34</v>
      </c>
      <c r="P856">
        <v>0.03</v>
      </c>
      <c r="Q856">
        <v>1.17</v>
      </c>
      <c r="R856">
        <v>0.74</v>
      </c>
      <c r="S856">
        <v>17.719999000000001</v>
      </c>
      <c r="T856">
        <v>23.299999</v>
      </c>
      <c r="U856">
        <v>37.540000999999997</v>
      </c>
      <c r="V856">
        <v>0</v>
      </c>
      <c r="W856">
        <v>0</v>
      </c>
      <c r="X856">
        <v>1311.0018250000001</v>
      </c>
      <c r="Y856">
        <v>54646.680939999998</v>
      </c>
    </row>
    <row r="857" spans="1:25" x14ac:dyDescent="0.55000000000000004">
      <c r="A857">
        <v>855</v>
      </c>
      <c r="B857" t="s">
        <v>20</v>
      </c>
      <c r="C857">
        <v>57</v>
      </c>
      <c r="D857">
        <v>2</v>
      </c>
      <c r="E857" t="s">
        <v>131</v>
      </c>
      <c r="F857" t="s">
        <v>132</v>
      </c>
      <c r="G857">
        <v>26</v>
      </c>
      <c r="H857">
        <v>2</v>
      </c>
      <c r="I857">
        <v>26020000</v>
      </c>
      <c r="J857">
        <v>940</v>
      </c>
      <c r="K857">
        <v>0</v>
      </c>
      <c r="L857">
        <v>15184</v>
      </c>
      <c r="M857">
        <v>14.334099</v>
      </c>
      <c r="N857">
        <v>101.35556</v>
      </c>
      <c r="O857">
        <v>2.5</v>
      </c>
      <c r="P857">
        <v>0.24</v>
      </c>
      <c r="Q857">
        <v>5.97</v>
      </c>
      <c r="R857">
        <v>4.8099999999999996</v>
      </c>
      <c r="S857">
        <v>0.6</v>
      </c>
      <c r="T857">
        <v>67.110000999999997</v>
      </c>
      <c r="U857">
        <v>34.959999000000003</v>
      </c>
      <c r="V857">
        <v>0</v>
      </c>
      <c r="W857">
        <v>0</v>
      </c>
      <c r="X857">
        <v>32324.324507000001</v>
      </c>
      <c r="Y857">
        <v>55876434.742600001</v>
      </c>
    </row>
    <row r="858" spans="1:25" x14ac:dyDescent="0.55000000000000004">
      <c r="A858">
        <v>856</v>
      </c>
      <c r="B858" t="s">
        <v>20</v>
      </c>
      <c r="C858">
        <v>57</v>
      </c>
      <c r="D858">
        <v>2</v>
      </c>
      <c r="E858" t="s">
        <v>131</v>
      </c>
      <c r="F858" t="s">
        <v>132</v>
      </c>
      <c r="G858">
        <v>26</v>
      </c>
      <c r="H858">
        <v>2</v>
      </c>
      <c r="I858">
        <v>26020000</v>
      </c>
      <c r="J858">
        <v>942</v>
      </c>
      <c r="K858">
        <v>0</v>
      </c>
      <c r="L858">
        <v>15185</v>
      </c>
      <c r="M858">
        <v>14.334099</v>
      </c>
      <c r="N858">
        <v>101.4387</v>
      </c>
      <c r="O858">
        <v>4.93</v>
      </c>
      <c r="P858">
        <v>4.78</v>
      </c>
      <c r="Q858">
        <v>1.19</v>
      </c>
      <c r="R858">
        <v>0.76</v>
      </c>
      <c r="S858">
        <v>7.0000000000000007E-2</v>
      </c>
      <c r="T858">
        <v>69.760002</v>
      </c>
      <c r="U858">
        <v>12.2</v>
      </c>
      <c r="V858">
        <v>0</v>
      </c>
      <c r="W858">
        <v>0</v>
      </c>
      <c r="X858">
        <v>34010.153487000003</v>
      </c>
      <c r="Y858">
        <v>77330090.669100001</v>
      </c>
    </row>
    <row r="859" spans="1:25" x14ac:dyDescent="0.55000000000000004">
      <c r="A859">
        <v>857</v>
      </c>
      <c r="B859" t="s">
        <v>20</v>
      </c>
      <c r="C859">
        <v>57</v>
      </c>
      <c r="D859">
        <v>2</v>
      </c>
      <c r="E859" t="s">
        <v>131</v>
      </c>
      <c r="F859" t="s">
        <v>132</v>
      </c>
      <c r="G859">
        <v>26</v>
      </c>
      <c r="H859">
        <v>2</v>
      </c>
      <c r="I859">
        <v>26020000</v>
      </c>
      <c r="J859">
        <v>943</v>
      </c>
      <c r="K859">
        <v>0</v>
      </c>
      <c r="L859">
        <v>15305</v>
      </c>
      <c r="M859">
        <v>14.414635000000001</v>
      </c>
      <c r="N859">
        <v>101.4387</v>
      </c>
      <c r="O859">
        <v>61.259998000000003</v>
      </c>
      <c r="P859">
        <v>16.639999</v>
      </c>
      <c r="Q859">
        <v>0.26</v>
      </c>
      <c r="R859">
        <v>0.11</v>
      </c>
      <c r="S859">
        <v>0.98</v>
      </c>
      <c r="T859">
        <v>10.87</v>
      </c>
      <c r="U859">
        <v>14.23</v>
      </c>
      <c r="V859">
        <v>0</v>
      </c>
      <c r="W859">
        <v>0</v>
      </c>
      <c r="X859">
        <v>11788.927328</v>
      </c>
      <c r="Y859">
        <v>5163049.6094300002</v>
      </c>
    </row>
    <row r="860" spans="1:25" x14ac:dyDescent="0.55000000000000004">
      <c r="A860">
        <v>858</v>
      </c>
      <c r="B860" t="s">
        <v>20</v>
      </c>
      <c r="C860">
        <v>57</v>
      </c>
      <c r="D860">
        <v>2</v>
      </c>
      <c r="E860" t="s">
        <v>131</v>
      </c>
      <c r="F860" t="s">
        <v>132</v>
      </c>
      <c r="G860">
        <v>26</v>
      </c>
      <c r="H860">
        <v>2</v>
      </c>
      <c r="I860">
        <v>26020000</v>
      </c>
      <c r="J860">
        <v>944</v>
      </c>
      <c r="K860">
        <v>0</v>
      </c>
      <c r="L860">
        <v>15186</v>
      </c>
      <c r="M860">
        <v>14.334099</v>
      </c>
      <c r="N860">
        <v>101.52182999999999</v>
      </c>
      <c r="O860">
        <v>23.9</v>
      </c>
      <c r="P860">
        <v>9.25</v>
      </c>
      <c r="Q860">
        <v>0.52</v>
      </c>
      <c r="R860">
        <v>0.91</v>
      </c>
      <c r="S860">
        <v>0.02</v>
      </c>
      <c r="T860">
        <v>15.28</v>
      </c>
      <c r="U860">
        <v>7.74</v>
      </c>
      <c r="V860">
        <v>0</v>
      </c>
      <c r="W860">
        <v>0</v>
      </c>
      <c r="X860">
        <v>16994.403891999998</v>
      </c>
      <c r="Y860">
        <v>10335348.635199999</v>
      </c>
    </row>
    <row r="861" spans="1:25" x14ac:dyDescent="0.55000000000000004">
      <c r="A861">
        <v>859</v>
      </c>
      <c r="B861" t="s">
        <v>20</v>
      </c>
      <c r="C861">
        <v>58</v>
      </c>
      <c r="D861">
        <v>3</v>
      </c>
      <c r="E861" t="s">
        <v>133</v>
      </c>
      <c r="F861" t="s">
        <v>134</v>
      </c>
      <c r="G861">
        <v>26</v>
      </c>
      <c r="H861">
        <v>2</v>
      </c>
      <c r="I861">
        <v>26030000</v>
      </c>
      <c r="J861">
        <v>840</v>
      </c>
      <c r="K861">
        <v>0</v>
      </c>
      <c r="L861">
        <v>15059</v>
      </c>
      <c r="M861">
        <v>14.253532</v>
      </c>
      <c r="N861">
        <v>100.93988</v>
      </c>
      <c r="O861">
        <v>1.72</v>
      </c>
      <c r="P861">
        <v>0</v>
      </c>
      <c r="Q861">
        <v>7.0000000000000007E-2</v>
      </c>
      <c r="R861">
        <v>1.91</v>
      </c>
      <c r="S861">
        <v>4.7300000000000004</v>
      </c>
      <c r="T861">
        <v>3.88</v>
      </c>
      <c r="U861">
        <v>49.900002000000001</v>
      </c>
      <c r="V861">
        <v>0.45</v>
      </c>
      <c r="W861">
        <v>0</v>
      </c>
      <c r="X861">
        <v>21489.050612999999</v>
      </c>
      <c r="Y861">
        <v>22877048.699299999</v>
      </c>
    </row>
    <row r="862" spans="1:25" x14ac:dyDescent="0.55000000000000004">
      <c r="A862">
        <v>860</v>
      </c>
      <c r="B862" t="s">
        <v>20</v>
      </c>
      <c r="C862">
        <v>58</v>
      </c>
      <c r="D862">
        <v>3</v>
      </c>
      <c r="E862" t="s">
        <v>133</v>
      </c>
      <c r="F862" t="s">
        <v>134</v>
      </c>
      <c r="G862">
        <v>26</v>
      </c>
      <c r="H862">
        <v>2</v>
      </c>
      <c r="I862">
        <v>26030000</v>
      </c>
      <c r="J862">
        <v>847</v>
      </c>
      <c r="K862">
        <v>0</v>
      </c>
      <c r="L862">
        <v>14820</v>
      </c>
      <c r="M862">
        <v>14.092331</v>
      </c>
      <c r="N862">
        <v>101.02302</v>
      </c>
      <c r="O862">
        <v>0.25</v>
      </c>
      <c r="P862">
        <v>0.03</v>
      </c>
      <c r="Q862">
        <v>0.04</v>
      </c>
      <c r="R862">
        <v>0.09</v>
      </c>
      <c r="S862">
        <v>0.08</v>
      </c>
      <c r="T862">
        <v>5.41</v>
      </c>
      <c r="U862">
        <v>15.64</v>
      </c>
      <c r="V862">
        <v>0</v>
      </c>
      <c r="W862">
        <v>0</v>
      </c>
      <c r="X862">
        <v>35.979804000000001</v>
      </c>
      <c r="Y862">
        <v>56.552531000000002</v>
      </c>
    </row>
    <row r="863" spans="1:25" x14ac:dyDescent="0.55000000000000004">
      <c r="A863">
        <v>861</v>
      </c>
      <c r="B863" t="s">
        <v>20</v>
      </c>
      <c r="C863">
        <v>58</v>
      </c>
      <c r="D863">
        <v>3</v>
      </c>
      <c r="E863" t="s">
        <v>133</v>
      </c>
      <c r="F863" t="s">
        <v>134</v>
      </c>
      <c r="G863">
        <v>26</v>
      </c>
      <c r="H863">
        <v>2</v>
      </c>
      <c r="I863">
        <v>26030000</v>
      </c>
      <c r="J863">
        <v>848</v>
      </c>
      <c r="K863">
        <v>0</v>
      </c>
      <c r="L863">
        <v>14941</v>
      </c>
      <c r="M863">
        <v>14.172943</v>
      </c>
      <c r="N863">
        <v>101.10615</v>
      </c>
      <c r="O863">
        <v>2.93</v>
      </c>
      <c r="P863">
        <v>0.04</v>
      </c>
      <c r="Q863">
        <v>0.44</v>
      </c>
      <c r="R863">
        <v>0.33</v>
      </c>
      <c r="S863">
        <v>1.77</v>
      </c>
      <c r="T863">
        <v>2.4900000000000002</v>
      </c>
      <c r="U863">
        <v>40.279998999999997</v>
      </c>
      <c r="V863">
        <v>0.06</v>
      </c>
      <c r="W863">
        <v>0</v>
      </c>
      <c r="X863">
        <v>29223.351156000001</v>
      </c>
      <c r="Y863">
        <v>30929232.2568</v>
      </c>
    </row>
    <row r="864" spans="1:25" x14ac:dyDescent="0.55000000000000004">
      <c r="A864">
        <v>862</v>
      </c>
      <c r="B864" t="s">
        <v>20</v>
      </c>
      <c r="C864">
        <v>58</v>
      </c>
      <c r="D864">
        <v>3</v>
      </c>
      <c r="E864" t="s">
        <v>133</v>
      </c>
      <c r="F864" t="s">
        <v>134</v>
      </c>
      <c r="G864">
        <v>26</v>
      </c>
      <c r="H864">
        <v>2</v>
      </c>
      <c r="I864">
        <v>26030000</v>
      </c>
      <c r="J864">
        <v>849</v>
      </c>
      <c r="K864">
        <v>0</v>
      </c>
      <c r="L864">
        <v>14940</v>
      </c>
      <c r="M864">
        <v>14.172943</v>
      </c>
      <c r="N864">
        <v>101.02302</v>
      </c>
      <c r="O864">
        <v>8.9700000000000006</v>
      </c>
      <c r="P864">
        <v>0.01</v>
      </c>
      <c r="Q864">
        <v>0.04</v>
      </c>
      <c r="R864">
        <v>0.01</v>
      </c>
      <c r="S864">
        <v>3.44</v>
      </c>
      <c r="T864">
        <v>0.98</v>
      </c>
      <c r="U864">
        <v>52.189999</v>
      </c>
      <c r="V864">
        <v>0.36</v>
      </c>
      <c r="W864">
        <v>0</v>
      </c>
      <c r="X864">
        <v>31353.030695000001</v>
      </c>
      <c r="Y864">
        <v>38806111.375200003</v>
      </c>
    </row>
    <row r="865" spans="1:25" x14ac:dyDescent="0.55000000000000004">
      <c r="A865">
        <v>863</v>
      </c>
      <c r="B865" t="s">
        <v>20</v>
      </c>
      <c r="C865">
        <v>58</v>
      </c>
      <c r="D865">
        <v>3</v>
      </c>
      <c r="E865" t="s">
        <v>133</v>
      </c>
      <c r="F865" t="s">
        <v>134</v>
      </c>
      <c r="G865">
        <v>26</v>
      </c>
      <c r="H865">
        <v>2</v>
      </c>
      <c r="I865">
        <v>26030000</v>
      </c>
      <c r="J865">
        <v>852</v>
      </c>
      <c r="K865">
        <v>0</v>
      </c>
      <c r="L865">
        <v>15061</v>
      </c>
      <c r="M865">
        <v>14.253532</v>
      </c>
      <c r="N865">
        <v>101.10615</v>
      </c>
      <c r="O865">
        <v>7.43</v>
      </c>
      <c r="P865">
        <v>0</v>
      </c>
      <c r="Q865">
        <v>0.23</v>
      </c>
      <c r="R865">
        <v>1.48</v>
      </c>
      <c r="S865">
        <v>0.03</v>
      </c>
      <c r="T865">
        <v>7.34</v>
      </c>
      <c r="U865">
        <v>22.290001</v>
      </c>
      <c r="V865">
        <v>0.01</v>
      </c>
      <c r="W865">
        <v>0.01</v>
      </c>
      <c r="X865">
        <v>36839.598204000002</v>
      </c>
      <c r="Y865">
        <v>63587983.193899997</v>
      </c>
    </row>
    <row r="866" spans="1:25" x14ac:dyDescent="0.55000000000000004">
      <c r="A866">
        <v>864</v>
      </c>
      <c r="B866" t="s">
        <v>20</v>
      </c>
      <c r="C866">
        <v>58</v>
      </c>
      <c r="D866">
        <v>3</v>
      </c>
      <c r="E866" t="s">
        <v>133</v>
      </c>
      <c r="F866" t="s">
        <v>134</v>
      </c>
      <c r="G866">
        <v>26</v>
      </c>
      <c r="H866">
        <v>2</v>
      </c>
      <c r="I866">
        <v>26030000</v>
      </c>
      <c r="J866">
        <v>853</v>
      </c>
      <c r="K866">
        <v>0</v>
      </c>
      <c r="L866">
        <v>15060</v>
      </c>
      <c r="M866">
        <v>14.253532</v>
      </c>
      <c r="N866">
        <v>101.02302</v>
      </c>
      <c r="O866">
        <v>5.0599999999999996</v>
      </c>
      <c r="P866">
        <v>0</v>
      </c>
      <c r="Q866">
        <v>0.13</v>
      </c>
      <c r="R866">
        <v>0.49</v>
      </c>
      <c r="S866">
        <v>1.94</v>
      </c>
      <c r="T866">
        <v>3.68</v>
      </c>
      <c r="U866">
        <v>14.77</v>
      </c>
      <c r="V866">
        <v>0.35</v>
      </c>
      <c r="W866">
        <v>0</v>
      </c>
      <c r="X866">
        <v>36220.793389999999</v>
      </c>
      <c r="Y866">
        <v>79431633.196600005</v>
      </c>
    </row>
    <row r="867" spans="1:25" x14ac:dyDescent="0.55000000000000004">
      <c r="A867">
        <v>865</v>
      </c>
      <c r="B867" t="s">
        <v>20</v>
      </c>
      <c r="C867">
        <v>58</v>
      </c>
      <c r="D867">
        <v>3</v>
      </c>
      <c r="E867" t="s">
        <v>133</v>
      </c>
      <c r="F867" t="s">
        <v>134</v>
      </c>
      <c r="G867">
        <v>26</v>
      </c>
      <c r="H867">
        <v>2</v>
      </c>
      <c r="I867">
        <v>26030000</v>
      </c>
      <c r="J867">
        <v>881</v>
      </c>
      <c r="K867">
        <v>0</v>
      </c>
      <c r="L867">
        <v>15180</v>
      </c>
      <c r="M867">
        <v>14.334099</v>
      </c>
      <c r="N867">
        <v>101.02302</v>
      </c>
      <c r="O867">
        <v>1.51</v>
      </c>
      <c r="P867">
        <v>0</v>
      </c>
      <c r="Q867">
        <v>1.34</v>
      </c>
      <c r="R867">
        <v>1.9</v>
      </c>
      <c r="S867">
        <v>0.7</v>
      </c>
      <c r="T867">
        <v>5.6</v>
      </c>
      <c r="U867">
        <v>37.380001</v>
      </c>
      <c r="V867">
        <v>0.15</v>
      </c>
      <c r="W867">
        <v>0</v>
      </c>
      <c r="X867">
        <v>30610.138561</v>
      </c>
      <c r="Y867">
        <v>29923640.8017</v>
      </c>
    </row>
    <row r="868" spans="1:25" x14ac:dyDescent="0.55000000000000004">
      <c r="A868">
        <v>866</v>
      </c>
      <c r="B868" t="s">
        <v>20</v>
      </c>
      <c r="C868">
        <v>58</v>
      </c>
      <c r="D868">
        <v>3</v>
      </c>
      <c r="E868" t="s">
        <v>133</v>
      </c>
      <c r="F868" t="s">
        <v>134</v>
      </c>
      <c r="G868">
        <v>26</v>
      </c>
      <c r="H868">
        <v>2</v>
      </c>
      <c r="I868">
        <v>26030000</v>
      </c>
      <c r="J868">
        <v>882</v>
      </c>
      <c r="K868">
        <v>0</v>
      </c>
      <c r="L868">
        <v>15181</v>
      </c>
      <c r="M868">
        <v>14.334099</v>
      </c>
      <c r="N868">
        <v>101.10615</v>
      </c>
      <c r="O868">
        <v>6.78</v>
      </c>
      <c r="P868">
        <v>0</v>
      </c>
      <c r="Q868">
        <v>0.56999999999999995</v>
      </c>
      <c r="R868">
        <v>0.27</v>
      </c>
      <c r="S868">
        <v>0</v>
      </c>
      <c r="T868">
        <v>17.040001</v>
      </c>
      <c r="U868">
        <v>16.129999000000002</v>
      </c>
      <c r="V868">
        <v>1.29</v>
      </c>
      <c r="W868">
        <v>3.56</v>
      </c>
      <c r="X868">
        <v>35546.591296999999</v>
      </c>
      <c r="Y868">
        <v>78798817.7949</v>
      </c>
    </row>
    <row r="869" spans="1:25" x14ac:dyDescent="0.55000000000000004">
      <c r="A869">
        <v>867</v>
      </c>
      <c r="B869" t="s">
        <v>20</v>
      </c>
      <c r="C869">
        <v>58</v>
      </c>
      <c r="D869">
        <v>3</v>
      </c>
      <c r="E869" t="s">
        <v>133</v>
      </c>
      <c r="F869" t="s">
        <v>134</v>
      </c>
      <c r="G869">
        <v>26</v>
      </c>
      <c r="H869">
        <v>2</v>
      </c>
      <c r="I869">
        <v>26030000</v>
      </c>
      <c r="J869">
        <v>884</v>
      </c>
      <c r="K869">
        <v>0</v>
      </c>
      <c r="L869">
        <v>15300</v>
      </c>
      <c r="M869">
        <v>14.414635000000001</v>
      </c>
      <c r="N869">
        <v>101.02302</v>
      </c>
      <c r="O869">
        <v>1.54</v>
      </c>
      <c r="P869">
        <v>0</v>
      </c>
      <c r="Q869">
        <v>0.27</v>
      </c>
      <c r="R869">
        <v>0</v>
      </c>
      <c r="S869">
        <v>0.77</v>
      </c>
      <c r="T869">
        <v>9.36</v>
      </c>
      <c r="U869">
        <v>25.83</v>
      </c>
      <c r="V869">
        <v>0</v>
      </c>
      <c r="W869">
        <v>0</v>
      </c>
      <c r="X869">
        <v>10928.632802</v>
      </c>
      <c r="Y869">
        <v>3281743.41701</v>
      </c>
    </row>
    <row r="870" spans="1:25" x14ac:dyDescent="0.55000000000000004">
      <c r="A870">
        <v>868</v>
      </c>
      <c r="B870" t="s">
        <v>20</v>
      </c>
      <c r="C870">
        <v>58</v>
      </c>
      <c r="D870">
        <v>3</v>
      </c>
      <c r="E870" t="s">
        <v>133</v>
      </c>
      <c r="F870" t="s">
        <v>134</v>
      </c>
      <c r="G870">
        <v>26</v>
      </c>
      <c r="H870">
        <v>2</v>
      </c>
      <c r="I870">
        <v>26030000</v>
      </c>
      <c r="J870">
        <v>885</v>
      </c>
      <c r="K870">
        <v>0</v>
      </c>
      <c r="L870">
        <v>15301</v>
      </c>
      <c r="M870">
        <v>14.414635000000001</v>
      </c>
      <c r="N870">
        <v>101.10615</v>
      </c>
      <c r="O870">
        <v>1.0900000000000001</v>
      </c>
      <c r="P870">
        <v>0</v>
      </c>
      <c r="Q870">
        <v>1.62</v>
      </c>
      <c r="R870">
        <v>0.02</v>
      </c>
      <c r="S870">
        <v>0</v>
      </c>
      <c r="T870">
        <v>9.41</v>
      </c>
      <c r="U870">
        <v>48.299999</v>
      </c>
      <c r="V870">
        <v>0</v>
      </c>
      <c r="W870">
        <v>0</v>
      </c>
      <c r="X870">
        <v>23405.609530000002</v>
      </c>
      <c r="Y870">
        <v>9983037.2340699993</v>
      </c>
    </row>
    <row r="871" spans="1:25" x14ac:dyDescent="0.55000000000000004">
      <c r="A871">
        <v>869</v>
      </c>
      <c r="B871" t="s">
        <v>20</v>
      </c>
      <c r="C871">
        <v>58</v>
      </c>
      <c r="D871">
        <v>3</v>
      </c>
      <c r="E871" t="s">
        <v>133</v>
      </c>
      <c r="F871" t="s">
        <v>134</v>
      </c>
      <c r="G871">
        <v>26</v>
      </c>
      <c r="H871">
        <v>2</v>
      </c>
      <c r="I871">
        <v>26030000</v>
      </c>
      <c r="J871">
        <v>952</v>
      </c>
      <c r="K871">
        <v>0</v>
      </c>
      <c r="L871">
        <v>15182</v>
      </c>
      <c r="M871">
        <v>14.334099</v>
      </c>
      <c r="N871">
        <v>101.189285</v>
      </c>
      <c r="O871">
        <v>9.5</v>
      </c>
      <c r="P871">
        <v>0</v>
      </c>
      <c r="Q871">
        <v>0.53</v>
      </c>
      <c r="R871">
        <v>2.02</v>
      </c>
      <c r="S871">
        <v>0.21</v>
      </c>
      <c r="T871">
        <v>31.41</v>
      </c>
      <c r="U871">
        <v>20.379999000000002</v>
      </c>
      <c r="V871">
        <v>0</v>
      </c>
      <c r="W871">
        <v>0</v>
      </c>
      <c r="X871">
        <v>14717.581623</v>
      </c>
      <c r="Y871">
        <v>4080501.0104299998</v>
      </c>
    </row>
    <row r="872" spans="1:25" x14ac:dyDescent="0.55000000000000004">
      <c r="A872">
        <v>870</v>
      </c>
      <c r="B872" t="s">
        <v>20</v>
      </c>
      <c r="C872">
        <v>59</v>
      </c>
      <c r="D872">
        <v>4</v>
      </c>
      <c r="E872" t="s">
        <v>135</v>
      </c>
      <c r="F872" t="s">
        <v>136</v>
      </c>
      <c r="G872">
        <v>26</v>
      </c>
      <c r="H872">
        <v>2</v>
      </c>
      <c r="I872">
        <v>26040000</v>
      </c>
      <c r="J872">
        <v>833</v>
      </c>
      <c r="K872">
        <v>0</v>
      </c>
      <c r="L872">
        <v>14579</v>
      </c>
      <c r="M872">
        <v>13.931006999999999</v>
      </c>
      <c r="N872">
        <v>100.93988</v>
      </c>
      <c r="O872">
        <v>0.36</v>
      </c>
      <c r="P872">
        <v>0.03</v>
      </c>
      <c r="Q872">
        <v>6.83</v>
      </c>
      <c r="R872">
        <v>1.21</v>
      </c>
      <c r="S872">
        <v>1.29</v>
      </c>
      <c r="T872">
        <v>17.209999</v>
      </c>
      <c r="U872">
        <v>4.32</v>
      </c>
      <c r="V872">
        <v>0</v>
      </c>
      <c r="W872">
        <v>0</v>
      </c>
      <c r="X872">
        <v>16236.598613</v>
      </c>
      <c r="Y872">
        <v>4892979.1072699996</v>
      </c>
    </row>
    <row r="873" spans="1:25" x14ac:dyDescent="0.55000000000000004">
      <c r="A873">
        <v>871</v>
      </c>
      <c r="B873" t="s">
        <v>20</v>
      </c>
      <c r="C873">
        <v>59</v>
      </c>
      <c r="D873">
        <v>4</v>
      </c>
      <c r="E873" t="s">
        <v>135</v>
      </c>
      <c r="F873" t="s">
        <v>136</v>
      </c>
      <c r="G873">
        <v>26</v>
      </c>
      <c r="H873">
        <v>2</v>
      </c>
      <c r="I873">
        <v>26040000</v>
      </c>
      <c r="J873">
        <v>835</v>
      </c>
      <c r="K873">
        <v>0</v>
      </c>
      <c r="L873">
        <v>14819</v>
      </c>
      <c r="M873">
        <v>14.092331</v>
      </c>
      <c r="N873">
        <v>100.93988</v>
      </c>
      <c r="O873">
        <v>0.01</v>
      </c>
      <c r="P873">
        <v>0</v>
      </c>
      <c r="Q873">
        <v>0</v>
      </c>
      <c r="R873">
        <v>2.61</v>
      </c>
      <c r="S873">
        <v>0.64</v>
      </c>
      <c r="T873">
        <v>8.94</v>
      </c>
      <c r="U873">
        <v>39.360000999999997</v>
      </c>
      <c r="V873">
        <v>0</v>
      </c>
      <c r="W873">
        <v>0.08</v>
      </c>
      <c r="X873">
        <v>32367.875744000001</v>
      </c>
      <c r="Y873">
        <v>64747673.2914</v>
      </c>
    </row>
    <row r="874" spans="1:25" x14ac:dyDescent="0.55000000000000004">
      <c r="A874">
        <v>872</v>
      </c>
      <c r="B874" t="s">
        <v>20</v>
      </c>
      <c r="C874">
        <v>59</v>
      </c>
      <c r="D874">
        <v>4</v>
      </c>
      <c r="E874" t="s">
        <v>135</v>
      </c>
      <c r="F874" t="s">
        <v>136</v>
      </c>
      <c r="G874">
        <v>26</v>
      </c>
      <c r="H874">
        <v>2</v>
      </c>
      <c r="I874">
        <v>26040000</v>
      </c>
      <c r="J874">
        <v>837</v>
      </c>
      <c r="K874">
        <v>0</v>
      </c>
      <c r="L874">
        <v>14699</v>
      </c>
      <c r="M874">
        <v>14.011680999999999</v>
      </c>
      <c r="N874">
        <v>100.93988</v>
      </c>
      <c r="O874">
        <v>0.05</v>
      </c>
      <c r="P874">
        <v>0.03</v>
      </c>
      <c r="Q874">
        <v>0.05</v>
      </c>
      <c r="R874">
        <v>3.06</v>
      </c>
      <c r="S874">
        <v>0.01</v>
      </c>
      <c r="T874">
        <v>54.459999000000003</v>
      </c>
      <c r="U874">
        <v>7.38</v>
      </c>
      <c r="V874">
        <v>0</v>
      </c>
      <c r="W874">
        <v>0</v>
      </c>
      <c r="X874">
        <v>32531.679542000002</v>
      </c>
      <c r="Y874">
        <v>65328290.789300002</v>
      </c>
    </row>
    <row r="875" spans="1:25" x14ac:dyDescent="0.55000000000000004">
      <c r="A875">
        <v>873</v>
      </c>
      <c r="B875" t="s">
        <v>20</v>
      </c>
      <c r="C875">
        <v>59</v>
      </c>
      <c r="D875">
        <v>4</v>
      </c>
      <c r="E875" t="s">
        <v>135</v>
      </c>
      <c r="F875" t="s">
        <v>136</v>
      </c>
      <c r="G875">
        <v>26</v>
      </c>
      <c r="H875">
        <v>2</v>
      </c>
      <c r="I875">
        <v>26040000</v>
      </c>
      <c r="J875">
        <v>838</v>
      </c>
      <c r="K875">
        <v>0</v>
      </c>
      <c r="L875">
        <v>14939</v>
      </c>
      <c r="M875">
        <v>14.172943</v>
      </c>
      <c r="N875">
        <v>100.93988</v>
      </c>
      <c r="O875">
        <v>2.64</v>
      </c>
      <c r="P875">
        <v>0</v>
      </c>
      <c r="Q875">
        <v>0.01</v>
      </c>
      <c r="R875">
        <v>3.29</v>
      </c>
      <c r="S875">
        <v>3.61</v>
      </c>
      <c r="T875">
        <v>0.91</v>
      </c>
      <c r="U875">
        <v>39.310001</v>
      </c>
      <c r="V875">
        <v>0</v>
      </c>
      <c r="W875">
        <v>0</v>
      </c>
      <c r="X875">
        <v>32361.798481999998</v>
      </c>
      <c r="Y875">
        <v>64768694.664499998</v>
      </c>
    </row>
    <row r="876" spans="1:25" x14ac:dyDescent="0.55000000000000004">
      <c r="A876">
        <v>874</v>
      </c>
      <c r="B876" t="s">
        <v>20</v>
      </c>
      <c r="C876">
        <v>59</v>
      </c>
      <c r="D876">
        <v>4</v>
      </c>
      <c r="E876" t="s">
        <v>135</v>
      </c>
      <c r="F876" t="s">
        <v>136</v>
      </c>
      <c r="G876">
        <v>26</v>
      </c>
      <c r="H876">
        <v>2</v>
      </c>
      <c r="I876">
        <v>26040000</v>
      </c>
      <c r="J876">
        <v>840</v>
      </c>
      <c r="K876">
        <v>0</v>
      </c>
      <c r="L876">
        <v>15059</v>
      </c>
      <c r="M876">
        <v>14.253532</v>
      </c>
      <c r="N876">
        <v>100.93988</v>
      </c>
      <c r="O876">
        <v>1.72</v>
      </c>
      <c r="P876">
        <v>0</v>
      </c>
      <c r="Q876">
        <v>7.0000000000000007E-2</v>
      </c>
      <c r="R876">
        <v>1.91</v>
      </c>
      <c r="S876">
        <v>4.7300000000000004</v>
      </c>
      <c r="T876">
        <v>3.88</v>
      </c>
      <c r="U876">
        <v>49.900002000000001</v>
      </c>
      <c r="V876">
        <v>0.45</v>
      </c>
      <c r="W876">
        <v>0</v>
      </c>
      <c r="X876">
        <v>17333.258847000001</v>
      </c>
      <c r="Y876">
        <v>10658384.861099999</v>
      </c>
    </row>
    <row r="877" spans="1:25" x14ac:dyDescent="0.55000000000000004">
      <c r="A877">
        <v>875</v>
      </c>
      <c r="B877" t="s">
        <v>20</v>
      </c>
      <c r="C877">
        <v>59</v>
      </c>
      <c r="D877">
        <v>4</v>
      </c>
      <c r="E877" t="s">
        <v>135</v>
      </c>
      <c r="F877" t="s">
        <v>136</v>
      </c>
      <c r="G877">
        <v>26</v>
      </c>
      <c r="H877">
        <v>2</v>
      </c>
      <c r="I877">
        <v>26040000</v>
      </c>
      <c r="J877">
        <v>842</v>
      </c>
      <c r="K877">
        <v>0</v>
      </c>
      <c r="L877">
        <v>14580</v>
      </c>
      <c r="M877">
        <v>13.931006999999999</v>
      </c>
      <c r="N877">
        <v>101.02302</v>
      </c>
      <c r="O877">
        <v>2.29</v>
      </c>
      <c r="P877">
        <v>0.08</v>
      </c>
      <c r="Q877">
        <v>30.299999</v>
      </c>
      <c r="R877">
        <v>1.9</v>
      </c>
      <c r="S877">
        <v>0.27</v>
      </c>
      <c r="T877">
        <v>5.6</v>
      </c>
      <c r="U877">
        <v>1.43</v>
      </c>
      <c r="V877">
        <v>0</v>
      </c>
      <c r="W877">
        <v>0</v>
      </c>
      <c r="X877">
        <v>9475.7049900000002</v>
      </c>
      <c r="Y877">
        <v>560381.63699399994</v>
      </c>
    </row>
    <row r="878" spans="1:25" x14ac:dyDescent="0.55000000000000004">
      <c r="A878">
        <v>876</v>
      </c>
      <c r="B878" t="s">
        <v>20</v>
      </c>
      <c r="C878">
        <v>59</v>
      </c>
      <c r="D878">
        <v>4</v>
      </c>
      <c r="E878" t="s">
        <v>135</v>
      </c>
      <c r="F878" t="s">
        <v>136</v>
      </c>
      <c r="G878">
        <v>26</v>
      </c>
      <c r="H878">
        <v>2</v>
      </c>
      <c r="I878">
        <v>26040000</v>
      </c>
      <c r="J878">
        <v>843</v>
      </c>
      <c r="K878">
        <v>0</v>
      </c>
      <c r="L878">
        <v>14700</v>
      </c>
      <c r="M878">
        <v>14.011680999999999</v>
      </c>
      <c r="N878">
        <v>101.02302</v>
      </c>
      <c r="O878">
        <v>0.38</v>
      </c>
      <c r="P878">
        <v>0.53</v>
      </c>
      <c r="Q878">
        <v>3.4</v>
      </c>
      <c r="R878">
        <v>1.02</v>
      </c>
      <c r="S878">
        <v>0.01</v>
      </c>
      <c r="T878">
        <v>24.860001</v>
      </c>
      <c r="U878">
        <v>5.36</v>
      </c>
      <c r="V878">
        <v>0</v>
      </c>
      <c r="W878">
        <v>0</v>
      </c>
      <c r="X878">
        <v>35431.746201000002</v>
      </c>
      <c r="Y878">
        <v>78434704.357999995</v>
      </c>
    </row>
    <row r="879" spans="1:25" x14ac:dyDescent="0.55000000000000004">
      <c r="A879">
        <v>877</v>
      </c>
      <c r="B879" t="s">
        <v>20</v>
      </c>
      <c r="C879">
        <v>59</v>
      </c>
      <c r="D879">
        <v>4</v>
      </c>
      <c r="E879" t="s">
        <v>135</v>
      </c>
      <c r="F879" t="s">
        <v>136</v>
      </c>
      <c r="G879">
        <v>26</v>
      </c>
      <c r="H879">
        <v>2</v>
      </c>
      <c r="I879">
        <v>26040000</v>
      </c>
      <c r="J879">
        <v>844</v>
      </c>
      <c r="K879">
        <v>0</v>
      </c>
      <c r="L879">
        <v>14581</v>
      </c>
      <c r="M879">
        <v>13.931006999999999</v>
      </c>
      <c r="N879">
        <v>101.10615</v>
      </c>
      <c r="O879">
        <v>2.35</v>
      </c>
      <c r="P879">
        <v>0.08</v>
      </c>
      <c r="Q879">
        <v>32.509998000000003</v>
      </c>
      <c r="R879">
        <v>1.54</v>
      </c>
      <c r="S879">
        <v>0</v>
      </c>
      <c r="T879">
        <v>11.13</v>
      </c>
      <c r="U879">
        <v>2.62</v>
      </c>
      <c r="V879">
        <v>0</v>
      </c>
      <c r="W879">
        <v>0</v>
      </c>
      <c r="X879">
        <v>3841.303934</v>
      </c>
      <c r="Y879">
        <v>193191.913948</v>
      </c>
    </row>
    <row r="880" spans="1:25" x14ac:dyDescent="0.55000000000000004">
      <c r="A880">
        <v>878</v>
      </c>
      <c r="B880" t="s">
        <v>20</v>
      </c>
      <c r="C880">
        <v>59</v>
      </c>
      <c r="D880">
        <v>4</v>
      </c>
      <c r="E880" t="s">
        <v>135</v>
      </c>
      <c r="F880" t="s">
        <v>136</v>
      </c>
      <c r="G880">
        <v>26</v>
      </c>
      <c r="H880">
        <v>2</v>
      </c>
      <c r="I880">
        <v>26040000</v>
      </c>
      <c r="J880">
        <v>845</v>
      </c>
      <c r="K880">
        <v>0</v>
      </c>
      <c r="L880">
        <v>14701</v>
      </c>
      <c r="M880">
        <v>14.011680999999999</v>
      </c>
      <c r="N880">
        <v>101.10615</v>
      </c>
      <c r="O880">
        <v>0.08</v>
      </c>
      <c r="P880">
        <v>0.31</v>
      </c>
      <c r="Q880">
        <v>22.43</v>
      </c>
      <c r="R880">
        <v>2.87</v>
      </c>
      <c r="S880">
        <v>0</v>
      </c>
      <c r="T880">
        <v>11.88</v>
      </c>
      <c r="U880">
        <v>11.18</v>
      </c>
      <c r="V880">
        <v>0</v>
      </c>
      <c r="W880">
        <v>0</v>
      </c>
      <c r="X880">
        <v>34851.631101999999</v>
      </c>
      <c r="Y880">
        <v>70511102.848199993</v>
      </c>
    </row>
    <row r="881" spans="1:25" x14ac:dyDescent="0.55000000000000004">
      <c r="A881">
        <v>879</v>
      </c>
      <c r="B881" t="s">
        <v>20</v>
      </c>
      <c r="C881">
        <v>59</v>
      </c>
      <c r="D881">
        <v>4</v>
      </c>
      <c r="E881" t="s">
        <v>135</v>
      </c>
      <c r="F881" t="s">
        <v>136</v>
      </c>
      <c r="G881">
        <v>26</v>
      </c>
      <c r="H881">
        <v>2</v>
      </c>
      <c r="I881">
        <v>26040000</v>
      </c>
      <c r="J881">
        <v>847</v>
      </c>
      <c r="K881">
        <v>0</v>
      </c>
      <c r="L881">
        <v>14820</v>
      </c>
      <c r="M881">
        <v>14.092331</v>
      </c>
      <c r="N881">
        <v>101.02302</v>
      </c>
      <c r="O881">
        <v>0.25</v>
      </c>
      <c r="P881">
        <v>0.03</v>
      </c>
      <c r="Q881">
        <v>0.04</v>
      </c>
      <c r="R881">
        <v>0.09</v>
      </c>
      <c r="S881">
        <v>0.08</v>
      </c>
      <c r="T881">
        <v>5.41</v>
      </c>
      <c r="U881">
        <v>15.64</v>
      </c>
      <c r="V881">
        <v>0</v>
      </c>
      <c r="W881">
        <v>0</v>
      </c>
      <c r="X881">
        <v>35811.104239</v>
      </c>
      <c r="Y881">
        <v>80121663.601300001</v>
      </c>
    </row>
    <row r="882" spans="1:25" x14ac:dyDescent="0.55000000000000004">
      <c r="A882">
        <v>880</v>
      </c>
      <c r="B882" t="s">
        <v>20</v>
      </c>
      <c r="C882">
        <v>59</v>
      </c>
      <c r="D882">
        <v>4</v>
      </c>
      <c r="E882" t="s">
        <v>135</v>
      </c>
      <c r="F882" t="s">
        <v>136</v>
      </c>
      <c r="G882">
        <v>26</v>
      </c>
      <c r="H882">
        <v>2</v>
      </c>
      <c r="I882">
        <v>26040000</v>
      </c>
      <c r="J882">
        <v>848</v>
      </c>
      <c r="K882">
        <v>0</v>
      </c>
      <c r="L882">
        <v>14941</v>
      </c>
      <c r="M882">
        <v>14.172943</v>
      </c>
      <c r="N882">
        <v>101.10615</v>
      </c>
      <c r="O882">
        <v>2.93</v>
      </c>
      <c r="P882">
        <v>0.04</v>
      </c>
      <c r="Q882">
        <v>0.44</v>
      </c>
      <c r="R882">
        <v>0.33</v>
      </c>
      <c r="S882">
        <v>1.77</v>
      </c>
      <c r="T882">
        <v>2.4900000000000002</v>
      </c>
      <c r="U882">
        <v>40.279998999999997</v>
      </c>
      <c r="V882">
        <v>0.06</v>
      </c>
      <c r="W882">
        <v>0</v>
      </c>
      <c r="X882">
        <v>4951.7709409999998</v>
      </c>
      <c r="Y882">
        <v>1174492.3183599999</v>
      </c>
    </row>
    <row r="883" spans="1:25" x14ac:dyDescent="0.55000000000000004">
      <c r="A883">
        <v>881</v>
      </c>
      <c r="B883" t="s">
        <v>20</v>
      </c>
      <c r="C883">
        <v>59</v>
      </c>
      <c r="D883">
        <v>4</v>
      </c>
      <c r="E883" t="s">
        <v>135</v>
      </c>
      <c r="F883" t="s">
        <v>136</v>
      </c>
      <c r="G883">
        <v>26</v>
      </c>
      <c r="H883">
        <v>2</v>
      </c>
      <c r="I883">
        <v>26040000</v>
      </c>
      <c r="J883">
        <v>849</v>
      </c>
      <c r="K883">
        <v>0</v>
      </c>
      <c r="L883">
        <v>14940</v>
      </c>
      <c r="M883">
        <v>14.172943</v>
      </c>
      <c r="N883">
        <v>101.02302</v>
      </c>
      <c r="O883">
        <v>8.9700000000000006</v>
      </c>
      <c r="P883">
        <v>0.01</v>
      </c>
      <c r="Q883">
        <v>0.04</v>
      </c>
      <c r="R883">
        <v>0.01</v>
      </c>
      <c r="S883">
        <v>3.44</v>
      </c>
      <c r="T883">
        <v>0.98</v>
      </c>
      <c r="U883">
        <v>52.189999</v>
      </c>
      <c r="V883">
        <v>0.36</v>
      </c>
      <c r="W883">
        <v>0</v>
      </c>
      <c r="X883">
        <v>35137.881904000002</v>
      </c>
      <c r="Y883">
        <v>41257579.673500001</v>
      </c>
    </row>
    <row r="884" spans="1:25" x14ac:dyDescent="0.55000000000000004">
      <c r="A884">
        <v>882</v>
      </c>
      <c r="B884" t="s">
        <v>20</v>
      </c>
      <c r="C884">
        <v>59</v>
      </c>
      <c r="D884">
        <v>4</v>
      </c>
      <c r="E884" t="s">
        <v>135</v>
      </c>
      <c r="F884" t="s">
        <v>136</v>
      </c>
      <c r="G884">
        <v>26</v>
      </c>
      <c r="H884">
        <v>2</v>
      </c>
      <c r="I884">
        <v>26040000</v>
      </c>
      <c r="J884">
        <v>850</v>
      </c>
      <c r="K884">
        <v>0</v>
      </c>
      <c r="L884">
        <v>14821</v>
      </c>
      <c r="M884">
        <v>14.092331</v>
      </c>
      <c r="N884">
        <v>101.10615</v>
      </c>
      <c r="O884">
        <v>1.33</v>
      </c>
      <c r="P884">
        <v>0.89</v>
      </c>
      <c r="Q884">
        <v>0.79</v>
      </c>
      <c r="R884">
        <v>0.77</v>
      </c>
      <c r="S884">
        <v>0</v>
      </c>
      <c r="T884">
        <v>6.27</v>
      </c>
      <c r="U884">
        <v>15.94</v>
      </c>
      <c r="V884">
        <v>0</v>
      </c>
      <c r="W884">
        <v>0</v>
      </c>
      <c r="X884">
        <v>27749.556608999999</v>
      </c>
      <c r="Y884">
        <v>36514351.327500001</v>
      </c>
    </row>
    <row r="885" spans="1:25" x14ac:dyDescent="0.55000000000000004">
      <c r="A885">
        <v>883</v>
      </c>
      <c r="B885" t="s">
        <v>20</v>
      </c>
      <c r="C885">
        <v>59</v>
      </c>
      <c r="D885">
        <v>4</v>
      </c>
      <c r="E885" t="s">
        <v>135</v>
      </c>
      <c r="F885" t="s">
        <v>136</v>
      </c>
      <c r="G885">
        <v>26</v>
      </c>
      <c r="H885">
        <v>2</v>
      </c>
      <c r="I885">
        <v>26040000</v>
      </c>
      <c r="J885">
        <v>851</v>
      </c>
      <c r="K885">
        <v>0</v>
      </c>
      <c r="L885">
        <v>14702</v>
      </c>
      <c r="M885">
        <v>14.011680999999999</v>
      </c>
      <c r="N885">
        <v>101.189285</v>
      </c>
      <c r="O885">
        <v>0.78</v>
      </c>
      <c r="P885">
        <v>0.43</v>
      </c>
      <c r="Q885">
        <v>39.43</v>
      </c>
      <c r="R885">
        <v>0.74</v>
      </c>
      <c r="S885">
        <v>0.24</v>
      </c>
      <c r="T885">
        <v>12.11</v>
      </c>
      <c r="U885">
        <v>11.77</v>
      </c>
      <c r="V885">
        <v>0</v>
      </c>
      <c r="W885">
        <v>0</v>
      </c>
      <c r="X885">
        <v>10388.097849</v>
      </c>
      <c r="Y885">
        <v>2773465.0770299998</v>
      </c>
    </row>
    <row r="886" spans="1:25" x14ac:dyDescent="0.55000000000000004">
      <c r="A886">
        <v>884</v>
      </c>
      <c r="B886" t="s">
        <v>20</v>
      </c>
      <c r="C886">
        <v>59</v>
      </c>
      <c r="D886">
        <v>4</v>
      </c>
      <c r="E886" t="s">
        <v>135</v>
      </c>
      <c r="F886" t="s">
        <v>136</v>
      </c>
      <c r="G886">
        <v>26</v>
      </c>
      <c r="H886">
        <v>2</v>
      </c>
      <c r="I886">
        <v>26040000</v>
      </c>
      <c r="J886">
        <v>853</v>
      </c>
      <c r="K886">
        <v>0</v>
      </c>
      <c r="L886">
        <v>15060</v>
      </c>
      <c r="M886">
        <v>14.253532</v>
      </c>
      <c r="N886">
        <v>101.02302</v>
      </c>
      <c r="O886">
        <v>5.0599999999999996</v>
      </c>
      <c r="P886">
        <v>0</v>
      </c>
      <c r="Q886">
        <v>0.13</v>
      </c>
      <c r="R886">
        <v>0.49</v>
      </c>
      <c r="S886">
        <v>1.94</v>
      </c>
      <c r="T886">
        <v>3.68</v>
      </c>
      <c r="U886">
        <v>14.77</v>
      </c>
      <c r="V886">
        <v>0.35</v>
      </c>
      <c r="W886">
        <v>0</v>
      </c>
      <c r="X886">
        <v>1712.2632189999999</v>
      </c>
      <c r="Y886">
        <v>137016.10600299999</v>
      </c>
    </row>
    <row r="887" spans="1:25" x14ac:dyDescent="0.55000000000000004">
      <c r="A887">
        <v>885</v>
      </c>
      <c r="B887" t="s">
        <v>20</v>
      </c>
      <c r="C887">
        <v>60</v>
      </c>
      <c r="D887">
        <v>1</v>
      </c>
      <c r="E887" t="s">
        <v>137</v>
      </c>
      <c r="F887" t="s">
        <v>138</v>
      </c>
      <c r="G887">
        <v>27</v>
      </c>
      <c r="H887">
        <v>2</v>
      </c>
      <c r="I887">
        <v>27010000</v>
      </c>
      <c r="J887">
        <v>1015</v>
      </c>
      <c r="K887">
        <v>0</v>
      </c>
      <c r="L887">
        <v>14232</v>
      </c>
      <c r="M887">
        <v>13.688805</v>
      </c>
      <c r="N887">
        <v>102.020645</v>
      </c>
      <c r="O887">
        <v>3.21</v>
      </c>
      <c r="P887">
        <v>1.53</v>
      </c>
      <c r="Q887">
        <v>0.02</v>
      </c>
      <c r="R887">
        <v>3.89</v>
      </c>
      <c r="S887">
        <v>0.03</v>
      </c>
      <c r="T887">
        <v>36.689999</v>
      </c>
      <c r="U887">
        <v>13.03</v>
      </c>
      <c r="V887">
        <v>0</v>
      </c>
      <c r="W887">
        <v>0</v>
      </c>
      <c r="X887">
        <v>24810.528547999998</v>
      </c>
      <c r="Y887">
        <v>18371505.3495</v>
      </c>
    </row>
    <row r="888" spans="1:25" x14ac:dyDescent="0.55000000000000004">
      <c r="A888">
        <v>886</v>
      </c>
      <c r="B888" t="s">
        <v>20</v>
      </c>
      <c r="C888">
        <v>60</v>
      </c>
      <c r="D888">
        <v>1</v>
      </c>
      <c r="E888" t="s">
        <v>137</v>
      </c>
      <c r="F888" t="s">
        <v>138</v>
      </c>
      <c r="G888">
        <v>27</v>
      </c>
      <c r="H888">
        <v>2</v>
      </c>
      <c r="I888">
        <v>27010000</v>
      </c>
      <c r="J888">
        <v>1020</v>
      </c>
      <c r="K888">
        <v>0</v>
      </c>
      <c r="L888">
        <v>14234</v>
      </c>
      <c r="M888">
        <v>13.688805</v>
      </c>
      <c r="N888">
        <v>102.18692</v>
      </c>
      <c r="O888">
        <v>0.06</v>
      </c>
      <c r="P888">
        <v>7.0000000000000007E-2</v>
      </c>
      <c r="Q888">
        <v>0.45</v>
      </c>
      <c r="R888">
        <v>1.38</v>
      </c>
      <c r="S888">
        <v>0.04</v>
      </c>
      <c r="T888">
        <v>4.1500000000000004</v>
      </c>
      <c r="U888">
        <v>14.32</v>
      </c>
      <c r="V888">
        <v>0</v>
      </c>
      <c r="W888">
        <v>0</v>
      </c>
      <c r="X888">
        <v>24453.388167000001</v>
      </c>
      <c r="Y888">
        <v>25015226.7084</v>
      </c>
    </row>
    <row r="889" spans="1:25" x14ac:dyDescent="0.55000000000000004">
      <c r="A889">
        <v>887</v>
      </c>
      <c r="B889" t="s">
        <v>20</v>
      </c>
      <c r="C889">
        <v>60</v>
      </c>
      <c r="D889">
        <v>1</v>
      </c>
      <c r="E889" t="s">
        <v>137</v>
      </c>
      <c r="F889" t="s">
        <v>138</v>
      </c>
      <c r="G889">
        <v>27</v>
      </c>
      <c r="H889">
        <v>2</v>
      </c>
      <c r="I889">
        <v>27010000</v>
      </c>
      <c r="J889">
        <v>1021</v>
      </c>
      <c r="K889">
        <v>0</v>
      </c>
      <c r="L889">
        <v>14233</v>
      </c>
      <c r="M889">
        <v>13.688805</v>
      </c>
      <c r="N889">
        <v>102.10378</v>
      </c>
      <c r="O889">
        <v>2.66</v>
      </c>
      <c r="P889">
        <v>0.09</v>
      </c>
      <c r="Q889">
        <v>7.0000000000000007E-2</v>
      </c>
      <c r="R889">
        <v>4.74</v>
      </c>
      <c r="S889">
        <v>0.08</v>
      </c>
      <c r="T889">
        <v>17.200001</v>
      </c>
      <c r="U889">
        <v>8.41</v>
      </c>
      <c r="V889">
        <v>0</v>
      </c>
      <c r="W889">
        <v>0</v>
      </c>
      <c r="X889">
        <v>3818.6306199999999</v>
      </c>
      <c r="Y889">
        <v>399667.613235</v>
      </c>
    </row>
    <row r="890" spans="1:25" x14ac:dyDescent="0.55000000000000004">
      <c r="A890">
        <v>888</v>
      </c>
      <c r="B890" t="s">
        <v>20</v>
      </c>
      <c r="C890">
        <v>60</v>
      </c>
      <c r="D890">
        <v>1</v>
      </c>
      <c r="E890" t="s">
        <v>137</v>
      </c>
      <c r="F890" t="s">
        <v>138</v>
      </c>
      <c r="G890">
        <v>27</v>
      </c>
      <c r="H890">
        <v>2</v>
      </c>
      <c r="I890">
        <v>27010000</v>
      </c>
      <c r="J890">
        <v>1023</v>
      </c>
      <c r="K890">
        <v>0</v>
      </c>
      <c r="L890">
        <v>14231</v>
      </c>
      <c r="M890">
        <v>13.688805</v>
      </c>
      <c r="N890">
        <v>101.93751</v>
      </c>
      <c r="O890">
        <v>0.18</v>
      </c>
      <c r="P890">
        <v>26.549999</v>
      </c>
      <c r="Q890">
        <v>1.17</v>
      </c>
      <c r="R890">
        <v>6.13</v>
      </c>
      <c r="S890">
        <v>0.02</v>
      </c>
      <c r="T890">
        <v>36.470001000000003</v>
      </c>
      <c r="U890">
        <v>22.959999</v>
      </c>
      <c r="V890">
        <v>0</v>
      </c>
      <c r="W890">
        <v>0</v>
      </c>
      <c r="X890">
        <v>17912.128295999999</v>
      </c>
      <c r="Y890">
        <v>19237538.017999999</v>
      </c>
    </row>
    <row r="891" spans="1:25" x14ac:dyDescent="0.55000000000000004">
      <c r="A891">
        <v>889</v>
      </c>
      <c r="B891" t="s">
        <v>20</v>
      </c>
      <c r="C891">
        <v>60</v>
      </c>
      <c r="D891">
        <v>1</v>
      </c>
      <c r="E891" t="s">
        <v>137</v>
      </c>
      <c r="F891" t="s">
        <v>138</v>
      </c>
      <c r="G891">
        <v>27</v>
      </c>
      <c r="H891">
        <v>2</v>
      </c>
      <c r="I891">
        <v>27010000</v>
      </c>
      <c r="J891">
        <v>1024</v>
      </c>
      <c r="K891">
        <v>0</v>
      </c>
      <c r="L891">
        <v>14352</v>
      </c>
      <c r="M891">
        <v>13.769569000000001</v>
      </c>
      <c r="N891">
        <v>102.020645</v>
      </c>
      <c r="O891">
        <v>0.32</v>
      </c>
      <c r="P891">
        <v>0.74</v>
      </c>
      <c r="Q891">
        <v>0</v>
      </c>
      <c r="R891">
        <v>0.46</v>
      </c>
      <c r="S891">
        <v>0</v>
      </c>
      <c r="T891">
        <v>2.42</v>
      </c>
      <c r="U891">
        <v>10.09</v>
      </c>
      <c r="V891">
        <v>0</v>
      </c>
      <c r="W891">
        <v>0</v>
      </c>
      <c r="X891">
        <v>35599.974325000003</v>
      </c>
      <c r="Y891">
        <v>76044799.866099998</v>
      </c>
    </row>
    <row r="892" spans="1:25" x14ac:dyDescent="0.55000000000000004">
      <c r="A892">
        <v>890</v>
      </c>
      <c r="B892" t="s">
        <v>20</v>
      </c>
      <c r="C892">
        <v>60</v>
      </c>
      <c r="D892">
        <v>1</v>
      </c>
      <c r="E892" t="s">
        <v>137</v>
      </c>
      <c r="F892" t="s">
        <v>138</v>
      </c>
      <c r="G892">
        <v>27</v>
      </c>
      <c r="H892">
        <v>2</v>
      </c>
      <c r="I892">
        <v>27010000</v>
      </c>
      <c r="J892">
        <v>1025</v>
      </c>
      <c r="K892">
        <v>0</v>
      </c>
      <c r="L892">
        <v>14471</v>
      </c>
      <c r="M892">
        <v>13.850304</v>
      </c>
      <c r="N892">
        <v>101.93751</v>
      </c>
      <c r="O892">
        <v>0.28999999999999998</v>
      </c>
      <c r="P892">
        <v>0.01</v>
      </c>
      <c r="Q892">
        <v>0.02</v>
      </c>
      <c r="R892">
        <v>0</v>
      </c>
      <c r="S892">
        <v>0.21</v>
      </c>
      <c r="T892">
        <v>2.48</v>
      </c>
      <c r="U892">
        <v>6.85</v>
      </c>
      <c r="V892">
        <v>0.43</v>
      </c>
      <c r="W892">
        <v>0</v>
      </c>
      <c r="X892">
        <v>32873.599968000002</v>
      </c>
      <c r="Y892">
        <v>56911163.598999999</v>
      </c>
    </row>
    <row r="893" spans="1:25" x14ac:dyDescent="0.55000000000000004">
      <c r="A893">
        <v>891</v>
      </c>
      <c r="B893" t="s">
        <v>20</v>
      </c>
      <c r="C893">
        <v>60</v>
      </c>
      <c r="D893">
        <v>1</v>
      </c>
      <c r="E893" t="s">
        <v>137</v>
      </c>
      <c r="F893" t="s">
        <v>138</v>
      </c>
      <c r="G893">
        <v>27</v>
      </c>
      <c r="H893">
        <v>2</v>
      </c>
      <c r="I893">
        <v>27010000</v>
      </c>
      <c r="J893">
        <v>1026</v>
      </c>
      <c r="K893">
        <v>0</v>
      </c>
      <c r="L893">
        <v>14591</v>
      </c>
      <c r="M893">
        <v>13.931006999999999</v>
      </c>
      <c r="N893">
        <v>101.93751</v>
      </c>
      <c r="O893">
        <v>0.03</v>
      </c>
      <c r="P893">
        <v>0.01</v>
      </c>
      <c r="Q893">
        <v>0.09</v>
      </c>
      <c r="R893">
        <v>0.04</v>
      </c>
      <c r="S893">
        <v>0.03</v>
      </c>
      <c r="T893">
        <v>13.92</v>
      </c>
      <c r="U893">
        <v>2.2599999999999998</v>
      </c>
      <c r="V893">
        <v>0</v>
      </c>
      <c r="W893">
        <v>0</v>
      </c>
      <c r="X893">
        <v>39670.604211999998</v>
      </c>
      <c r="Y893">
        <v>52568702.387100004</v>
      </c>
    </row>
    <row r="894" spans="1:25" x14ac:dyDescent="0.55000000000000004">
      <c r="A894">
        <v>892</v>
      </c>
      <c r="B894" t="s">
        <v>20</v>
      </c>
      <c r="C894">
        <v>60</v>
      </c>
      <c r="D894">
        <v>1</v>
      </c>
      <c r="E894" t="s">
        <v>137</v>
      </c>
      <c r="F894" t="s">
        <v>138</v>
      </c>
      <c r="G894">
        <v>27</v>
      </c>
      <c r="H894">
        <v>2</v>
      </c>
      <c r="I894">
        <v>27010000</v>
      </c>
      <c r="J894">
        <v>1027</v>
      </c>
      <c r="K894">
        <v>0</v>
      </c>
      <c r="L894">
        <v>14472</v>
      </c>
      <c r="M894">
        <v>13.850304</v>
      </c>
      <c r="N894">
        <v>102.020645</v>
      </c>
      <c r="O894">
        <v>0.06</v>
      </c>
      <c r="P894">
        <v>0.32</v>
      </c>
      <c r="Q894">
        <v>0</v>
      </c>
      <c r="R894">
        <v>0</v>
      </c>
      <c r="S894">
        <v>0.12</v>
      </c>
      <c r="T894">
        <v>2.85</v>
      </c>
      <c r="U894">
        <v>9.34</v>
      </c>
      <c r="V894">
        <v>0.16</v>
      </c>
      <c r="W894">
        <v>0</v>
      </c>
      <c r="X894">
        <v>35868.489233</v>
      </c>
      <c r="Y894">
        <v>80408478.793899998</v>
      </c>
    </row>
    <row r="895" spans="1:25" x14ac:dyDescent="0.55000000000000004">
      <c r="A895">
        <v>893</v>
      </c>
      <c r="B895" t="s">
        <v>20</v>
      </c>
      <c r="C895">
        <v>60</v>
      </c>
      <c r="D895">
        <v>1</v>
      </c>
      <c r="E895" t="s">
        <v>137</v>
      </c>
      <c r="F895" t="s">
        <v>138</v>
      </c>
      <c r="G895">
        <v>27</v>
      </c>
      <c r="H895">
        <v>2</v>
      </c>
      <c r="I895">
        <v>27010000</v>
      </c>
      <c r="J895">
        <v>1028</v>
      </c>
      <c r="K895">
        <v>0</v>
      </c>
      <c r="L895">
        <v>14351</v>
      </c>
      <c r="M895">
        <v>13.769569000000001</v>
      </c>
      <c r="N895">
        <v>101.93751</v>
      </c>
      <c r="O895">
        <v>0.52</v>
      </c>
      <c r="P895">
        <v>4.57</v>
      </c>
      <c r="Q895">
        <v>0.05</v>
      </c>
      <c r="R895">
        <v>0.01</v>
      </c>
      <c r="S895">
        <v>0.49</v>
      </c>
      <c r="T895">
        <v>4.3899999999999997</v>
      </c>
      <c r="U895">
        <v>11.73</v>
      </c>
      <c r="V895">
        <v>0</v>
      </c>
      <c r="W895">
        <v>0</v>
      </c>
      <c r="X895">
        <v>27118.931924</v>
      </c>
      <c r="Y895">
        <v>35266950.831299998</v>
      </c>
    </row>
    <row r="896" spans="1:25" x14ac:dyDescent="0.55000000000000004">
      <c r="A896">
        <v>894</v>
      </c>
      <c r="B896" t="s">
        <v>20</v>
      </c>
      <c r="C896">
        <v>60</v>
      </c>
      <c r="D896">
        <v>1</v>
      </c>
      <c r="E896" t="s">
        <v>137</v>
      </c>
      <c r="F896" t="s">
        <v>138</v>
      </c>
      <c r="G896">
        <v>27</v>
      </c>
      <c r="H896">
        <v>2</v>
      </c>
      <c r="I896">
        <v>27010000</v>
      </c>
      <c r="J896">
        <v>1029</v>
      </c>
      <c r="K896">
        <v>0</v>
      </c>
      <c r="L896">
        <v>14473</v>
      </c>
      <c r="M896">
        <v>13.850304</v>
      </c>
      <c r="N896">
        <v>102.10378</v>
      </c>
      <c r="O896">
        <v>0.05</v>
      </c>
      <c r="P896">
        <v>13.1</v>
      </c>
      <c r="Q896">
        <v>0.37</v>
      </c>
      <c r="R896">
        <v>0.03</v>
      </c>
      <c r="S896">
        <v>0.01</v>
      </c>
      <c r="T896">
        <v>2.2000000000000002</v>
      </c>
      <c r="U896">
        <v>26.129999000000002</v>
      </c>
      <c r="V896">
        <v>0.03</v>
      </c>
      <c r="W896">
        <v>0</v>
      </c>
      <c r="X896">
        <v>35871.671354999999</v>
      </c>
      <c r="Y896">
        <v>80422738.8609</v>
      </c>
    </row>
    <row r="897" spans="1:25" x14ac:dyDescent="0.55000000000000004">
      <c r="A897">
        <v>895</v>
      </c>
      <c r="B897" t="s">
        <v>20</v>
      </c>
      <c r="C897">
        <v>60</v>
      </c>
      <c r="D897">
        <v>1</v>
      </c>
      <c r="E897" t="s">
        <v>137</v>
      </c>
      <c r="F897" t="s">
        <v>138</v>
      </c>
      <c r="G897">
        <v>27</v>
      </c>
      <c r="H897">
        <v>2</v>
      </c>
      <c r="I897">
        <v>27010000</v>
      </c>
      <c r="J897">
        <v>1030</v>
      </c>
      <c r="K897">
        <v>0</v>
      </c>
      <c r="L897">
        <v>14353</v>
      </c>
      <c r="M897">
        <v>13.769569000000001</v>
      </c>
      <c r="N897">
        <v>102.10378</v>
      </c>
      <c r="O897">
        <v>3.34</v>
      </c>
      <c r="P897">
        <v>6.91</v>
      </c>
      <c r="Q897">
        <v>7.0000000000000007E-2</v>
      </c>
      <c r="R897">
        <v>2.14</v>
      </c>
      <c r="S897">
        <v>0.38</v>
      </c>
      <c r="T897">
        <v>2.95</v>
      </c>
      <c r="U897">
        <v>4.99</v>
      </c>
      <c r="V897">
        <v>0</v>
      </c>
      <c r="W897">
        <v>0.01</v>
      </c>
      <c r="X897">
        <v>40240.189732999999</v>
      </c>
      <c r="Y897">
        <v>62822119.023599997</v>
      </c>
    </row>
    <row r="898" spans="1:25" x14ac:dyDescent="0.55000000000000004">
      <c r="A898">
        <v>896</v>
      </c>
      <c r="B898" t="s">
        <v>20</v>
      </c>
      <c r="C898">
        <v>60</v>
      </c>
      <c r="D898">
        <v>1</v>
      </c>
      <c r="E898" t="s">
        <v>137</v>
      </c>
      <c r="F898" t="s">
        <v>138</v>
      </c>
      <c r="G898">
        <v>27</v>
      </c>
      <c r="H898">
        <v>2</v>
      </c>
      <c r="I898">
        <v>27010000</v>
      </c>
      <c r="J898">
        <v>1031</v>
      </c>
      <c r="K898">
        <v>0</v>
      </c>
      <c r="L898">
        <v>14354</v>
      </c>
      <c r="M898">
        <v>13.769569000000001</v>
      </c>
      <c r="N898">
        <v>102.18692</v>
      </c>
      <c r="O898">
        <v>0.02</v>
      </c>
      <c r="P898">
        <v>0.18</v>
      </c>
      <c r="Q898">
        <v>0.08</v>
      </c>
      <c r="R898">
        <v>1.54</v>
      </c>
      <c r="S898">
        <v>9.5</v>
      </c>
      <c r="T898">
        <v>1.93</v>
      </c>
      <c r="U898">
        <v>1.26</v>
      </c>
      <c r="V898">
        <v>0</v>
      </c>
      <c r="W898">
        <v>0</v>
      </c>
      <c r="X898">
        <v>37738.296176999997</v>
      </c>
      <c r="Y898">
        <v>59862780.792499997</v>
      </c>
    </row>
    <row r="899" spans="1:25" x14ac:dyDescent="0.55000000000000004">
      <c r="A899">
        <v>897</v>
      </c>
      <c r="B899" t="s">
        <v>20</v>
      </c>
      <c r="C899">
        <v>60</v>
      </c>
      <c r="D899">
        <v>1</v>
      </c>
      <c r="E899" t="s">
        <v>137</v>
      </c>
      <c r="F899" t="s">
        <v>138</v>
      </c>
      <c r="G899">
        <v>27</v>
      </c>
      <c r="H899">
        <v>2</v>
      </c>
      <c r="I899">
        <v>27010000</v>
      </c>
      <c r="J899">
        <v>1032</v>
      </c>
      <c r="K899">
        <v>0</v>
      </c>
      <c r="L899">
        <v>14593</v>
      </c>
      <c r="M899">
        <v>13.931006999999999</v>
      </c>
      <c r="N899">
        <v>102.10378</v>
      </c>
      <c r="O899">
        <v>0.04</v>
      </c>
      <c r="P899">
        <v>0.54</v>
      </c>
      <c r="Q899">
        <v>0.74</v>
      </c>
      <c r="R899">
        <v>7.0000000000000007E-2</v>
      </c>
      <c r="S899">
        <v>0.03</v>
      </c>
      <c r="T899">
        <v>1.51</v>
      </c>
      <c r="U899">
        <v>15.81</v>
      </c>
      <c r="V899">
        <v>4.07</v>
      </c>
      <c r="W899">
        <v>0</v>
      </c>
      <c r="X899">
        <v>35858.771663</v>
      </c>
      <c r="Y899">
        <v>80364901.701199993</v>
      </c>
    </row>
    <row r="900" spans="1:25" x14ac:dyDescent="0.55000000000000004">
      <c r="A900">
        <v>898</v>
      </c>
      <c r="B900" t="s">
        <v>20</v>
      </c>
      <c r="C900">
        <v>60</v>
      </c>
      <c r="D900">
        <v>1</v>
      </c>
      <c r="E900" t="s">
        <v>137</v>
      </c>
      <c r="F900" t="s">
        <v>138</v>
      </c>
      <c r="G900">
        <v>27</v>
      </c>
      <c r="H900">
        <v>2</v>
      </c>
      <c r="I900">
        <v>27010000</v>
      </c>
      <c r="J900">
        <v>1033</v>
      </c>
      <c r="K900">
        <v>0</v>
      </c>
      <c r="L900">
        <v>14592</v>
      </c>
      <c r="M900">
        <v>13.931006999999999</v>
      </c>
      <c r="N900">
        <v>102.020645</v>
      </c>
      <c r="O900">
        <v>0.03</v>
      </c>
      <c r="P900">
        <v>0.02</v>
      </c>
      <c r="Q900">
        <v>0.03</v>
      </c>
      <c r="R900">
        <v>7.0000000000000007E-2</v>
      </c>
      <c r="S900">
        <v>0.3</v>
      </c>
      <c r="T900">
        <v>6.63</v>
      </c>
      <c r="U900">
        <v>2.88</v>
      </c>
      <c r="V900">
        <v>0.1</v>
      </c>
      <c r="W900">
        <v>0</v>
      </c>
      <c r="X900">
        <v>35855.592534000003</v>
      </c>
      <c r="Y900">
        <v>80350660.204899997</v>
      </c>
    </row>
    <row r="901" spans="1:25" x14ac:dyDescent="0.55000000000000004">
      <c r="A901">
        <v>899</v>
      </c>
      <c r="B901" t="s">
        <v>20</v>
      </c>
      <c r="C901">
        <v>60</v>
      </c>
      <c r="D901">
        <v>1</v>
      </c>
      <c r="E901" t="s">
        <v>137</v>
      </c>
      <c r="F901" t="s">
        <v>138</v>
      </c>
      <c r="G901">
        <v>27</v>
      </c>
      <c r="H901">
        <v>2</v>
      </c>
      <c r="I901">
        <v>27010000</v>
      </c>
      <c r="J901">
        <v>1043</v>
      </c>
      <c r="K901">
        <v>0</v>
      </c>
      <c r="L901">
        <v>14355</v>
      </c>
      <c r="M901">
        <v>13.769569000000001</v>
      </c>
      <c r="N901">
        <v>102.27006</v>
      </c>
      <c r="O901">
        <v>0.01</v>
      </c>
      <c r="P901">
        <v>0.03</v>
      </c>
      <c r="Q901">
        <v>0.47</v>
      </c>
      <c r="R901">
        <v>1.75</v>
      </c>
      <c r="S901">
        <v>1.08</v>
      </c>
      <c r="T901">
        <v>5.96</v>
      </c>
      <c r="U901">
        <v>3.16</v>
      </c>
      <c r="V901">
        <v>0</v>
      </c>
      <c r="W901">
        <v>0</v>
      </c>
      <c r="X901">
        <v>7652.8832689999999</v>
      </c>
      <c r="Y901">
        <v>933346.57823900005</v>
      </c>
    </row>
    <row r="902" spans="1:25" x14ac:dyDescent="0.55000000000000004">
      <c r="A902">
        <v>900</v>
      </c>
      <c r="B902" t="s">
        <v>20</v>
      </c>
      <c r="C902">
        <v>60</v>
      </c>
      <c r="D902">
        <v>1</v>
      </c>
      <c r="E902" t="s">
        <v>137</v>
      </c>
      <c r="F902" t="s">
        <v>138</v>
      </c>
      <c r="G902">
        <v>27</v>
      </c>
      <c r="H902">
        <v>2</v>
      </c>
      <c r="I902">
        <v>27010000</v>
      </c>
      <c r="J902">
        <v>1044</v>
      </c>
      <c r="K902">
        <v>0</v>
      </c>
      <c r="L902">
        <v>14474</v>
      </c>
      <c r="M902">
        <v>13.850304</v>
      </c>
      <c r="N902">
        <v>102.18692</v>
      </c>
      <c r="O902">
        <v>7.0000000000000007E-2</v>
      </c>
      <c r="P902">
        <v>0.65</v>
      </c>
      <c r="Q902">
        <v>7.0000000000000007E-2</v>
      </c>
      <c r="R902">
        <v>0.04</v>
      </c>
      <c r="S902">
        <v>3.7</v>
      </c>
      <c r="T902">
        <v>1.7</v>
      </c>
      <c r="U902">
        <v>15.78</v>
      </c>
      <c r="V902">
        <v>0.02</v>
      </c>
      <c r="W902">
        <v>0</v>
      </c>
      <c r="X902">
        <v>32777.765506999996</v>
      </c>
      <c r="Y902">
        <v>30507970.254900001</v>
      </c>
    </row>
    <row r="903" spans="1:25" x14ac:dyDescent="0.55000000000000004">
      <c r="A903">
        <v>901</v>
      </c>
      <c r="B903" t="s">
        <v>20</v>
      </c>
      <c r="C903">
        <v>60</v>
      </c>
      <c r="D903">
        <v>1</v>
      </c>
      <c r="E903" t="s">
        <v>137</v>
      </c>
      <c r="F903" t="s">
        <v>138</v>
      </c>
      <c r="G903">
        <v>27</v>
      </c>
      <c r="H903">
        <v>2</v>
      </c>
      <c r="I903">
        <v>27010000</v>
      </c>
      <c r="J903">
        <v>1045</v>
      </c>
      <c r="K903">
        <v>0</v>
      </c>
      <c r="L903">
        <v>14595</v>
      </c>
      <c r="M903">
        <v>13.931006999999999</v>
      </c>
      <c r="N903">
        <v>102.27006</v>
      </c>
      <c r="O903">
        <v>4.3</v>
      </c>
      <c r="P903">
        <v>0</v>
      </c>
      <c r="Q903">
        <v>0.03</v>
      </c>
      <c r="R903">
        <v>0</v>
      </c>
      <c r="S903">
        <v>0.02</v>
      </c>
      <c r="T903">
        <v>1.52</v>
      </c>
      <c r="U903">
        <v>0.34</v>
      </c>
      <c r="V903">
        <v>0.01</v>
      </c>
      <c r="W903">
        <v>0</v>
      </c>
      <c r="X903">
        <v>12741.73228</v>
      </c>
      <c r="Y903">
        <v>7502486.4084200002</v>
      </c>
    </row>
    <row r="904" spans="1:25" x14ac:dyDescent="0.55000000000000004">
      <c r="A904">
        <v>902</v>
      </c>
      <c r="B904" t="s">
        <v>20</v>
      </c>
      <c r="C904">
        <v>60</v>
      </c>
      <c r="D904">
        <v>1</v>
      </c>
      <c r="E904" t="s">
        <v>137</v>
      </c>
      <c r="F904" t="s">
        <v>138</v>
      </c>
      <c r="G904">
        <v>27</v>
      </c>
      <c r="H904">
        <v>2</v>
      </c>
      <c r="I904">
        <v>27010000</v>
      </c>
      <c r="J904">
        <v>1046</v>
      </c>
      <c r="K904">
        <v>0</v>
      </c>
      <c r="L904">
        <v>14594</v>
      </c>
      <c r="M904">
        <v>13.931006999999999</v>
      </c>
      <c r="N904">
        <v>102.18692</v>
      </c>
      <c r="O904">
        <v>0.02</v>
      </c>
      <c r="P904">
        <v>0.02</v>
      </c>
      <c r="Q904">
        <v>0.62</v>
      </c>
      <c r="R904">
        <v>0.04</v>
      </c>
      <c r="S904">
        <v>0</v>
      </c>
      <c r="T904">
        <v>1.58</v>
      </c>
      <c r="U904">
        <v>2.5099999999999998</v>
      </c>
      <c r="V904">
        <v>8.33</v>
      </c>
      <c r="W904">
        <v>0</v>
      </c>
      <c r="X904">
        <v>37012.916915000002</v>
      </c>
      <c r="Y904">
        <v>65229788.838600002</v>
      </c>
    </row>
    <row r="905" spans="1:25" x14ac:dyDescent="0.55000000000000004">
      <c r="A905">
        <v>903</v>
      </c>
      <c r="B905" t="s">
        <v>20</v>
      </c>
      <c r="C905">
        <v>60</v>
      </c>
      <c r="D905">
        <v>1</v>
      </c>
      <c r="E905" t="s">
        <v>137</v>
      </c>
      <c r="F905" t="s">
        <v>138</v>
      </c>
      <c r="G905">
        <v>27</v>
      </c>
      <c r="H905">
        <v>2</v>
      </c>
      <c r="I905">
        <v>27010000</v>
      </c>
      <c r="J905">
        <v>1048</v>
      </c>
      <c r="K905">
        <v>0</v>
      </c>
      <c r="L905">
        <v>14235</v>
      </c>
      <c r="M905">
        <v>13.688805</v>
      </c>
      <c r="N905">
        <v>102.27006</v>
      </c>
      <c r="O905">
        <v>0.04</v>
      </c>
      <c r="P905">
        <v>2.5299999999999998</v>
      </c>
      <c r="Q905">
        <v>14.67</v>
      </c>
      <c r="R905">
        <v>0.98</v>
      </c>
      <c r="S905">
        <v>0.01</v>
      </c>
      <c r="T905">
        <v>0.92</v>
      </c>
      <c r="U905">
        <v>8.5500000000000007</v>
      </c>
      <c r="V905">
        <v>0</v>
      </c>
      <c r="W905">
        <v>0</v>
      </c>
      <c r="X905">
        <v>308.18053500000002</v>
      </c>
      <c r="Y905">
        <v>3435.5888970000001</v>
      </c>
    </row>
    <row r="906" spans="1:25" x14ac:dyDescent="0.55000000000000004">
      <c r="A906">
        <v>904</v>
      </c>
      <c r="B906" t="s">
        <v>20</v>
      </c>
      <c r="C906">
        <v>60</v>
      </c>
      <c r="D906">
        <v>1</v>
      </c>
      <c r="E906" t="s">
        <v>137</v>
      </c>
      <c r="F906" t="s">
        <v>138</v>
      </c>
      <c r="G906">
        <v>27</v>
      </c>
      <c r="H906">
        <v>2</v>
      </c>
      <c r="I906">
        <v>27010000</v>
      </c>
      <c r="J906">
        <v>1148</v>
      </c>
      <c r="K906">
        <v>0</v>
      </c>
      <c r="L906">
        <v>14711</v>
      </c>
      <c r="M906">
        <v>14.011680999999999</v>
      </c>
      <c r="N906">
        <v>101.93751</v>
      </c>
      <c r="O906">
        <v>0</v>
      </c>
      <c r="P906">
        <v>0.02</v>
      </c>
      <c r="Q906">
        <v>7.0000000000000007E-2</v>
      </c>
      <c r="R906">
        <v>0</v>
      </c>
      <c r="S906">
        <v>0.03</v>
      </c>
      <c r="T906">
        <v>12.56</v>
      </c>
      <c r="U906">
        <v>13.38</v>
      </c>
      <c r="V906">
        <v>0</v>
      </c>
      <c r="W906">
        <v>0</v>
      </c>
      <c r="X906">
        <v>19236.560144999999</v>
      </c>
      <c r="Y906">
        <v>19297214.587900002</v>
      </c>
    </row>
    <row r="907" spans="1:25" x14ac:dyDescent="0.55000000000000004">
      <c r="A907">
        <v>905</v>
      </c>
      <c r="B907" t="s">
        <v>20</v>
      </c>
      <c r="C907">
        <v>60</v>
      </c>
      <c r="D907">
        <v>1</v>
      </c>
      <c r="E907" t="s">
        <v>137</v>
      </c>
      <c r="F907" t="s">
        <v>138</v>
      </c>
      <c r="G907">
        <v>27</v>
      </c>
      <c r="H907">
        <v>2</v>
      </c>
      <c r="I907">
        <v>27010000</v>
      </c>
      <c r="J907">
        <v>1158</v>
      </c>
      <c r="K907">
        <v>0</v>
      </c>
      <c r="L907">
        <v>14712</v>
      </c>
      <c r="M907">
        <v>14.011680999999999</v>
      </c>
      <c r="N907">
        <v>102.020645</v>
      </c>
      <c r="O907">
        <v>0</v>
      </c>
      <c r="P907">
        <v>0</v>
      </c>
      <c r="Q907">
        <v>7.0000000000000007E-2</v>
      </c>
      <c r="R907">
        <v>0.01</v>
      </c>
      <c r="S907">
        <v>0.25</v>
      </c>
      <c r="T907">
        <v>23.93</v>
      </c>
      <c r="U907">
        <v>15.74</v>
      </c>
      <c r="V907">
        <v>0</v>
      </c>
      <c r="W907">
        <v>0</v>
      </c>
      <c r="X907">
        <v>31557.842780999999</v>
      </c>
      <c r="Y907">
        <v>61792656.875799999</v>
      </c>
    </row>
    <row r="908" spans="1:25" x14ac:dyDescent="0.55000000000000004">
      <c r="A908">
        <v>906</v>
      </c>
      <c r="B908" t="s">
        <v>20</v>
      </c>
      <c r="C908">
        <v>60</v>
      </c>
      <c r="D908">
        <v>1</v>
      </c>
      <c r="E908" t="s">
        <v>137</v>
      </c>
      <c r="F908" t="s">
        <v>138</v>
      </c>
      <c r="G908">
        <v>27</v>
      </c>
      <c r="H908">
        <v>2</v>
      </c>
      <c r="I908">
        <v>27010000</v>
      </c>
      <c r="J908">
        <v>1160</v>
      </c>
      <c r="K908">
        <v>0</v>
      </c>
      <c r="L908">
        <v>14713</v>
      </c>
      <c r="M908">
        <v>14.011680999999999</v>
      </c>
      <c r="N908">
        <v>102.10378</v>
      </c>
      <c r="O908">
        <v>0</v>
      </c>
      <c r="P908">
        <v>2.09</v>
      </c>
      <c r="Q908">
        <v>0.14000000000000001</v>
      </c>
      <c r="R908">
        <v>0.09</v>
      </c>
      <c r="S908">
        <v>1.43</v>
      </c>
      <c r="T908">
        <v>18.68</v>
      </c>
      <c r="U908">
        <v>3.11</v>
      </c>
      <c r="V908">
        <v>0.22</v>
      </c>
      <c r="W908">
        <v>0</v>
      </c>
      <c r="X908">
        <v>35330.56581</v>
      </c>
      <c r="Y908">
        <v>77233655.298800007</v>
      </c>
    </row>
    <row r="909" spans="1:25" x14ac:dyDescent="0.55000000000000004">
      <c r="A909">
        <v>907</v>
      </c>
      <c r="B909" t="s">
        <v>20</v>
      </c>
      <c r="C909">
        <v>60</v>
      </c>
      <c r="D909">
        <v>1</v>
      </c>
      <c r="E909" t="s">
        <v>137</v>
      </c>
      <c r="F909" t="s">
        <v>138</v>
      </c>
      <c r="G909">
        <v>27</v>
      </c>
      <c r="H909">
        <v>2</v>
      </c>
      <c r="I909">
        <v>27010000</v>
      </c>
      <c r="J909">
        <v>1161</v>
      </c>
      <c r="K909">
        <v>0</v>
      </c>
      <c r="L909">
        <v>14834</v>
      </c>
      <c r="M909">
        <v>14.092331</v>
      </c>
      <c r="N909">
        <v>102.18692</v>
      </c>
      <c r="O909">
        <v>6.73</v>
      </c>
      <c r="P909">
        <v>0.41</v>
      </c>
      <c r="Q909">
        <v>0.21</v>
      </c>
      <c r="R909">
        <v>0.64</v>
      </c>
      <c r="S909">
        <v>0.2</v>
      </c>
      <c r="T909">
        <v>61.43</v>
      </c>
      <c r="U909">
        <v>2.5499999999999998</v>
      </c>
      <c r="V909">
        <v>0.17</v>
      </c>
      <c r="W909">
        <v>0</v>
      </c>
      <c r="X909">
        <v>35836.893919000002</v>
      </c>
      <c r="Y909">
        <v>80266860.884900004</v>
      </c>
    </row>
    <row r="910" spans="1:25" x14ac:dyDescent="0.55000000000000004">
      <c r="A910">
        <v>908</v>
      </c>
      <c r="B910" t="s">
        <v>20</v>
      </c>
      <c r="C910">
        <v>60</v>
      </c>
      <c r="D910">
        <v>1</v>
      </c>
      <c r="E910" t="s">
        <v>137</v>
      </c>
      <c r="F910" t="s">
        <v>138</v>
      </c>
      <c r="G910">
        <v>27</v>
      </c>
      <c r="H910">
        <v>2</v>
      </c>
      <c r="I910">
        <v>27010000</v>
      </c>
      <c r="J910">
        <v>1162</v>
      </c>
      <c r="K910">
        <v>0</v>
      </c>
      <c r="L910">
        <v>14833</v>
      </c>
      <c r="M910">
        <v>14.092331</v>
      </c>
      <c r="N910">
        <v>102.10378</v>
      </c>
      <c r="O910">
        <v>0.03</v>
      </c>
      <c r="P910">
        <v>0.26</v>
      </c>
      <c r="Q910">
        <v>0.26</v>
      </c>
      <c r="R910">
        <v>0.06</v>
      </c>
      <c r="S910">
        <v>0.01</v>
      </c>
      <c r="T910">
        <v>98.800003000000004</v>
      </c>
      <c r="U910">
        <v>4.71</v>
      </c>
      <c r="V910">
        <v>0</v>
      </c>
      <c r="W910">
        <v>0</v>
      </c>
      <c r="X910">
        <v>30280.107927000001</v>
      </c>
      <c r="Y910">
        <v>51912433.068999998</v>
      </c>
    </row>
    <row r="911" spans="1:25" x14ac:dyDescent="0.55000000000000004">
      <c r="A911">
        <v>909</v>
      </c>
      <c r="B911" t="s">
        <v>20</v>
      </c>
      <c r="C911">
        <v>60</v>
      </c>
      <c r="D911">
        <v>1</v>
      </c>
      <c r="E911" t="s">
        <v>137</v>
      </c>
      <c r="F911" t="s">
        <v>138</v>
      </c>
      <c r="G911">
        <v>27</v>
      </c>
      <c r="H911">
        <v>2</v>
      </c>
      <c r="I911">
        <v>27010000</v>
      </c>
      <c r="J911">
        <v>1163</v>
      </c>
      <c r="K911">
        <v>0</v>
      </c>
      <c r="L911">
        <v>14714</v>
      </c>
      <c r="M911">
        <v>14.011680999999999</v>
      </c>
      <c r="N911">
        <v>102.18692</v>
      </c>
      <c r="O911">
        <v>2.13</v>
      </c>
      <c r="P911">
        <v>0</v>
      </c>
      <c r="Q911">
        <v>7.0000000000000007E-2</v>
      </c>
      <c r="R911">
        <v>0.28000000000000003</v>
      </c>
      <c r="S911">
        <v>0.01</v>
      </c>
      <c r="T911">
        <v>18.360001</v>
      </c>
      <c r="U911">
        <v>0.75</v>
      </c>
      <c r="V911">
        <v>0.55000000000000004</v>
      </c>
      <c r="W911">
        <v>0</v>
      </c>
      <c r="X911">
        <v>35849.973255999997</v>
      </c>
      <c r="Y911">
        <v>80325468.440200001</v>
      </c>
    </row>
    <row r="912" spans="1:25" x14ac:dyDescent="0.55000000000000004">
      <c r="A912">
        <v>910</v>
      </c>
      <c r="B912" t="s">
        <v>20</v>
      </c>
      <c r="C912">
        <v>60</v>
      </c>
      <c r="D912">
        <v>1</v>
      </c>
      <c r="E912" t="s">
        <v>137</v>
      </c>
      <c r="F912" t="s">
        <v>138</v>
      </c>
      <c r="G912">
        <v>27</v>
      </c>
      <c r="H912">
        <v>2</v>
      </c>
      <c r="I912">
        <v>27010000</v>
      </c>
      <c r="J912">
        <v>1166</v>
      </c>
      <c r="K912">
        <v>0</v>
      </c>
      <c r="L912">
        <v>14953</v>
      </c>
      <c r="M912">
        <v>14.172943</v>
      </c>
      <c r="N912">
        <v>102.10378</v>
      </c>
      <c r="O912">
        <v>2.9</v>
      </c>
      <c r="P912">
        <v>1.3</v>
      </c>
      <c r="Q912">
        <v>0.09</v>
      </c>
      <c r="R912">
        <v>0.43</v>
      </c>
      <c r="S912">
        <v>0.09</v>
      </c>
      <c r="T912">
        <v>8.2899999999999991</v>
      </c>
      <c r="U912">
        <v>1.1599999999999999</v>
      </c>
      <c r="V912">
        <v>0.01</v>
      </c>
      <c r="W912">
        <v>0.03</v>
      </c>
      <c r="X912">
        <v>12290.637178999999</v>
      </c>
      <c r="Y912">
        <v>5588328.1423899997</v>
      </c>
    </row>
    <row r="913" spans="1:25" x14ac:dyDescent="0.55000000000000004">
      <c r="A913">
        <v>911</v>
      </c>
      <c r="B913" t="s">
        <v>20</v>
      </c>
      <c r="C913">
        <v>60</v>
      </c>
      <c r="D913">
        <v>1</v>
      </c>
      <c r="E913" t="s">
        <v>137</v>
      </c>
      <c r="F913" t="s">
        <v>138</v>
      </c>
      <c r="G913">
        <v>27</v>
      </c>
      <c r="H913">
        <v>2</v>
      </c>
      <c r="I913">
        <v>27010000</v>
      </c>
      <c r="J913">
        <v>1168</v>
      </c>
      <c r="K913">
        <v>0</v>
      </c>
      <c r="L913">
        <v>14954</v>
      </c>
      <c r="M913">
        <v>14.172943</v>
      </c>
      <c r="N913">
        <v>102.18692</v>
      </c>
      <c r="O913">
        <v>7.35</v>
      </c>
      <c r="P913">
        <v>20.99</v>
      </c>
      <c r="Q913">
        <v>0.09</v>
      </c>
      <c r="R913">
        <v>0.69</v>
      </c>
      <c r="S913">
        <v>0.28000000000000003</v>
      </c>
      <c r="T913">
        <v>6.95</v>
      </c>
      <c r="U913">
        <v>1.88</v>
      </c>
      <c r="V913">
        <v>0.19</v>
      </c>
      <c r="W913">
        <v>0.06</v>
      </c>
      <c r="X913">
        <v>29580.566192999999</v>
      </c>
      <c r="Y913">
        <v>32098518.259199999</v>
      </c>
    </row>
    <row r="914" spans="1:25" x14ac:dyDescent="0.55000000000000004">
      <c r="A914">
        <v>912</v>
      </c>
      <c r="B914" t="s">
        <v>20</v>
      </c>
      <c r="C914">
        <v>60</v>
      </c>
      <c r="D914">
        <v>1</v>
      </c>
      <c r="E914" t="s">
        <v>137</v>
      </c>
      <c r="F914" t="s">
        <v>138</v>
      </c>
      <c r="G914">
        <v>27</v>
      </c>
      <c r="H914">
        <v>2</v>
      </c>
      <c r="I914">
        <v>27010000</v>
      </c>
      <c r="J914">
        <v>1170</v>
      </c>
      <c r="K914">
        <v>0</v>
      </c>
      <c r="L914">
        <v>14716</v>
      </c>
      <c r="M914">
        <v>14.011680999999999</v>
      </c>
      <c r="N914">
        <v>102.35319</v>
      </c>
      <c r="O914">
        <v>0.04</v>
      </c>
      <c r="P914">
        <v>0.04</v>
      </c>
      <c r="Q914">
        <v>0.08</v>
      </c>
      <c r="R914">
        <v>5.93</v>
      </c>
      <c r="S914">
        <v>0.01</v>
      </c>
      <c r="T914">
        <v>8.0399999999999991</v>
      </c>
      <c r="U914">
        <v>1.66</v>
      </c>
      <c r="V914">
        <v>0.01</v>
      </c>
      <c r="W914">
        <v>0</v>
      </c>
      <c r="X914">
        <v>133.882867</v>
      </c>
      <c r="Y914">
        <v>63.372245999999997</v>
      </c>
    </row>
    <row r="915" spans="1:25" x14ac:dyDescent="0.55000000000000004">
      <c r="A915">
        <v>913</v>
      </c>
      <c r="B915" t="s">
        <v>20</v>
      </c>
      <c r="C915">
        <v>60</v>
      </c>
      <c r="D915">
        <v>1</v>
      </c>
      <c r="E915" t="s">
        <v>137</v>
      </c>
      <c r="F915" t="s">
        <v>138</v>
      </c>
      <c r="G915">
        <v>27</v>
      </c>
      <c r="H915">
        <v>2</v>
      </c>
      <c r="I915">
        <v>27010000</v>
      </c>
      <c r="J915">
        <v>1171</v>
      </c>
      <c r="K915">
        <v>0</v>
      </c>
      <c r="L915">
        <v>14715</v>
      </c>
      <c r="M915">
        <v>14.011680999999999</v>
      </c>
      <c r="N915">
        <v>102.27006</v>
      </c>
      <c r="O915">
        <v>0.17</v>
      </c>
      <c r="P915">
        <v>0.49</v>
      </c>
      <c r="Q915">
        <v>0.12</v>
      </c>
      <c r="R915">
        <v>1.26</v>
      </c>
      <c r="S915">
        <v>0.01</v>
      </c>
      <c r="T915">
        <v>7.01</v>
      </c>
      <c r="U915">
        <v>0.64</v>
      </c>
      <c r="V915">
        <v>0.01</v>
      </c>
      <c r="W915">
        <v>0</v>
      </c>
      <c r="X915">
        <v>33595.423388000003</v>
      </c>
      <c r="Y915">
        <v>59148216.753600001</v>
      </c>
    </row>
    <row r="916" spans="1:25" x14ac:dyDescent="0.55000000000000004">
      <c r="A916">
        <v>914</v>
      </c>
      <c r="B916" t="s">
        <v>20</v>
      </c>
      <c r="C916">
        <v>60</v>
      </c>
      <c r="D916">
        <v>1</v>
      </c>
      <c r="E916" t="s">
        <v>137</v>
      </c>
      <c r="F916" t="s">
        <v>138</v>
      </c>
      <c r="G916">
        <v>27</v>
      </c>
      <c r="H916">
        <v>2</v>
      </c>
      <c r="I916">
        <v>27010000</v>
      </c>
      <c r="J916">
        <v>1172</v>
      </c>
      <c r="K916">
        <v>0</v>
      </c>
      <c r="L916">
        <v>14836</v>
      </c>
      <c r="M916">
        <v>14.092331</v>
      </c>
      <c r="N916">
        <v>102.35319</v>
      </c>
      <c r="O916">
        <v>1.95</v>
      </c>
      <c r="P916">
        <v>0.35</v>
      </c>
      <c r="Q916">
        <v>0.24</v>
      </c>
      <c r="R916">
        <v>1.35</v>
      </c>
      <c r="S916">
        <v>0.74</v>
      </c>
      <c r="T916">
        <v>26.280000999999999</v>
      </c>
      <c r="U916">
        <v>1.01</v>
      </c>
      <c r="V916">
        <v>0.44</v>
      </c>
      <c r="W916">
        <v>0</v>
      </c>
      <c r="X916">
        <v>11193.124577</v>
      </c>
      <c r="Y916">
        <v>5152858.4656100003</v>
      </c>
    </row>
    <row r="917" spans="1:25" x14ac:dyDescent="0.55000000000000004">
      <c r="A917">
        <v>915</v>
      </c>
      <c r="B917" t="s">
        <v>20</v>
      </c>
      <c r="C917">
        <v>60</v>
      </c>
      <c r="D917">
        <v>1</v>
      </c>
      <c r="E917" t="s">
        <v>137</v>
      </c>
      <c r="F917" t="s">
        <v>138</v>
      </c>
      <c r="G917">
        <v>27</v>
      </c>
      <c r="H917">
        <v>2</v>
      </c>
      <c r="I917">
        <v>27010000</v>
      </c>
      <c r="J917">
        <v>1174</v>
      </c>
      <c r="K917">
        <v>0</v>
      </c>
      <c r="L917">
        <v>14955</v>
      </c>
      <c r="M917">
        <v>14.172943</v>
      </c>
      <c r="N917">
        <v>102.27006</v>
      </c>
      <c r="O917">
        <v>6.33</v>
      </c>
      <c r="P917">
        <v>3.35</v>
      </c>
      <c r="Q917">
        <v>0.26</v>
      </c>
      <c r="R917">
        <v>0.98</v>
      </c>
      <c r="S917">
        <v>0.08</v>
      </c>
      <c r="T917">
        <v>3.68</v>
      </c>
      <c r="U917">
        <v>3.2</v>
      </c>
      <c r="V917">
        <v>0</v>
      </c>
      <c r="W917">
        <v>0</v>
      </c>
      <c r="X917">
        <v>14017.420889999999</v>
      </c>
      <c r="Y917">
        <v>5874541.3659899998</v>
      </c>
    </row>
    <row r="918" spans="1:25" x14ac:dyDescent="0.55000000000000004">
      <c r="A918">
        <v>916</v>
      </c>
      <c r="B918" t="s">
        <v>20</v>
      </c>
      <c r="C918">
        <v>60</v>
      </c>
      <c r="D918">
        <v>1</v>
      </c>
      <c r="E918" t="s">
        <v>137</v>
      </c>
      <c r="F918" t="s">
        <v>138</v>
      </c>
      <c r="G918">
        <v>27</v>
      </c>
      <c r="H918">
        <v>2</v>
      </c>
      <c r="I918">
        <v>27010000</v>
      </c>
      <c r="J918">
        <v>1175</v>
      </c>
      <c r="K918">
        <v>0</v>
      </c>
      <c r="L918">
        <v>14835</v>
      </c>
      <c r="M918">
        <v>14.092331</v>
      </c>
      <c r="N918">
        <v>102.27006</v>
      </c>
      <c r="O918">
        <v>5.46</v>
      </c>
      <c r="P918">
        <v>2.31</v>
      </c>
      <c r="Q918">
        <v>1.05</v>
      </c>
      <c r="R918">
        <v>0.3</v>
      </c>
      <c r="S918">
        <v>0.82</v>
      </c>
      <c r="T918">
        <v>32.889999000000003</v>
      </c>
      <c r="U918">
        <v>0.23</v>
      </c>
      <c r="V918">
        <v>0.24</v>
      </c>
      <c r="W918">
        <v>0</v>
      </c>
      <c r="X918">
        <v>36185.186367000002</v>
      </c>
      <c r="Y918">
        <v>77072530.355299994</v>
      </c>
    </row>
    <row r="919" spans="1:25" x14ac:dyDescent="0.55000000000000004">
      <c r="A919">
        <v>917</v>
      </c>
      <c r="B919" t="s">
        <v>20</v>
      </c>
      <c r="C919">
        <v>61</v>
      </c>
      <c r="D919">
        <v>2</v>
      </c>
      <c r="E919" t="s">
        <v>139</v>
      </c>
      <c r="F919" t="s">
        <v>140</v>
      </c>
      <c r="G919">
        <v>27</v>
      </c>
      <c r="H919">
        <v>2</v>
      </c>
      <c r="I919">
        <v>27020000</v>
      </c>
      <c r="J919">
        <v>984</v>
      </c>
      <c r="K919">
        <v>0</v>
      </c>
      <c r="L919">
        <v>13875</v>
      </c>
      <c r="M919">
        <v>13.446358</v>
      </c>
      <c r="N919">
        <v>102.27006</v>
      </c>
      <c r="O919">
        <v>9.73</v>
      </c>
      <c r="P919">
        <v>3.23</v>
      </c>
      <c r="Q919">
        <v>0.01</v>
      </c>
      <c r="R919">
        <v>13.65</v>
      </c>
      <c r="S919">
        <v>1.71</v>
      </c>
      <c r="T919">
        <v>13.83</v>
      </c>
      <c r="U919">
        <v>7.5</v>
      </c>
      <c r="V919">
        <v>0.02</v>
      </c>
      <c r="W919">
        <v>0.02</v>
      </c>
      <c r="X919">
        <v>37864.512345000003</v>
      </c>
      <c r="Y919">
        <v>75950272.368699998</v>
      </c>
    </row>
    <row r="920" spans="1:25" x14ac:dyDescent="0.55000000000000004">
      <c r="A920">
        <v>918</v>
      </c>
      <c r="B920" t="s">
        <v>20</v>
      </c>
      <c r="C920">
        <v>61</v>
      </c>
      <c r="D920">
        <v>2</v>
      </c>
      <c r="E920" t="s">
        <v>139</v>
      </c>
      <c r="F920" t="s">
        <v>140</v>
      </c>
      <c r="G920">
        <v>27</v>
      </c>
      <c r="H920">
        <v>2</v>
      </c>
      <c r="I920">
        <v>27020000</v>
      </c>
      <c r="J920">
        <v>990</v>
      </c>
      <c r="K920">
        <v>0</v>
      </c>
      <c r="L920">
        <v>13874</v>
      </c>
      <c r="M920">
        <v>13.446358</v>
      </c>
      <c r="N920">
        <v>102.18692</v>
      </c>
      <c r="O920">
        <v>9.34</v>
      </c>
      <c r="P920">
        <v>7.0000000000000007E-2</v>
      </c>
      <c r="Q920">
        <v>2.4</v>
      </c>
      <c r="R920">
        <v>16.780000999999999</v>
      </c>
      <c r="S920">
        <v>7.0000000000000007E-2</v>
      </c>
      <c r="T920">
        <v>10.64</v>
      </c>
      <c r="U920">
        <v>20.190000999999999</v>
      </c>
      <c r="V920">
        <v>0.03</v>
      </c>
      <c r="W920">
        <v>0.01</v>
      </c>
      <c r="X920">
        <v>6074.7131550000004</v>
      </c>
      <c r="Y920">
        <v>918096.60729700001</v>
      </c>
    </row>
    <row r="921" spans="1:25" x14ac:dyDescent="0.55000000000000004">
      <c r="A921">
        <v>919</v>
      </c>
      <c r="B921" t="s">
        <v>20</v>
      </c>
      <c r="C921">
        <v>61</v>
      </c>
      <c r="D921">
        <v>2</v>
      </c>
      <c r="E921" t="s">
        <v>139</v>
      </c>
      <c r="F921" t="s">
        <v>140</v>
      </c>
      <c r="G921">
        <v>27</v>
      </c>
      <c r="H921">
        <v>2</v>
      </c>
      <c r="I921">
        <v>27020000</v>
      </c>
      <c r="J921">
        <v>992</v>
      </c>
      <c r="K921">
        <v>0</v>
      </c>
      <c r="L921">
        <v>13754</v>
      </c>
      <c r="M921">
        <v>13.365479000000001</v>
      </c>
      <c r="N921">
        <v>102.18692</v>
      </c>
      <c r="O921">
        <v>37.389999000000003</v>
      </c>
      <c r="P921">
        <v>0.16</v>
      </c>
      <c r="Q921">
        <v>1.21</v>
      </c>
      <c r="R921">
        <v>3.18</v>
      </c>
      <c r="S921">
        <v>0.08</v>
      </c>
      <c r="T921">
        <v>17.600000000000001</v>
      </c>
      <c r="U921">
        <v>16.170000000000002</v>
      </c>
      <c r="V921">
        <v>0.02</v>
      </c>
      <c r="W921">
        <v>7.0000000000000007E-2</v>
      </c>
      <c r="X921">
        <v>12587.19082</v>
      </c>
      <c r="Y921">
        <v>1761424.3325799999</v>
      </c>
    </row>
    <row r="922" spans="1:25" x14ac:dyDescent="0.55000000000000004">
      <c r="A922">
        <v>920</v>
      </c>
      <c r="B922" t="s">
        <v>20</v>
      </c>
      <c r="C922">
        <v>61</v>
      </c>
      <c r="D922">
        <v>2</v>
      </c>
      <c r="E922" t="s">
        <v>139</v>
      </c>
      <c r="F922" t="s">
        <v>140</v>
      </c>
      <c r="G922">
        <v>27</v>
      </c>
      <c r="H922">
        <v>2</v>
      </c>
      <c r="I922">
        <v>27020000</v>
      </c>
      <c r="J922">
        <v>995</v>
      </c>
      <c r="K922">
        <v>0</v>
      </c>
      <c r="L922">
        <v>13636</v>
      </c>
      <c r="M922">
        <v>13.284592</v>
      </c>
      <c r="N922">
        <v>102.35319</v>
      </c>
      <c r="O922">
        <v>21.219999000000001</v>
      </c>
      <c r="P922">
        <v>3.05</v>
      </c>
      <c r="Q922">
        <v>0.28999999999999998</v>
      </c>
      <c r="R922">
        <v>11.82</v>
      </c>
      <c r="S922">
        <v>11.98</v>
      </c>
      <c r="T922">
        <v>19.41</v>
      </c>
      <c r="U922">
        <v>3.67</v>
      </c>
      <c r="V922">
        <v>0.71</v>
      </c>
      <c r="W922">
        <v>0.08</v>
      </c>
      <c r="X922">
        <v>19984.433437</v>
      </c>
      <c r="Y922">
        <v>12220345.505799999</v>
      </c>
    </row>
    <row r="923" spans="1:25" x14ac:dyDescent="0.55000000000000004">
      <c r="A923">
        <v>921</v>
      </c>
      <c r="B923" t="s">
        <v>20</v>
      </c>
      <c r="C923">
        <v>61</v>
      </c>
      <c r="D923">
        <v>2</v>
      </c>
      <c r="E923" t="s">
        <v>139</v>
      </c>
      <c r="F923" t="s">
        <v>140</v>
      </c>
      <c r="G923">
        <v>27</v>
      </c>
      <c r="H923">
        <v>2</v>
      </c>
      <c r="I923">
        <v>27020000</v>
      </c>
      <c r="J923">
        <v>998</v>
      </c>
      <c r="K923">
        <v>0</v>
      </c>
      <c r="L923">
        <v>13876</v>
      </c>
      <c r="M923">
        <v>13.446358</v>
      </c>
      <c r="N923">
        <v>102.35319</v>
      </c>
      <c r="O923">
        <v>0.09</v>
      </c>
      <c r="P923">
        <v>9.7200000000000006</v>
      </c>
      <c r="Q923">
        <v>0.01</v>
      </c>
      <c r="R923">
        <v>2.0099999999999998</v>
      </c>
      <c r="S923">
        <v>1.69</v>
      </c>
      <c r="T923">
        <v>3.14</v>
      </c>
      <c r="U923">
        <v>4.8600000000000003</v>
      </c>
      <c r="V923">
        <v>7.0000000000000007E-2</v>
      </c>
      <c r="W923">
        <v>0.08</v>
      </c>
      <c r="X923">
        <v>31845.549241000001</v>
      </c>
      <c r="Y923">
        <v>40498782.314199999</v>
      </c>
    </row>
    <row r="924" spans="1:25" x14ac:dyDescent="0.55000000000000004">
      <c r="A924">
        <v>922</v>
      </c>
      <c r="B924" t="s">
        <v>20</v>
      </c>
      <c r="C924">
        <v>61</v>
      </c>
      <c r="D924">
        <v>2</v>
      </c>
      <c r="E924" t="s">
        <v>139</v>
      </c>
      <c r="F924" t="s">
        <v>140</v>
      </c>
      <c r="G924">
        <v>27</v>
      </c>
      <c r="H924">
        <v>2</v>
      </c>
      <c r="I924">
        <v>27020000</v>
      </c>
      <c r="J924">
        <v>999</v>
      </c>
      <c r="K924">
        <v>0</v>
      </c>
      <c r="L924">
        <v>13755</v>
      </c>
      <c r="M924">
        <v>13.365479000000001</v>
      </c>
      <c r="N924">
        <v>102.27006</v>
      </c>
      <c r="O924">
        <v>47.849997999999999</v>
      </c>
      <c r="P924">
        <v>8.4700000000000006</v>
      </c>
      <c r="Q924">
        <v>0.52</v>
      </c>
      <c r="R924">
        <v>1.07</v>
      </c>
      <c r="S924">
        <v>1.84</v>
      </c>
      <c r="T924">
        <v>4.96</v>
      </c>
      <c r="U924">
        <v>9.52</v>
      </c>
      <c r="V924">
        <v>0.05</v>
      </c>
      <c r="W924">
        <v>7.0000000000000007E-2</v>
      </c>
      <c r="X924">
        <v>35768.273284000003</v>
      </c>
      <c r="Y924">
        <v>72571381.829400003</v>
      </c>
    </row>
    <row r="925" spans="1:25" x14ac:dyDescent="0.55000000000000004">
      <c r="A925">
        <v>923</v>
      </c>
      <c r="B925" t="s">
        <v>20</v>
      </c>
      <c r="C925">
        <v>61</v>
      </c>
      <c r="D925">
        <v>2</v>
      </c>
      <c r="E925" t="s">
        <v>139</v>
      </c>
      <c r="F925" t="s">
        <v>140</v>
      </c>
      <c r="G925">
        <v>27</v>
      </c>
      <c r="H925">
        <v>2</v>
      </c>
      <c r="I925">
        <v>27020000</v>
      </c>
      <c r="J925">
        <v>1000</v>
      </c>
      <c r="K925">
        <v>0</v>
      </c>
      <c r="L925">
        <v>13635</v>
      </c>
      <c r="M925">
        <v>13.284592</v>
      </c>
      <c r="N925">
        <v>102.27006</v>
      </c>
      <c r="O925">
        <v>3.38</v>
      </c>
      <c r="P925">
        <v>44.349997999999999</v>
      </c>
      <c r="Q925">
        <v>0.14000000000000001</v>
      </c>
      <c r="R925">
        <v>0.39</v>
      </c>
      <c r="S925">
        <v>9.15</v>
      </c>
      <c r="T925">
        <v>38.68</v>
      </c>
      <c r="U925">
        <v>15.62</v>
      </c>
      <c r="V925">
        <v>0.83</v>
      </c>
      <c r="W925">
        <v>0.31</v>
      </c>
      <c r="X925">
        <v>17431.171028000001</v>
      </c>
      <c r="Y925">
        <v>11478270.855</v>
      </c>
    </row>
    <row r="926" spans="1:25" x14ac:dyDescent="0.55000000000000004">
      <c r="A926">
        <v>924</v>
      </c>
      <c r="B926" t="s">
        <v>20</v>
      </c>
      <c r="C926">
        <v>61</v>
      </c>
      <c r="D926">
        <v>2</v>
      </c>
      <c r="E926" t="s">
        <v>139</v>
      </c>
      <c r="F926" t="s">
        <v>140</v>
      </c>
      <c r="G926">
        <v>27</v>
      </c>
      <c r="H926">
        <v>2</v>
      </c>
      <c r="I926">
        <v>27020000</v>
      </c>
      <c r="J926">
        <v>1002</v>
      </c>
      <c r="K926">
        <v>0</v>
      </c>
      <c r="L926">
        <v>13756</v>
      </c>
      <c r="M926">
        <v>13.365479000000001</v>
      </c>
      <c r="N926">
        <v>102.35319</v>
      </c>
      <c r="O926">
        <v>7.01</v>
      </c>
      <c r="P926">
        <v>64.099997999999999</v>
      </c>
      <c r="Q926">
        <v>0.66</v>
      </c>
      <c r="R926">
        <v>0.25</v>
      </c>
      <c r="S926">
        <v>2.41</v>
      </c>
      <c r="T926">
        <v>22.65</v>
      </c>
      <c r="U926">
        <v>2.69</v>
      </c>
      <c r="V926">
        <v>0.19</v>
      </c>
      <c r="W926">
        <v>0.12</v>
      </c>
      <c r="X926">
        <v>30303.601630000001</v>
      </c>
      <c r="Y926">
        <v>39733544.987999998</v>
      </c>
    </row>
    <row r="927" spans="1:25" x14ac:dyDescent="0.55000000000000004">
      <c r="A927">
        <v>925</v>
      </c>
      <c r="B927" t="s">
        <v>20</v>
      </c>
      <c r="C927">
        <v>61</v>
      </c>
      <c r="D927">
        <v>2</v>
      </c>
      <c r="E927" t="s">
        <v>139</v>
      </c>
      <c r="F927" t="s">
        <v>140</v>
      </c>
      <c r="G927">
        <v>27</v>
      </c>
      <c r="H927">
        <v>2</v>
      </c>
      <c r="I927">
        <v>27020000</v>
      </c>
      <c r="J927">
        <v>1018</v>
      </c>
      <c r="K927">
        <v>0</v>
      </c>
      <c r="L927">
        <v>13994</v>
      </c>
      <c r="M927">
        <v>13.527199</v>
      </c>
      <c r="N927">
        <v>102.18692</v>
      </c>
      <c r="O927">
        <v>0.56999999999999995</v>
      </c>
      <c r="P927">
        <v>8.82</v>
      </c>
      <c r="Q927">
        <v>0.11</v>
      </c>
      <c r="R927">
        <v>0.3</v>
      </c>
      <c r="S927">
        <v>0.01</v>
      </c>
      <c r="T927">
        <v>0.89</v>
      </c>
      <c r="U927">
        <v>5.63</v>
      </c>
      <c r="V927">
        <v>7.0000000000000007E-2</v>
      </c>
      <c r="W927">
        <v>0.24</v>
      </c>
      <c r="X927">
        <v>28464.243823000001</v>
      </c>
      <c r="Y927">
        <v>29986442.633900002</v>
      </c>
    </row>
    <row r="928" spans="1:25" x14ac:dyDescent="0.55000000000000004">
      <c r="A928">
        <v>926</v>
      </c>
      <c r="B928" t="s">
        <v>20</v>
      </c>
      <c r="C928">
        <v>61</v>
      </c>
      <c r="D928">
        <v>2</v>
      </c>
      <c r="E928" t="s">
        <v>139</v>
      </c>
      <c r="F928" t="s">
        <v>140</v>
      </c>
      <c r="G928">
        <v>27</v>
      </c>
      <c r="H928">
        <v>2</v>
      </c>
      <c r="I928">
        <v>27020000</v>
      </c>
      <c r="J928">
        <v>1022</v>
      </c>
      <c r="K928">
        <v>0</v>
      </c>
      <c r="L928">
        <v>14114</v>
      </c>
      <c r="M928">
        <v>13.608017</v>
      </c>
      <c r="N928">
        <v>102.18692</v>
      </c>
      <c r="O928">
        <v>0.21</v>
      </c>
      <c r="P928">
        <v>3.37</v>
      </c>
      <c r="Q928">
        <v>0.45</v>
      </c>
      <c r="R928">
        <v>0.5</v>
      </c>
      <c r="S928">
        <v>0</v>
      </c>
      <c r="T928">
        <v>5.94</v>
      </c>
      <c r="U928">
        <v>6.45</v>
      </c>
      <c r="V928">
        <v>0</v>
      </c>
      <c r="W928">
        <v>0.11</v>
      </c>
      <c r="X928">
        <v>29698.063816999998</v>
      </c>
      <c r="Y928">
        <v>34997815.137100004</v>
      </c>
    </row>
    <row r="929" spans="1:25" x14ac:dyDescent="0.55000000000000004">
      <c r="A929">
        <v>927</v>
      </c>
      <c r="B929" t="s">
        <v>20</v>
      </c>
      <c r="C929">
        <v>61</v>
      </c>
      <c r="D929">
        <v>2</v>
      </c>
      <c r="E929" t="s">
        <v>139</v>
      </c>
      <c r="F929" t="s">
        <v>140</v>
      </c>
      <c r="G929">
        <v>27</v>
      </c>
      <c r="H929">
        <v>2</v>
      </c>
      <c r="I929">
        <v>27020000</v>
      </c>
      <c r="J929">
        <v>1034</v>
      </c>
      <c r="K929">
        <v>0</v>
      </c>
      <c r="L929">
        <v>13995</v>
      </c>
      <c r="M929">
        <v>13.527199</v>
      </c>
      <c r="N929">
        <v>102.27006</v>
      </c>
      <c r="O929">
        <v>0.04</v>
      </c>
      <c r="P929">
        <v>2</v>
      </c>
      <c r="Q929">
        <v>0.04</v>
      </c>
      <c r="R929">
        <v>0.39</v>
      </c>
      <c r="S929">
        <v>1.28</v>
      </c>
      <c r="T929">
        <v>1.1499999999999999</v>
      </c>
      <c r="U929">
        <v>8.1199999999999992</v>
      </c>
      <c r="V929">
        <v>0.14000000000000001</v>
      </c>
      <c r="W929">
        <v>6.07</v>
      </c>
      <c r="X929">
        <v>36539.644253999999</v>
      </c>
      <c r="Y929">
        <v>80180049.298700005</v>
      </c>
    </row>
    <row r="930" spans="1:25" x14ac:dyDescent="0.55000000000000004">
      <c r="A930">
        <v>928</v>
      </c>
      <c r="B930" t="s">
        <v>20</v>
      </c>
      <c r="C930">
        <v>61</v>
      </c>
      <c r="D930">
        <v>2</v>
      </c>
      <c r="E930" t="s">
        <v>139</v>
      </c>
      <c r="F930" t="s">
        <v>140</v>
      </c>
      <c r="G930">
        <v>27</v>
      </c>
      <c r="H930">
        <v>2</v>
      </c>
      <c r="I930">
        <v>27020000</v>
      </c>
      <c r="J930">
        <v>1035</v>
      </c>
      <c r="K930">
        <v>0</v>
      </c>
      <c r="L930">
        <v>13996</v>
      </c>
      <c r="M930">
        <v>13.527199</v>
      </c>
      <c r="N930">
        <v>102.35319</v>
      </c>
      <c r="O930">
        <v>0.02</v>
      </c>
      <c r="P930">
        <v>4.9000000000000004</v>
      </c>
      <c r="Q930">
        <v>0</v>
      </c>
      <c r="R930">
        <v>0.05</v>
      </c>
      <c r="S930">
        <v>4.25</v>
      </c>
      <c r="T930">
        <v>2.85</v>
      </c>
      <c r="U930">
        <v>6.47</v>
      </c>
      <c r="V930">
        <v>0</v>
      </c>
      <c r="W930">
        <v>2.5299999999999998</v>
      </c>
      <c r="X930">
        <v>12523.077246000001</v>
      </c>
      <c r="Y930">
        <v>4622647.5840400001</v>
      </c>
    </row>
    <row r="931" spans="1:25" x14ac:dyDescent="0.55000000000000004">
      <c r="A931">
        <v>929</v>
      </c>
      <c r="B931" t="s">
        <v>20</v>
      </c>
      <c r="C931">
        <v>61</v>
      </c>
      <c r="D931">
        <v>2</v>
      </c>
      <c r="E931" t="s">
        <v>139</v>
      </c>
      <c r="F931" t="s">
        <v>140</v>
      </c>
      <c r="G931">
        <v>27</v>
      </c>
      <c r="H931">
        <v>2</v>
      </c>
      <c r="I931">
        <v>27020000</v>
      </c>
      <c r="J931">
        <v>1037</v>
      </c>
      <c r="K931">
        <v>0</v>
      </c>
      <c r="L931">
        <v>14115</v>
      </c>
      <c r="M931">
        <v>13.608017</v>
      </c>
      <c r="N931">
        <v>102.27006</v>
      </c>
      <c r="O931">
        <v>0.05</v>
      </c>
      <c r="P931">
        <v>11.7</v>
      </c>
      <c r="Q931">
        <v>0.28000000000000003</v>
      </c>
      <c r="R931">
        <v>0.37</v>
      </c>
      <c r="S931">
        <v>0</v>
      </c>
      <c r="T931">
        <v>2.38</v>
      </c>
      <c r="U931">
        <v>2.2999999999999998</v>
      </c>
      <c r="V931">
        <v>0</v>
      </c>
      <c r="W931">
        <v>0.23</v>
      </c>
      <c r="X931">
        <v>34909.959795000002</v>
      </c>
      <c r="Y931">
        <v>62201987.9912</v>
      </c>
    </row>
    <row r="932" spans="1:25" x14ac:dyDescent="0.55000000000000004">
      <c r="A932">
        <v>930</v>
      </c>
      <c r="B932" t="s">
        <v>20</v>
      </c>
      <c r="C932">
        <v>61</v>
      </c>
      <c r="D932">
        <v>2</v>
      </c>
      <c r="E932" t="s">
        <v>139</v>
      </c>
      <c r="F932" t="s">
        <v>140</v>
      </c>
      <c r="G932">
        <v>27</v>
      </c>
      <c r="H932">
        <v>2</v>
      </c>
      <c r="I932">
        <v>27020000</v>
      </c>
      <c r="J932">
        <v>1038</v>
      </c>
      <c r="K932">
        <v>0</v>
      </c>
      <c r="L932">
        <v>14116</v>
      </c>
      <c r="M932">
        <v>13.608017</v>
      </c>
      <c r="N932">
        <v>102.35319</v>
      </c>
      <c r="O932">
        <v>0.02</v>
      </c>
      <c r="P932">
        <v>0.47</v>
      </c>
      <c r="Q932">
        <v>0.1</v>
      </c>
      <c r="R932">
        <v>0</v>
      </c>
      <c r="S932">
        <v>0</v>
      </c>
      <c r="T932">
        <v>2.3199999999999998</v>
      </c>
      <c r="U932">
        <v>2.39</v>
      </c>
      <c r="V932">
        <v>0</v>
      </c>
      <c r="W932">
        <v>0.3</v>
      </c>
      <c r="X932">
        <v>22594.836197000001</v>
      </c>
      <c r="Y932">
        <v>16632411.582699999</v>
      </c>
    </row>
    <row r="933" spans="1:25" x14ac:dyDescent="0.55000000000000004">
      <c r="A933">
        <v>931</v>
      </c>
      <c r="B933" t="s">
        <v>20</v>
      </c>
      <c r="C933">
        <v>62</v>
      </c>
      <c r="D933">
        <v>3</v>
      </c>
      <c r="E933" t="s">
        <v>141</v>
      </c>
      <c r="F933" t="s">
        <v>142</v>
      </c>
      <c r="G933">
        <v>27</v>
      </c>
      <c r="H933">
        <v>2</v>
      </c>
      <c r="I933">
        <v>27030000</v>
      </c>
      <c r="J933">
        <v>1110</v>
      </c>
      <c r="K933">
        <v>0</v>
      </c>
      <c r="L933">
        <v>14480</v>
      </c>
      <c r="M933">
        <v>13.850304</v>
      </c>
      <c r="N933">
        <v>102.68574</v>
      </c>
      <c r="O933">
        <v>0</v>
      </c>
      <c r="P933">
        <v>0.02</v>
      </c>
      <c r="Q933">
        <v>0.04</v>
      </c>
      <c r="R933">
        <v>0</v>
      </c>
      <c r="S933">
        <v>0.11</v>
      </c>
      <c r="T933">
        <v>8.8000000000000007</v>
      </c>
      <c r="U933">
        <v>0.86</v>
      </c>
      <c r="V933">
        <v>0</v>
      </c>
      <c r="W933">
        <v>0.03</v>
      </c>
      <c r="X933">
        <v>3322.6777499999998</v>
      </c>
      <c r="Y933">
        <v>414785.23830800003</v>
      </c>
    </row>
    <row r="934" spans="1:25" x14ac:dyDescent="0.55000000000000004">
      <c r="A934">
        <v>932</v>
      </c>
      <c r="B934" t="s">
        <v>20</v>
      </c>
      <c r="C934">
        <v>62</v>
      </c>
      <c r="D934">
        <v>3</v>
      </c>
      <c r="E934" t="s">
        <v>141</v>
      </c>
      <c r="F934" t="s">
        <v>142</v>
      </c>
      <c r="G934">
        <v>27</v>
      </c>
      <c r="H934">
        <v>2</v>
      </c>
      <c r="I934">
        <v>27030000</v>
      </c>
      <c r="J934">
        <v>1118</v>
      </c>
      <c r="K934">
        <v>0</v>
      </c>
      <c r="L934">
        <v>14481</v>
      </c>
      <c r="M934">
        <v>13.850304</v>
      </c>
      <c r="N934">
        <v>102.76887000000001</v>
      </c>
      <c r="O934">
        <v>0</v>
      </c>
      <c r="P934">
        <v>0</v>
      </c>
      <c r="Q934">
        <v>0</v>
      </c>
      <c r="R934">
        <v>0</v>
      </c>
      <c r="S934">
        <v>0.53</v>
      </c>
      <c r="T934">
        <v>4.97</v>
      </c>
      <c r="U934">
        <v>0.69</v>
      </c>
      <c r="V934">
        <v>0</v>
      </c>
      <c r="W934">
        <v>0</v>
      </c>
      <c r="X934">
        <v>15369.259705</v>
      </c>
      <c r="Y934">
        <v>12642151.546499999</v>
      </c>
    </row>
    <row r="935" spans="1:25" x14ac:dyDescent="0.55000000000000004">
      <c r="A935">
        <v>933</v>
      </c>
      <c r="B935" t="s">
        <v>20</v>
      </c>
      <c r="C935">
        <v>62</v>
      </c>
      <c r="D935">
        <v>3</v>
      </c>
      <c r="E935" t="s">
        <v>141</v>
      </c>
      <c r="F935" t="s">
        <v>142</v>
      </c>
      <c r="G935">
        <v>27</v>
      </c>
      <c r="H935">
        <v>2</v>
      </c>
      <c r="I935">
        <v>27030000</v>
      </c>
      <c r="J935">
        <v>1181</v>
      </c>
      <c r="K935">
        <v>0</v>
      </c>
      <c r="L935">
        <v>14838</v>
      </c>
      <c r="M935">
        <v>14.092331</v>
      </c>
      <c r="N935">
        <v>102.51946</v>
      </c>
      <c r="O935">
        <v>0</v>
      </c>
      <c r="P935">
        <v>0.24</v>
      </c>
      <c r="Q935">
        <v>0</v>
      </c>
      <c r="R935">
        <v>0.11</v>
      </c>
      <c r="S935">
        <v>9.17</v>
      </c>
      <c r="T935">
        <v>17.870000999999998</v>
      </c>
      <c r="U935">
        <v>0.38</v>
      </c>
      <c r="V935">
        <v>0.01</v>
      </c>
      <c r="W935">
        <v>0.01</v>
      </c>
      <c r="X935">
        <v>31657.520617999999</v>
      </c>
      <c r="Y935">
        <v>40718208.968400002</v>
      </c>
    </row>
    <row r="936" spans="1:25" x14ac:dyDescent="0.55000000000000004">
      <c r="A936">
        <v>934</v>
      </c>
      <c r="B936" t="s">
        <v>20</v>
      </c>
      <c r="C936">
        <v>62</v>
      </c>
      <c r="D936">
        <v>3</v>
      </c>
      <c r="E936" t="s">
        <v>141</v>
      </c>
      <c r="F936" t="s">
        <v>142</v>
      </c>
      <c r="G936">
        <v>27</v>
      </c>
      <c r="H936">
        <v>2</v>
      </c>
      <c r="I936">
        <v>27030000</v>
      </c>
      <c r="J936">
        <v>1183</v>
      </c>
      <c r="K936">
        <v>0</v>
      </c>
      <c r="L936">
        <v>14718</v>
      </c>
      <c r="M936">
        <v>14.011680999999999</v>
      </c>
      <c r="N936">
        <v>102.51946</v>
      </c>
      <c r="O936">
        <v>0</v>
      </c>
      <c r="P936">
        <v>0.57999999999999996</v>
      </c>
      <c r="Q936">
        <v>0.32</v>
      </c>
      <c r="R936">
        <v>0</v>
      </c>
      <c r="S936">
        <v>0.5</v>
      </c>
      <c r="T936">
        <v>12.73</v>
      </c>
      <c r="U936">
        <v>7.43</v>
      </c>
      <c r="V936">
        <v>0.01</v>
      </c>
      <c r="W936">
        <v>0</v>
      </c>
      <c r="X936">
        <v>18032.331389999999</v>
      </c>
      <c r="Y936">
        <v>7579048.89683</v>
      </c>
    </row>
    <row r="937" spans="1:25" x14ac:dyDescent="0.55000000000000004">
      <c r="A937">
        <v>935</v>
      </c>
      <c r="B937" t="s">
        <v>20</v>
      </c>
      <c r="C937">
        <v>62</v>
      </c>
      <c r="D937">
        <v>3</v>
      </c>
      <c r="E937" t="s">
        <v>141</v>
      </c>
      <c r="F937" t="s">
        <v>142</v>
      </c>
      <c r="G937">
        <v>27</v>
      </c>
      <c r="H937">
        <v>2</v>
      </c>
      <c r="I937">
        <v>27030000</v>
      </c>
      <c r="J937">
        <v>1188</v>
      </c>
      <c r="K937">
        <v>0</v>
      </c>
      <c r="L937">
        <v>14958</v>
      </c>
      <c r="M937">
        <v>14.172943</v>
      </c>
      <c r="N937">
        <v>102.51946</v>
      </c>
      <c r="O937">
        <v>0.6</v>
      </c>
      <c r="P937">
        <v>0.05</v>
      </c>
      <c r="Q937">
        <v>0.14000000000000001</v>
      </c>
      <c r="R937">
        <v>0.09</v>
      </c>
      <c r="S937">
        <v>40.25</v>
      </c>
      <c r="T937">
        <v>19.84</v>
      </c>
      <c r="U937">
        <v>0.18</v>
      </c>
      <c r="V937">
        <v>0.15</v>
      </c>
      <c r="W937">
        <v>0.04</v>
      </c>
      <c r="X937">
        <v>14150.865854</v>
      </c>
      <c r="Y937">
        <v>3887436.8930899999</v>
      </c>
    </row>
    <row r="938" spans="1:25" x14ac:dyDescent="0.55000000000000004">
      <c r="A938">
        <v>936</v>
      </c>
      <c r="B938" t="s">
        <v>20</v>
      </c>
      <c r="C938">
        <v>62</v>
      </c>
      <c r="D938">
        <v>3</v>
      </c>
      <c r="E938" t="s">
        <v>141</v>
      </c>
      <c r="F938" t="s">
        <v>142</v>
      </c>
      <c r="G938">
        <v>27</v>
      </c>
      <c r="H938">
        <v>2</v>
      </c>
      <c r="I938">
        <v>27030000</v>
      </c>
      <c r="J938">
        <v>1230</v>
      </c>
      <c r="K938">
        <v>0</v>
      </c>
      <c r="L938">
        <v>14599</v>
      </c>
      <c r="M938">
        <v>13.931006999999999</v>
      </c>
      <c r="N938">
        <v>102.6026</v>
      </c>
      <c r="O938">
        <v>0</v>
      </c>
      <c r="P938">
        <v>0</v>
      </c>
      <c r="Q938">
        <v>0</v>
      </c>
      <c r="R938">
        <v>0.26</v>
      </c>
      <c r="S938">
        <v>0.02</v>
      </c>
      <c r="T938">
        <v>17.93</v>
      </c>
      <c r="U938">
        <v>1.49</v>
      </c>
      <c r="V938">
        <v>0</v>
      </c>
      <c r="W938">
        <v>0.04</v>
      </c>
      <c r="X938">
        <v>22235.446671000002</v>
      </c>
      <c r="Y938">
        <v>23478835.497699998</v>
      </c>
    </row>
    <row r="939" spans="1:25" x14ac:dyDescent="0.55000000000000004">
      <c r="A939">
        <v>937</v>
      </c>
      <c r="B939" t="s">
        <v>20</v>
      </c>
      <c r="C939">
        <v>62</v>
      </c>
      <c r="D939">
        <v>3</v>
      </c>
      <c r="E939" t="s">
        <v>141</v>
      </c>
      <c r="F939" t="s">
        <v>142</v>
      </c>
      <c r="G939">
        <v>27</v>
      </c>
      <c r="H939">
        <v>2</v>
      </c>
      <c r="I939">
        <v>27030000</v>
      </c>
      <c r="J939">
        <v>1231</v>
      </c>
      <c r="K939">
        <v>0</v>
      </c>
      <c r="L939">
        <v>14600</v>
      </c>
      <c r="M939">
        <v>13.931006999999999</v>
      </c>
      <c r="N939">
        <v>102.68574</v>
      </c>
      <c r="O939">
        <v>0</v>
      </c>
      <c r="P939">
        <v>0</v>
      </c>
      <c r="Q939">
        <v>0</v>
      </c>
      <c r="R939">
        <v>0.05</v>
      </c>
      <c r="S939">
        <v>0.34</v>
      </c>
      <c r="T939">
        <v>23.469999000000001</v>
      </c>
      <c r="U939">
        <v>15.55</v>
      </c>
      <c r="V939">
        <v>0</v>
      </c>
      <c r="W939">
        <v>6.52</v>
      </c>
      <c r="X939">
        <v>42198.187815999998</v>
      </c>
      <c r="Y939">
        <v>67143480.2676</v>
      </c>
    </row>
    <row r="940" spans="1:25" x14ac:dyDescent="0.55000000000000004">
      <c r="A940">
        <v>938</v>
      </c>
      <c r="B940" t="s">
        <v>20</v>
      </c>
      <c r="C940">
        <v>62</v>
      </c>
      <c r="D940">
        <v>3</v>
      </c>
      <c r="E940" t="s">
        <v>141</v>
      </c>
      <c r="F940" t="s">
        <v>142</v>
      </c>
      <c r="G940">
        <v>27</v>
      </c>
      <c r="H940">
        <v>2</v>
      </c>
      <c r="I940">
        <v>27030000</v>
      </c>
      <c r="J940">
        <v>1232</v>
      </c>
      <c r="K940">
        <v>0</v>
      </c>
      <c r="L940">
        <v>14840</v>
      </c>
      <c r="M940">
        <v>14.092331</v>
      </c>
      <c r="N940">
        <v>102.68574</v>
      </c>
      <c r="O940">
        <v>0</v>
      </c>
      <c r="P940">
        <v>0</v>
      </c>
      <c r="Q940">
        <v>0.01</v>
      </c>
      <c r="R940">
        <v>0</v>
      </c>
      <c r="S940">
        <v>1.29</v>
      </c>
      <c r="T940">
        <v>27.459999</v>
      </c>
      <c r="U940">
        <v>2.66</v>
      </c>
      <c r="V940">
        <v>0.01</v>
      </c>
      <c r="W940">
        <v>0</v>
      </c>
      <c r="X940">
        <v>35926.135887999997</v>
      </c>
      <c r="Y940">
        <v>80144545.793099999</v>
      </c>
    </row>
    <row r="941" spans="1:25" x14ac:dyDescent="0.55000000000000004">
      <c r="A941">
        <v>939</v>
      </c>
      <c r="B941" t="s">
        <v>20</v>
      </c>
      <c r="C941">
        <v>62</v>
      </c>
      <c r="D941">
        <v>3</v>
      </c>
      <c r="E941" t="s">
        <v>141</v>
      </c>
      <c r="F941" t="s">
        <v>142</v>
      </c>
      <c r="G941">
        <v>27</v>
      </c>
      <c r="H941">
        <v>2</v>
      </c>
      <c r="I941">
        <v>27030000</v>
      </c>
      <c r="J941">
        <v>1233</v>
      </c>
      <c r="K941">
        <v>0</v>
      </c>
      <c r="L941">
        <v>14719</v>
      </c>
      <c r="M941">
        <v>14.011680999999999</v>
      </c>
      <c r="N941">
        <v>102.6026</v>
      </c>
      <c r="O941">
        <v>0.01</v>
      </c>
      <c r="P941">
        <v>0.01</v>
      </c>
      <c r="Q941">
        <v>0.03</v>
      </c>
      <c r="R941">
        <v>0</v>
      </c>
      <c r="S941">
        <v>0.48</v>
      </c>
      <c r="T941">
        <v>41.549999</v>
      </c>
      <c r="U941">
        <v>8.5399999999999991</v>
      </c>
      <c r="V941">
        <v>0.17</v>
      </c>
      <c r="W941">
        <v>0</v>
      </c>
      <c r="X941">
        <v>35481.483808999998</v>
      </c>
      <c r="Y941">
        <v>76811749.420399994</v>
      </c>
    </row>
    <row r="942" spans="1:25" x14ac:dyDescent="0.55000000000000004">
      <c r="A942">
        <v>940</v>
      </c>
      <c r="B942" t="s">
        <v>20</v>
      </c>
      <c r="C942">
        <v>62</v>
      </c>
      <c r="D942">
        <v>3</v>
      </c>
      <c r="E942" t="s">
        <v>141</v>
      </c>
      <c r="F942" t="s">
        <v>142</v>
      </c>
      <c r="G942">
        <v>27</v>
      </c>
      <c r="H942">
        <v>2</v>
      </c>
      <c r="I942">
        <v>27030000</v>
      </c>
      <c r="J942">
        <v>1234</v>
      </c>
      <c r="K942">
        <v>0</v>
      </c>
      <c r="L942">
        <v>14720</v>
      </c>
      <c r="M942">
        <v>14.011680999999999</v>
      </c>
      <c r="N942">
        <v>102.68574</v>
      </c>
      <c r="O942">
        <v>2.2799999999999998</v>
      </c>
      <c r="P942">
        <v>0</v>
      </c>
      <c r="Q942">
        <v>0</v>
      </c>
      <c r="R942">
        <v>0</v>
      </c>
      <c r="S942">
        <v>0</v>
      </c>
      <c r="T942">
        <v>21.719999000000001</v>
      </c>
      <c r="U942">
        <v>1.93</v>
      </c>
      <c r="V942">
        <v>0.13</v>
      </c>
      <c r="W942">
        <v>0.01</v>
      </c>
      <c r="X942">
        <v>35866.646950000002</v>
      </c>
      <c r="Y942">
        <v>80400219.315699995</v>
      </c>
    </row>
    <row r="943" spans="1:25" x14ac:dyDescent="0.55000000000000004">
      <c r="A943">
        <v>941</v>
      </c>
      <c r="B943" t="s">
        <v>20</v>
      </c>
      <c r="C943">
        <v>62</v>
      </c>
      <c r="D943">
        <v>3</v>
      </c>
      <c r="E943" t="s">
        <v>141</v>
      </c>
      <c r="F943" t="s">
        <v>142</v>
      </c>
      <c r="G943">
        <v>27</v>
      </c>
      <c r="H943">
        <v>2</v>
      </c>
      <c r="I943">
        <v>27030000</v>
      </c>
      <c r="J943">
        <v>1235</v>
      </c>
      <c r="K943">
        <v>0</v>
      </c>
      <c r="L943">
        <v>14601</v>
      </c>
      <c r="M943">
        <v>13.931006999999999</v>
      </c>
      <c r="N943">
        <v>102.76887000000001</v>
      </c>
      <c r="O943">
        <v>0</v>
      </c>
      <c r="P943">
        <v>0</v>
      </c>
      <c r="Q943">
        <v>0</v>
      </c>
      <c r="R943">
        <v>0</v>
      </c>
      <c r="S943">
        <v>16.84</v>
      </c>
      <c r="T943">
        <v>10.53</v>
      </c>
      <c r="U943">
        <v>0.8</v>
      </c>
      <c r="V943">
        <v>0.01</v>
      </c>
      <c r="W943">
        <v>0.01</v>
      </c>
      <c r="X943">
        <v>33647.872509000001</v>
      </c>
      <c r="Y943">
        <v>61571310.048900001</v>
      </c>
    </row>
    <row r="944" spans="1:25" x14ac:dyDescent="0.55000000000000004">
      <c r="A944">
        <v>942</v>
      </c>
      <c r="B944" t="s">
        <v>20</v>
      </c>
      <c r="C944">
        <v>62</v>
      </c>
      <c r="D944">
        <v>3</v>
      </c>
      <c r="E944" t="s">
        <v>141</v>
      </c>
      <c r="F944" t="s">
        <v>142</v>
      </c>
      <c r="G944">
        <v>27</v>
      </c>
      <c r="H944">
        <v>2</v>
      </c>
      <c r="I944">
        <v>27030000</v>
      </c>
      <c r="J944">
        <v>1236</v>
      </c>
      <c r="K944">
        <v>0</v>
      </c>
      <c r="L944">
        <v>14722</v>
      </c>
      <c r="M944">
        <v>14.011680999999999</v>
      </c>
      <c r="N944">
        <v>102.85200500000001</v>
      </c>
      <c r="O944">
        <v>0</v>
      </c>
      <c r="P944">
        <v>0</v>
      </c>
      <c r="Q944">
        <v>0</v>
      </c>
      <c r="R944">
        <v>0</v>
      </c>
      <c r="S944">
        <v>2.19</v>
      </c>
      <c r="T944">
        <v>15.1</v>
      </c>
      <c r="U944">
        <v>1.45</v>
      </c>
      <c r="V944">
        <v>0</v>
      </c>
      <c r="W944">
        <v>0.01</v>
      </c>
      <c r="X944">
        <v>33887.478725000001</v>
      </c>
      <c r="Y944">
        <v>61806308.186700001</v>
      </c>
    </row>
    <row r="945" spans="1:25" x14ac:dyDescent="0.55000000000000004">
      <c r="A945">
        <v>943</v>
      </c>
      <c r="B945" t="s">
        <v>20</v>
      </c>
      <c r="C945">
        <v>62</v>
      </c>
      <c r="D945">
        <v>3</v>
      </c>
      <c r="E945" t="s">
        <v>141</v>
      </c>
      <c r="F945" t="s">
        <v>142</v>
      </c>
      <c r="G945">
        <v>27</v>
      </c>
      <c r="H945">
        <v>2</v>
      </c>
      <c r="I945">
        <v>27030000</v>
      </c>
      <c r="J945">
        <v>1237</v>
      </c>
      <c r="K945">
        <v>0</v>
      </c>
      <c r="L945">
        <v>14602</v>
      </c>
      <c r="M945">
        <v>13.931006999999999</v>
      </c>
      <c r="N945">
        <v>102.85200500000001</v>
      </c>
      <c r="O945">
        <v>0</v>
      </c>
      <c r="P945">
        <v>0</v>
      </c>
      <c r="Q945">
        <v>0.01</v>
      </c>
      <c r="R945">
        <v>0</v>
      </c>
      <c r="S945">
        <v>0.84</v>
      </c>
      <c r="T945">
        <v>14.97</v>
      </c>
      <c r="U945">
        <v>0</v>
      </c>
      <c r="V945">
        <v>0</v>
      </c>
      <c r="W945">
        <v>0.03</v>
      </c>
      <c r="X945">
        <v>6323.5087979999998</v>
      </c>
      <c r="Y945">
        <v>1110174.2875399999</v>
      </c>
    </row>
    <row r="946" spans="1:25" x14ac:dyDescent="0.55000000000000004">
      <c r="A946">
        <v>944</v>
      </c>
      <c r="B946" t="s">
        <v>20</v>
      </c>
      <c r="C946">
        <v>62</v>
      </c>
      <c r="D946">
        <v>3</v>
      </c>
      <c r="E946" t="s">
        <v>141</v>
      </c>
      <c r="F946" t="s">
        <v>142</v>
      </c>
      <c r="G946">
        <v>27</v>
      </c>
      <c r="H946">
        <v>2</v>
      </c>
      <c r="I946">
        <v>27030000</v>
      </c>
      <c r="J946">
        <v>1238</v>
      </c>
      <c r="K946">
        <v>0</v>
      </c>
      <c r="L946">
        <v>14721</v>
      </c>
      <c r="M946">
        <v>14.011680999999999</v>
      </c>
      <c r="N946">
        <v>102.76887000000001</v>
      </c>
      <c r="O946">
        <v>0</v>
      </c>
      <c r="P946">
        <v>0</v>
      </c>
      <c r="Q946">
        <v>0</v>
      </c>
      <c r="R946">
        <v>0</v>
      </c>
      <c r="S946">
        <v>1.29</v>
      </c>
      <c r="T946">
        <v>5.9</v>
      </c>
      <c r="U946">
        <v>1.0900000000000001</v>
      </c>
      <c r="V946">
        <v>0.01</v>
      </c>
      <c r="W946">
        <v>0</v>
      </c>
      <c r="X946">
        <v>35869.317071999998</v>
      </c>
      <c r="Y946">
        <v>80412198.296900004</v>
      </c>
    </row>
    <row r="947" spans="1:25" x14ac:dyDescent="0.55000000000000004">
      <c r="A947">
        <v>945</v>
      </c>
      <c r="B947" t="s">
        <v>20</v>
      </c>
      <c r="C947">
        <v>62</v>
      </c>
      <c r="D947">
        <v>3</v>
      </c>
      <c r="E947" t="s">
        <v>141</v>
      </c>
      <c r="F947" t="s">
        <v>142</v>
      </c>
      <c r="G947">
        <v>27</v>
      </c>
      <c r="H947">
        <v>2</v>
      </c>
      <c r="I947">
        <v>27030000</v>
      </c>
      <c r="J947">
        <v>1239</v>
      </c>
      <c r="K947">
        <v>0</v>
      </c>
      <c r="L947">
        <v>14841</v>
      </c>
      <c r="M947">
        <v>14.092331</v>
      </c>
      <c r="N947">
        <v>102.76887000000001</v>
      </c>
      <c r="O947">
        <v>2.44</v>
      </c>
      <c r="P947">
        <v>0</v>
      </c>
      <c r="Q947">
        <v>0</v>
      </c>
      <c r="R947">
        <v>0</v>
      </c>
      <c r="S947">
        <v>2.25</v>
      </c>
      <c r="T947">
        <v>11.24</v>
      </c>
      <c r="U947">
        <v>9.7899999999999991</v>
      </c>
      <c r="V947">
        <v>0.01</v>
      </c>
      <c r="W947">
        <v>0</v>
      </c>
      <c r="X947">
        <v>35856.215742</v>
      </c>
      <c r="Y947">
        <v>80353460.622199997</v>
      </c>
    </row>
    <row r="948" spans="1:25" x14ac:dyDescent="0.55000000000000004">
      <c r="A948">
        <v>946</v>
      </c>
      <c r="B948" t="s">
        <v>20</v>
      </c>
      <c r="C948">
        <v>62</v>
      </c>
      <c r="D948">
        <v>3</v>
      </c>
      <c r="E948" t="s">
        <v>141</v>
      </c>
      <c r="F948" t="s">
        <v>142</v>
      </c>
      <c r="G948">
        <v>27</v>
      </c>
      <c r="H948">
        <v>2</v>
      </c>
      <c r="I948">
        <v>27030000</v>
      </c>
      <c r="J948">
        <v>1240</v>
      </c>
      <c r="K948">
        <v>0</v>
      </c>
      <c r="L948">
        <v>14960</v>
      </c>
      <c r="M948">
        <v>14.172943</v>
      </c>
      <c r="N948">
        <v>102.68574</v>
      </c>
      <c r="O948">
        <v>3.8</v>
      </c>
      <c r="P948">
        <v>0.16</v>
      </c>
      <c r="Q948">
        <v>0.49</v>
      </c>
      <c r="R948">
        <v>0</v>
      </c>
      <c r="S948">
        <v>37.349997999999999</v>
      </c>
      <c r="T948">
        <v>13.12</v>
      </c>
      <c r="U948">
        <v>0.09</v>
      </c>
      <c r="V948">
        <v>0.78</v>
      </c>
      <c r="W948">
        <v>0</v>
      </c>
      <c r="X948">
        <v>20654.142365</v>
      </c>
      <c r="Y948">
        <v>14550788.114700001</v>
      </c>
    </row>
    <row r="949" spans="1:25" x14ac:dyDescent="0.55000000000000004">
      <c r="A949">
        <v>947</v>
      </c>
      <c r="B949" t="s">
        <v>20</v>
      </c>
      <c r="C949">
        <v>62</v>
      </c>
      <c r="D949">
        <v>3</v>
      </c>
      <c r="E949" t="s">
        <v>141</v>
      </c>
      <c r="F949" t="s">
        <v>142</v>
      </c>
      <c r="G949">
        <v>27</v>
      </c>
      <c r="H949">
        <v>2</v>
      </c>
      <c r="I949">
        <v>27030000</v>
      </c>
      <c r="J949">
        <v>1241</v>
      </c>
      <c r="K949">
        <v>0</v>
      </c>
      <c r="L949">
        <v>14959</v>
      </c>
      <c r="M949">
        <v>14.172943</v>
      </c>
      <c r="N949">
        <v>102.6026</v>
      </c>
      <c r="O949">
        <v>1.34</v>
      </c>
      <c r="P949">
        <v>10.199999999999999</v>
      </c>
      <c r="Q949">
        <v>10.220000000000001</v>
      </c>
      <c r="R949">
        <v>0</v>
      </c>
      <c r="S949">
        <v>7.83</v>
      </c>
      <c r="T949">
        <v>8.18</v>
      </c>
      <c r="U949">
        <v>0.17</v>
      </c>
      <c r="V949">
        <v>2.02</v>
      </c>
      <c r="W949">
        <v>0</v>
      </c>
      <c r="X949">
        <v>24820.564858999998</v>
      </c>
      <c r="Y949">
        <v>25368033.167100001</v>
      </c>
    </row>
    <row r="950" spans="1:25" x14ac:dyDescent="0.55000000000000004">
      <c r="A950">
        <v>948</v>
      </c>
      <c r="B950" t="s">
        <v>20</v>
      </c>
      <c r="C950">
        <v>62</v>
      </c>
      <c r="D950">
        <v>3</v>
      </c>
      <c r="E950" t="s">
        <v>141</v>
      </c>
      <c r="F950" t="s">
        <v>142</v>
      </c>
      <c r="G950">
        <v>27</v>
      </c>
      <c r="H950">
        <v>2</v>
      </c>
      <c r="I950">
        <v>27030000</v>
      </c>
      <c r="J950">
        <v>1245</v>
      </c>
      <c r="K950">
        <v>0</v>
      </c>
      <c r="L950">
        <v>14839</v>
      </c>
      <c r="M950">
        <v>14.092331</v>
      </c>
      <c r="N950">
        <v>102.6026</v>
      </c>
      <c r="O950">
        <v>0.32</v>
      </c>
      <c r="P950">
        <v>0.01</v>
      </c>
      <c r="Q950">
        <v>0.1</v>
      </c>
      <c r="R950">
        <v>0</v>
      </c>
      <c r="S950">
        <v>4.5599999999999996</v>
      </c>
      <c r="T950">
        <v>10.76</v>
      </c>
      <c r="U950">
        <v>2.57</v>
      </c>
      <c r="V950">
        <v>7.0000000000000007E-2</v>
      </c>
      <c r="W950">
        <v>0</v>
      </c>
      <c r="X950">
        <v>35851.494531999997</v>
      </c>
      <c r="Y950">
        <v>80332278.598199993</v>
      </c>
    </row>
    <row r="951" spans="1:25" x14ac:dyDescent="0.55000000000000004">
      <c r="A951">
        <v>949</v>
      </c>
      <c r="B951" t="s">
        <v>20</v>
      </c>
      <c r="C951">
        <v>62</v>
      </c>
      <c r="D951">
        <v>3</v>
      </c>
      <c r="E951" t="s">
        <v>141</v>
      </c>
      <c r="F951" t="s">
        <v>142</v>
      </c>
      <c r="G951">
        <v>27</v>
      </c>
      <c r="H951">
        <v>2</v>
      </c>
      <c r="I951">
        <v>27030000</v>
      </c>
      <c r="J951">
        <v>1246</v>
      </c>
      <c r="K951">
        <v>0</v>
      </c>
      <c r="L951">
        <v>14842</v>
      </c>
      <c r="M951">
        <v>14.092331</v>
      </c>
      <c r="N951">
        <v>102.85200500000001</v>
      </c>
      <c r="O951">
        <v>0.21</v>
      </c>
      <c r="P951">
        <v>0</v>
      </c>
      <c r="Q951">
        <v>0.04</v>
      </c>
      <c r="R951">
        <v>0</v>
      </c>
      <c r="S951">
        <v>5.89</v>
      </c>
      <c r="T951">
        <v>2.12</v>
      </c>
      <c r="U951">
        <v>5.04</v>
      </c>
      <c r="V951">
        <v>0</v>
      </c>
      <c r="W951">
        <v>0</v>
      </c>
      <c r="X951">
        <v>35860.036303000001</v>
      </c>
      <c r="Y951">
        <v>80370577.566400006</v>
      </c>
    </row>
    <row r="952" spans="1:25" x14ac:dyDescent="0.55000000000000004">
      <c r="A952">
        <v>950</v>
      </c>
      <c r="B952" t="s">
        <v>20</v>
      </c>
      <c r="C952">
        <v>62</v>
      </c>
      <c r="D952">
        <v>3</v>
      </c>
      <c r="E952" t="s">
        <v>141</v>
      </c>
      <c r="F952" t="s">
        <v>142</v>
      </c>
      <c r="G952">
        <v>27</v>
      </c>
      <c r="H952">
        <v>2</v>
      </c>
      <c r="I952">
        <v>27030000</v>
      </c>
      <c r="J952">
        <v>1247</v>
      </c>
      <c r="K952">
        <v>0</v>
      </c>
      <c r="L952">
        <v>14961</v>
      </c>
      <c r="M952">
        <v>14.172943</v>
      </c>
      <c r="N952">
        <v>102.76887000000001</v>
      </c>
      <c r="O952">
        <v>0.72</v>
      </c>
      <c r="P952">
        <v>0</v>
      </c>
      <c r="Q952">
        <v>0</v>
      </c>
      <c r="R952">
        <v>0</v>
      </c>
      <c r="S952">
        <v>6.62</v>
      </c>
      <c r="T952">
        <v>27.120000999999998</v>
      </c>
      <c r="U952">
        <v>0.87</v>
      </c>
      <c r="V952">
        <v>0.01</v>
      </c>
      <c r="W952">
        <v>0</v>
      </c>
      <c r="X952">
        <v>29342.507248000002</v>
      </c>
      <c r="Y952">
        <v>18760688.609000001</v>
      </c>
    </row>
    <row r="953" spans="1:25" x14ac:dyDescent="0.55000000000000004">
      <c r="A953">
        <v>951</v>
      </c>
      <c r="B953" t="s">
        <v>20</v>
      </c>
      <c r="C953">
        <v>62</v>
      </c>
      <c r="D953">
        <v>3</v>
      </c>
      <c r="E953" t="s">
        <v>141</v>
      </c>
      <c r="F953" t="s">
        <v>142</v>
      </c>
      <c r="G953">
        <v>27</v>
      </c>
      <c r="H953">
        <v>2</v>
      </c>
      <c r="I953">
        <v>27030000</v>
      </c>
      <c r="J953">
        <v>1250</v>
      </c>
      <c r="K953">
        <v>0</v>
      </c>
      <c r="L953">
        <v>14962</v>
      </c>
      <c r="M953">
        <v>14.172943</v>
      </c>
      <c r="N953">
        <v>102.85200500000001</v>
      </c>
      <c r="O953">
        <v>0</v>
      </c>
      <c r="P953">
        <v>0.04</v>
      </c>
      <c r="Q953">
        <v>7.67</v>
      </c>
      <c r="R953">
        <v>0</v>
      </c>
      <c r="S953">
        <v>4.76</v>
      </c>
      <c r="T953">
        <v>4.9400000000000004</v>
      </c>
      <c r="U953">
        <v>18.559999000000001</v>
      </c>
      <c r="V953">
        <v>0.16</v>
      </c>
      <c r="W953">
        <v>0</v>
      </c>
      <c r="X953">
        <v>31420.263723</v>
      </c>
      <c r="Y953">
        <v>30644349.707199998</v>
      </c>
    </row>
    <row r="954" spans="1:25" x14ac:dyDescent="0.55000000000000004">
      <c r="A954">
        <v>952</v>
      </c>
      <c r="B954" t="s">
        <v>20</v>
      </c>
      <c r="C954">
        <v>62</v>
      </c>
      <c r="D954">
        <v>3</v>
      </c>
      <c r="E954" t="s">
        <v>141</v>
      </c>
      <c r="F954" t="s">
        <v>142</v>
      </c>
      <c r="G954">
        <v>27</v>
      </c>
      <c r="H954">
        <v>2</v>
      </c>
      <c r="I954">
        <v>27030000</v>
      </c>
      <c r="J954">
        <v>1254</v>
      </c>
      <c r="K954">
        <v>0</v>
      </c>
      <c r="L954">
        <v>14723</v>
      </c>
      <c r="M954">
        <v>14.011680999999999</v>
      </c>
      <c r="N954">
        <v>102.93514</v>
      </c>
      <c r="O954">
        <v>0</v>
      </c>
      <c r="P954">
        <v>0</v>
      </c>
      <c r="Q954">
        <v>0</v>
      </c>
      <c r="R954">
        <v>0</v>
      </c>
      <c r="S954">
        <v>22.690000999999999</v>
      </c>
      <c r="T954">
        <v>21.76</v>
      </c>
      <c r="U954">
        <v>0.08</v>
      </c>
      <c r="V954">
        <v>0</v>
      </c>
      <c r="W954">
        <v>0</v>
      </c>
      <c r="X954">
        <v>12781.309251999999</v>
      </c>
      <c r="Y954">
        <v>5133947.2615900002</v>
      </c>
    </row>
    <row r="955" spans="1:25" x14ac:dyDescent="0.55000000000000004">
      <c r="A955">
        <v>953</v>
      </c>
      <c r="B955" t="s">
        <v>20</v>
      </c>
      <c r="C955">
        <v>62</v>
      </c>
      <c r="D955">
        <v>3</v>
      </c>
      <c r="E955" t="s">
        <v>141</v>
      </c>
      <c r="F955" t="s">
        <v>142</v>
      </c>
      <c r="G955">
        <v>27</v>
      </c>
      <c r="H955">
        <v>2</v>
      </c>
      <c r="I955">
        <v>27030000</v>
      </c>
      <c r="J955">
        <v>1257</v>
      </c>
      <c r="K955">
        <v>0</v>
      </c>
      <c r="L955">
        <v>14963</v>
      </c>
      <c r="M955">
        <v>14.172943</v>
      </c>
      <c r="N955">
        <v>102.93514</v>
      </c>
      <c r="O955">
        <v>0.44</v>
      </c>
      <c r="P955">
        <v>0</v>
      </c>
      <c r="Q955">
        <v>0.93</v>
      </c>
      <c r="R955">
        <v>3.7</v>
      </c>
      <c r="S955">
        <v>6.33</v>
      </c>
      <c r="T955">
        <v>4.3499999999999996</v>
      </c>
      <c r="U955">
        <v>7.54</v>
      </c>
      <c r="V955">
        <v>0.02</v>
      </c>
      <c r="W955">
        <v>0</v>
      </c>
      <c r="X955">
        <v>18002.801147999999</v>
      </c>
      <c r="Y955">
        <v>19042121.5748</v>
      </c>
    </row>
    <row r="956" spans="1:25" x14ac:dyDescent="0.55000000000000004">
      <c r="A956">
        <v>954</v>
      </c>
      <c r="B956" t="s">
        <v>20</v>
      </c>
      <c r="C956">
        <v>62</v>
      </c>
      <c r="D956">
        <v>3</v>
      </c>
      <c r="E956" t="s">
        <v>141</v>
      </c>
      <c r="F956" t="s">
        <v>142</v>
      </c>
      <c r="G956">
        <v>27</v>
      </c>
      <c r="H956">
        <v>2</v>
      </c>
      <c r="I956">
        <v>27030000</v>
      </c>
      <c r="J956">
        <v>1258</v>
      </c>
      <c r="K956">
        <v>0</v>
      </c>
      <c r="L956">
        <v>14843</v>
      </c>
      <c r="M956">
        <v>14.092331</v>
      </c>
      <c r="N956">
        <v>102.93514</v>
      </c>
      <c r="O956">
        <v>0.05</v>
      </c>
      <c r="P956">
        <v>0</v>
      </c>
      <c r="Q956">
        <v>0.01</v>
      </c>
      <c r="R956">
        <v>0.01</v>
      </c>
      <c r="S956">
        <v>26.790001</v>
      </c>
      <c r="T956">
        <v>5</v>
      </c>
      <c r="U956">
        <v>1.01</v>
      </c>
      <c r="V956">
        <v>0</v>
      </c>
      <c r="W956">
        <v>0</v>
      </c>
      <c r="X956">
        <v>23760.997454</v>
      </c>
      <c r="Y956">
        <v>16980697.279399998</v>
      </c>
    </row>
    <row r="957" spans="1:25" x14ac:dyDescent="0.55000000000000004">
      <c r="A957">
        <v>955</v>
      </c>
      <c r="B957" t="s">
        <v>20</v>
      </c>
      <c r="C957">
        <v>63</v>
      </c>
      <c r="D957">
        <v>4</v>
      </c>
      <c r="E957" t="s">
        <v>143</v>
      </c>
      <c r="F957" t="s">
        <v>144</v>
      </c>
      <c r="G957">
        <v>27</v>
      </c>
      <c r="H957">
        <v>2</v>
      </c>
      <c r="I957">
        <v>27040000</v>
      </c>
      <c r="J957">
        <v>985</v>
      </c>
      <c r="K957">
        <v>0</v>
      </c>
      <c r="L957">
        <v>13871</v>
      </c>
      <c r="M957">
        <v>13.446358</v>
      </c>
      <c r="N957">
        <v>101.93751</v>
      </c>
      <c r="O957">
        <v>1.22</v>
      </c>
      <c r="P957">
        <v>0.04</v>
      </c>
      <c r="Q957">
        <v>0.22</v>
      </c>
      <c r="R957">
        <v>0.02</v>
      </c>
      <c r="S957">
        <v>0.19</v>
      </c>
      <c r="T957">
        <v>8.06</v>
      </c>
      <c r="U957">
        <v>31.709999</v>
      </c>
      <c r="V957">
        <v>0</v>
      </c>
      <c r="W957">
        <v>0</v>
      </c>
      <c r="X957">
        <v>24508.280144</v>
      </c>
      <c r="Y957">
        <v>30265680.331900001</v>
      </c>
    </row>
    <row r="958" spans="1:25" x14ac:dyDescent="0.55000000000000004">
      <c r="A958">
        <v>956</v>
      </c>
      <c r="B958" t="s">
        <v>20</v>
      </c>
      <c r="C958">
        <v>63</v>
      </c>
      <c r="D958">
        <v>4</v>
      </c>
      <c r="E958" t="s">
        <v>143</v>
      </c>
      <c r="F958" t="s">
        <v>144</v>
      </c>
      <c r="G958">
        <v>27</v>
      </c>
      <c r="H958">
        <v>2</v>
      </c>
      <c r="I958">
        <v>27040000</v>
      </c>
      <c r="J958">
        <v>986</v>
      </c>
      <c r="K958">
        <v>0</v>
      </c>
      <c r="L958">
        <v>13872</v>
      </c>
      <c r="M958">
        <v>13.446358</v>
      </c>
      <c r="N958">
        <v>102.020645</v>
      </c>
      <c r="O958">
        <v>4.82</v>
      </c>
      <c r="P958">
        <v>0.28999999999999998</v>
      </c>
      <c r="Q958">
        <v>0.65</v>
      </c>
      <c r="R958">
        <v>0.03</v>
      </c>
      <c r="S958">
        <v>0.22</v>
      </c>
      <c r="T958">
        <v>5.76</v>
      </c>
      <c r="U958">
        <v>48.610000999999997</v>
      </c>
      <c r="V958">
        <v>0.02</v>
      </c>
      <c r="W958">
        <v>0</v>
      </c>
      <c r="X958">
        <v>34611.382013000002</v>
      </c>
      <c r="Y958">
        <v>60073949.018100001</v>
      </c>
    </row>
    <row r="959" spans="1:25" x14ac:dyDescent="0.55000000000000004">
      <c r="A959">
        <v>957</v>
      </c>
      <c r="B959" t="s">
        <v>20</v>
      </c>
      <c r="C959">
        <v>63</v>
      </c>
      <c r="D959">
        <v>4</v>
      </c>
      <c r="E959" t="s">
        <v>143</v>
      </c>
      <c r="F959" t="s">
        <v>144</v>
      </c>
      <c r="G959">
        <v>27</v>
      </c>
      <c r="H959">
        <v>2</v>
      </c>
      <c r="I959">
        <v>27040000</v>
      </c>
      <c r="J959">
        <v>990</v>
      </c>
      <c r="K959">
        <v>0</v>
      </c>
      <c r="L959">
        <v>13874</v>
      </c>
      <c r="M959">
        <v>13.446358</v>
      </c>
      <c r="N959">
        <v>102.18692</v>
      </c>
      <c r="O959">
        <v>9.34</v>
      </c>
      <c r="P959">
        <v>7.0000000000000007E-2</v>
      </c>
      <c r="Q959">
        <v>2.4</v>
      </c>
      <c r="R959">
        <v>16.780000999999999</v>
      </c>
      <c r="S959">
        <v>7.0000000000000007E-2</v>
      </c>
      <c r="T959">
        <v>10.64</v>
      </c>
      <c r="U959">
        <v>20.190000999999999</v>
      </c>
      <c r="V959">
        <v>0.03</v>
      </c>
      <c r="W959">
        <v>0.01</v>
      </c>
      <c r="X959">
        <v>23077.513739999999</v>
      </c>
      <c r="Y959">
        <v>17144183.081799999</v>
      </c>
    </row>
    <row r="960" spans="1:25" x14ac:dyDescent="0.55000000000000004">
      <c r="A960">
        <v>958</v>
      </c>
      <c r="B960" t="s">
        <v>20</v>
      </c>
      <c r="C960">
        <v>63</v>
      </c>
      <c r="D960">
        <v>4</v>
      </c>
      <c r="E960" t="s">
        <v>143</v>
      </c>
      <c r="F960" t="s">
        <v>144</v>
      </c>
      <c r="G960">
        <v>27</v>
      </c>
      <c r="H960">
        <v>2</v>
      </c>
      <c r="I960">
        <v>27040000</v>
      </c>
      <c r="J960">
        <v>991</v>
      </c>
      <c r="K960">
        <v>0</v>
      </c>
      <c r="L960">
        <v>13873</v>
      </c>
      <c r="M960">
        <v>13.446358</v>
      </c>
      <c r="N960">
        <v>102.10378</v>
      </c>
      <c r="O960">
        <v>18.309999000000001</v>
      </c>
      <c r="P960">
        <v>0.06</v>
      </c>
      <c r="Q960">
        <v>0.2</v>
      </c>
      <c r="R960">
        <v>0.15</v>
      </c>
      <c r="S960">
        <v>0</v>
      </c>
      <c r="T960">
        <v>2.63</v>
      </c>
      <c r="U960">
        <v>26.02</v>
      </c>
      <c r="V960">
        <v>0.22</v>
      </c>
      <c r="W960">
        <v>0.01</v>
      </c>
      <c r="X960">
        <v>29763.762078</v>
      </c>
      <c r="Y960">
        <v>38217081.945900001</v>
      </c>
    </row>
    <row r="961" spans="1:25" x14ac:dyDescent="0.55000000000000004">
      <c r="A961">
        <v>959</v>
      </c>
      <c r="B961" t="s">
        <v>20</v>
      </c>
      <c r="C961">
        <v>63</v>
      </c>
      <c r="D961">
        <v>4</v>
      </c>
      <c r="E961" t="s">
        <v>143</v>
      </c>
      <c r="F961" t="s">
        <v>144</v>
      </c>
      <c r="G961">
        <v>27</v>
      </c>
      <c r="H961">
        <v>2</v>
      </c>
      <c r="I961">
        <v>27040000</v>
      </c>
      <c r="J961">
        <v>1011</v>
      </c>
      <c r="K961">
        <v>0</v>
      </c>
      <c r="L961">
        <v>13992</v>
      </c>
      <c r="M961">
        <v>13.527199</v>
      </c>
      <c r="N961">
        <v>102.020645</v>
      </c>
      <c r="O961">
        <v>0.1</v>
      </c>
      <c r="P961">
        <v>0.43</v>
      </c>
      <c r="Q961">
        <v>0.54</v>
      </c>
      <c r="R961">
        <v>0.01</v>
      </c>
      <c r="S961">
        <v>0.47</v>
      </c>
      <c r="T961">
        <v>2.2400000000000002</v>
      </c>
      <c r="U961">
        <v>17.700001</v>
      </c>
      <c r="V961">
        <v>0</v>
      </c>
      <c r="W961">
        <v>0.38</v>
      </c>
      <c r="X961">
        <v>35431.313575</v>
      </c>
      <c r="Y961">
        <v>69300591.932600006</v>
      </c>
    </row>
    <row r="962" spans="1:25" x14ac:dyDescent="0.55000000000000004">
      <c r="A962">
        <v>960</v>
      </c>
      <c r="B962" t="s">
        <v>20</v>
      </c>
      <c r="C962">
        <v>63</v>
      </c>
      <c r="D962">
        <v>4</v>
      </c>
      <c r="E962" t="s">
        <v>143</v>
      </c>
      <c r="F962" t="s">
        <v>144</v>
      </c>
      <c r="G962">
        <v>27</v>
      </c>
      <c r="H962">
        <v>2</v>
      </c>
      <c r="I962">
        <v>27040000</v>
      </c>
      <c r="J962">
        <v>1013</v>
      </c>
      <c r="K962">
        <v>0</v>
      </c>
      <c r="L962">
        <v>14112</v>
      </c>
      <c r="M962">
        <v>13.608017</v>
      </c>
      <c r="N962">
        <v>102.020645</v>
      </c>
      <c r="O962">
        <v>0.1</v>
      </c>
      <c r="P962">
        <v>0.33</v>
      </c>
      <c r="Q962">
        <v>0.03</v>
      </c>
      <c r="R962">
        <v>1.47</v>
      </c>
      <c r="S962">
        <v>0.36</v>
      </c>
      <c r="T962">
        <v>20.299999</v>
      </c>
      <c r="U962">
        <v>22.91</v>
      </c>
      <c r="V962">
        <v>2.8</v>
      </c>
      <c r="W962">
        <v>0</v>
      </c>
      <c r="X962">
        <v>6799.1121929999999</v>
      </c>
      <c r="Y962">
        <v>1110591.90173</v>
      </c>
    </row>
    <row r="963" spans="1:25" x14ac:dyDescent="0.55000000000000004">
      <c r="A963">
        <v>961</v>
      </c>
      <c r="B963" t="s">
        <v>20</v>
      </c>
      <c r="C963">
        <v>63</v>
      </c>
      <c r="D963">
        <v>4</v>
      </c>
      <c r="E963" t="s">
        <v>143</v>
      </c>
      <c r="F963" t="s">
        <v>144</v>
      </c>
      <c r="G963">
        <v>27</v>
      </c>
      <c r="H963">
        <v>2</v>
      </c>
      <c r="I963">
        <v>27040000</v>
      </c>
      <c r="J963">
        <v>1016</v>
      </c>
      <c r="K963">
        <v>0</v>
      </c>
      <c r="L963">
        <v>13991</v>
      </c>
      <c r="M963">
        <v>13.527199</v>
      </c>
      <c r="N963">
        <v>101.93751</v>
      </c>
      <c r="O963">
        <v>0.01</v>
      </c>
      <c r="P963">
        <v>0</v>
      </c>
      <c r="Q963">
        <v>0.02</v>
      </c>
      <c r="R963">
        <v>0.12</v>
      </c>
      <c r="S963">
        <v>0.01</v>
      </c>
      <c r="T963">
        <v>7.56</v>
      </c>
      <c r="U963">
        <v>13.65</v>
      </c>
      <c r="V963">
        <v>0</v>
      </c>
      <c r="W963">
        <v>0.02</v>
      </c>
      <c r="X963">
        <v>15661.673359</v>
      </c>
      <c r="Y963">
        <v>9852434.0858699996</v>
      </c>
    </row>
    <row r="964" spans="1:25" x14ac:dyDescent="0.55000000000000004">
      <c r="A964">
        <v>962</v>
      </c>
      <c r="B964" t="s">
        <v>20</v>
      </c>
      <c r="C964">
        <v>63</v>
      </c>
      <c r="D964">
        <v>4</v>
      </c>
      <c r="E964" t="s">
        <v>143</v>
      </c>
      <c r="F964" t="s">
        <v>144</v>
      </c>
      <c r="G964">
        <v>27</v>
      </c>
      <c r="H964">
        <v>2</v>
      </c>
      <c r="I964">
        <v>27040000</v>
      </c>
      <c r="J964">
        <v>1017</v>
      </c>
      <c r="K964">
        <v>0</v>
      </c>
      <c r="L964">
        <v>13993</v>
      </c>
      <c r="M964">
        <v>13.527199</v>
      </c>
      <c r="N964">
        <v>102.10378</v>
      </c>
      <c r="O964">
        <v>3.21</v>
      </c>
      <c r="P964">
        <v>7.0000000000000007E-2</v>
      </c>
      <c r="Q964">
        <v>0.73</v>
      </c>
      <c r="R964">
        <v>0.24</v>
      </c>
      <c r="S964">
        <v>0</v>
      </c>
      <c r="T964">
        <v>2.12</v>
      </c>
      <c r="U964">
        <v>8.11</v>
      </c>
      <c r="V964">
        <v>0</v>
      </c>
      <c r="W964">
        <v>0.24</v>
      </c>
      <c r="X964">
        <v>35920.392900999999</v>
      </c>
      <c r="Y964">
        <v>80641344.615899995</v>
      </c>
    </row>
    <row r="965" spans="1:25" x14ac:dyDescent="0.55000000000000004">
      <c r="A965">
        <v>963</v>
      </c>
      <c r="B965" t="s">
        <v>20</v>
      </c>
      <c r="C965">
        <v>63</v>
      </c>
      <c r="D965">
        <v>4</v>
      </c>
      <c r="E965" t="s">
        <v>143</v>
      </c>
      <c r="F965" t="s">
        <v>144</v>
      </c>
      <c r="G965">
        <v>27</v>
      </c>
      <c r="H965">
        <v>2</v>
      </c>
      <c r="I965">
        <v>27040000</v>
      </c>
      <c r="J965">
        <v>1018</v>
      </c>
      <c r="K965">
        <v>0</v>
      </c>
      <c r="L965">
        <v>13994</v>
      </c>
      <c r="M965">
        <v>13.527199</v>
      </c>
      <c r="N965">
        <v>102.18692</v>
      </c>
      <c r="O965">
        <v>0.56999999999999995</v>
      </c>
      <c r="P965">
        <v>8.82</v>
      </c>
      <c r="Q965">
        <v>0.11</v>
      </c>
      <c r="R965">
        <v>0.3</v>
      </c>
      <c r="S965">
        <v>0.01</v>
      </c>
      <c r="T965">
        <v>0.89</v>
      </c>
      <c r="U965">
        <v>5.63</v>
      </c>
      <c r="V965">
        <v>7.0000000000000007E-2</v>
      </c>
      <c r="W965">
        <v>0.24</v>
      </c>
      <c r="X965">
        <v>34349.605025999997</v>
      </c>
      <c r="Y965">
        <v>50669560.513899997</v>
      </c>
    </row>
    <row r="966" spans="1:25" x14ac:dyDescent="0.55000000000000004">
      <c r="A966">
        <v>964</v>
      </c>
      <c r="B966" t="s">
        <v>20</v>
      </c>
      <c r="C966">
        <v>63</v>
      </c>
      <c r="D966">
        <v>4</v>
      </c>
      <c r="E966" t="s">
        <v>143</v>
      </c>
      <c r="F966" t="s">
        <v>144</v>
      </c>
      <c r="G966">
        <v>27</v>
      </c>
      <c r="H966">
        <v>2</v>
      </c>
      <c r="I966">
        <v>27040000</v>
      </c>
      <c r="J966">
        <v>1019</v>
      </c>
      <c r="K966">
        <v>0</v>
      </c>
      <c r="L966">
        <v>14113</v>
      </c>
      <c r="M966">
        <v>13.608017</v>
      </c>
      <c r="N966">
        <v>102.10378</v>
      </c>
      <c r="O966">
        <v>0.08</v>
      </c>
      <c r="P966">
        <v>1.46</v>
      </c>
      <c r="Q966">
        <v>0.3</v>
      </c>
      <c r="R966">
        <v>0.93</v>
      </c>
      <c r="S966">
        <v>0.04</v>
      </c>
      <c r="T966">
        <v>8.18</v>
      </c>
      <c r="U966">
        <v>12.27</v>
      </c>
      <c r="V966">
        <v>1.4</v>
      </c>
      <c r="W966">
        <v>0.03</v>
      </c>
      <c r="X966">
        <v>42733.551583</v>
      </c>
      <c r="Y966">
        <v>54610049.757700004</v>
      </c>
    </row>
    <row r="967" spans="1:25" x14ac:dyDescent="0.55000000000000004">
      <c r="A967">
        <v>965</v>
      </c>
      <c r="B967" t="s">
        <v>20</v>
      </c>
      <c r="C967">
        <v>63</v>
      </c>
      <c r="D967">
        <v>4</v>
      </c>
      <c r="E967" t="s">
        <v>143</v>
      </c>
      <c r="F967" t="s">
        <v>144</v>
      </c>
      <c r="G967">
        <v>27</v>
      </c>
      <c r="H967">
        <v>2</v>
      </c>
      <c r="I967">
        <v>27040000</v>
      </c>
      <c r="J967">
        <v>1020</v>
      </c>
      <c r="K967">
        <v>0</v>
      </c>
      <c r="L967">
        <v>14234</v>
      </c>
      <c r="M967">
        <v>13.688805</v>
      </c>
      <c r="N967">
        <v>102.18692</v>
      </c>
      <c r="O967">
        <v>0.06</v>
      </c>
      <c r="P967">
        <v>7.0000000000000007E-2</v>
      </c>
      <c r="Q967">
        <v>0.45</v>
      </c>
      <c r="R967">
        <v>1.38</v>
      </c>
      <c r="S967">
        <v>0.04</v>
      </c>
      <c r="T967">
        <v>4.1500000000000004</v>
      </c>
      <c r="U967">
        <v>14.32</v>
      </c>
      <c r="V967">
        <v>0</v>
      </c>
      <c r="W967">
        <v>0</v>
      </c>
      <c r="X967">
        <v>4163.610533</v>
      </c>
      <c r="Y967">
        <v>782854.18940499995</v>
      </c>
    </row>
    <row r="968" spans="1:25" x14ac:dyDescent="0.55000000000000004">
      <c r="A968">
        <v>966</v>
      </c>
      <c r="B968" t="s">
        <v>20</v>
      </c>
      <c r="C968">
        <v>63</v>
      </c>
      <c r="D968">
        <v>4</v>
      </c>
      <c r="E968" t="s">
        <v>143</v>
      </c>
      <c r="F968" t="s">
        <v>144</v>
      </c>
      <c r="G968">
        <v>27</v>
      </c>
      <c r="H968">
        <v>2</v>
      </c>
      <c r="I968">
        <v>27040000</v>
      </c>
      <c r="J968">
        <v>1021</v>
      </c>
      <c r="K968">
        <v>0</v>
      </c>
      <c r="L968">
        <v>14233</v>
      </c>
      <c r="M968">
        <v>13.688805</v>
      </c>
      <c r="N968">
        <v>102.10378</v>
      </c>
      <c r="O968">
        <v>2.66</v>
      </c>
      <c r="P968">
        <v>0.09</v>
      </c>
      <c r="Q968">
        <v>7.0000000000000007E-2</v>
      </c>
      <c r="R968">
        <v>4.74</v>
      </c>
      <c r="S968">
        <v>0.08</v>
      </c>
      <c r="T968">
        <v>17.200001</v>
      </c>
      <c r="U968">
        <v>8.41</v>
      </c>
      <c r="V968">
        <v>0</v>
      </c>
      <c r="W968">
        <v>0</v>
      </c>
      <c r="X968">
        <v>11238.01196</v>
      </c>
      <c r="Y968">
        <v>5412559.1142300004</v>
      </c>
    </row>
    <row r="969" spans="1:25" x14ac:dyDescent="0.55000000000000004">
      <c r="A969">
        <v>967</v>
      </c>
      <c r="B969" t="s">
        <v>20</v>
      </c>
      <c r="C969">
        <v>63</v>
      </c>
      <c r="D969">
        <v>4</v>
      </c>
      <c r="E969" t="s">
        <v>143</v>
      </c>
      <c r="F969" t="s">
        <v>144</v>
      </c>
      <c r="G969">
        <v>27</v>
      </c>
      <c r="H969">
        <v>2</v>
      </c>
      <c r="I969">
        <v>27040000</v>
      </c>
      <c r="J969">
        <v>1022</v>
      </c>
      <c r="K969">
        <v>0</v>
      </c>
      <c r="L969">
        <v>14114</v>
      </c>
      <c r="M969">
        <v>13.608017</v>
      </c>
      <c r="N969">
        <v>102.18692</v>
      </c>
      <c r="O969">
        <v>0.21</v>
      </c>
      <c r="P969">
        <v>3.37</v>
      </c>
      <c r="Q969">
        <v>0.45</v>
      </c>
      <c r="R969">
        <v>0.5</v>
      </c>
      <c r="S969">
        <v>0</v>
      </c>
      <c r="T969">
        <v>5.94</v>
      </c>
      <c r="U969">
        <v>6.45</v>
      </c>
      <c r="V969">
        <v>0</v>
      </c>
      <c r="W969">
        <v>0.11</v>
      </c>
      <c r="X969">
        <v>20591.703475999999</v>
      </c>
      <c r="Y969">
        <v>13828734.1019</v>
      </c>
    </row>
    <row r="970" spans="1:25" x14ac:dyDescent="0.55000000000000004">
      <c r="A970">
        <v>968</v>
      </c>
      <c r="B970" t="s">
        <v>20</v>
      </c>
      <c r="C970">
        <v>64</v>
      </c>
      <c r="D970">
        <v>5</v>
      </c>
      <c r="E970" t="s">
        <v>145</v>
      </c>
      <c r="F970" t="s">
        <v>146</v>
      </c>
      <c r="G970">
        <v>27</v>
      </c>
      <c r="H970">
        <v>2</v>
      </c>
      <c r="I970">
        <v>27050000</v>
      </c>
      <c r="J970">
        <v>1020</v>
      </c>
      <c r="K970">
        <v>0</v>
      </c>
      <c r="L970">
        <v>14234</v>
      </c>
      <c r="M970">
        <v>13.688805</v>
      </c>
      <c r="N970">
        <v>102.18692</v>
      </c>
      <c r="O970">
        <v>0.06</v>
      </c>
      <c r="P970">
        <v>7.0000000000000007E-2</v>
      </c>
      <c r="Q970">
        <v>0.45</v>
      </c>
      <c r="R970">
        <v>1.38</v>
      </c>
      <c r="S970">
        <v>0.04</v>
      </c>
      <c r="T970">
        <v>4.1500000000000004</v>
      </c>
      <c r="U970">
        <v>14.32</v>
      </c>
      <c r="V970">
        <v>0</v>
      </c>
      <c r="W970">
        <v>0</v>
      </c>
      <c r="X970">
        <v>31972.632450000001</v>
      </c>
      <c r="Y970">
        <v>40223582.973999999</v>
      </c>
    </row>
    <row r="971" spans="1:25" x14ac:dyDescent="0.55000000000000004">
      <c r="A971">
        <v>969</v>
      </c>
      <c r="B971" t="s">
        <v>20</v>
      </c>
      <c r="C971">
        <v>64</v>
      </c>
      <c r="D971">
        <v>5</v>
      </c>
      <c r="E971" t="s">
        <v>145</v>
      </c>
      <c r="F971" t="s">
        <v>146</v>
      </c>
      <c r="G971">
        <v>27</v>
      </c>
      <c r="H971">
        <v>2</v>
      </c>
      <c r="I971">
        <v>27050000</v>
      </c>
      <c r="J971">
        <v>1022</v>
      </c>
      <c r="K971">
        <v>0</v>
      </c>
      <c r="L971">
        <v>14114</v>
      </c>
      <c r="M971">
        <v>13.608017</v>
      </c>
      <c r="N971">
        <v>102.18692</v>
      </c>
      <c r="O971">
        <v>0.21</v>
      </c>
      <c r="P971">
        <v>3.37</v>
      </c>
      <c r="Q971">
        <v>0.45</v>
      </c>
      <c r="R971">
        <v>0.5</v>
      </c>
      <c r="S971">
        <v>0</v>
      </c>
      <c r="T971">
        <v>5.94</v>
      </c>
      <c r="U971">
        <v>6.45</v>
      </c>
      <c r="V971">
        <v>0</v>
      </c>
      <c r="W971">
        <v>0.11</v>
      </c>
      <c r="X971">
        <v>16588.170461000002</v>
      </c>
      <c r="Y971">
        <v>11668830.3923</v>
      </c>
    </row>
    <row r="972" spans="1:25" x14ac:dyDescent="0.55000000000000004">
      <c r="A972">
        <v>970</v>
      </c>
      <c r="B972" t="s">
        <v>20</v>
      </c>
      <c r="C972">
        <v>64</v>
      </c>
      <c r="D972">
        <v>5</v>
      </c>
      <c r="E972" t="s">
        <v>145</v>
      </c>
      <c r="F972" t="s">
        <v>146</v>
      </c>
      <c r="G972">
        <v>27</v>
      </c>
      <c r="H972">
        <v>2</v>
      </c>
      <c r="I972">
        <v>27050000</v>
      </c>
      <c r="J972">
        <v>1031</v>
      </c>
      <c r="K972">
        <v>0</v>
      </c>
      <c r="L972">
        <v>14354</v>
      </c>
      <c r="M972">
        <v>13.769569000000001</v>
      </c>
      <c r="N972">
        <v>102.18692</v>
      </c>
      <c r="O972">
        <v>0.02</v>
      </c>
      <c r="P972">
        <v>0.18</v>
      </c>
      <c r="Q972">
        <v>0.08</v>
      </c>
      <c r="R972">
        <v>1.54</v>
      </c>
      <c r="S972">
        <v>9.5</v>
      </c>
      <c r="T972">
        <v>1.93</v>
      </c>
      <c r="U972">
        <v>1.26</v>
      </c>
      <c r="V972">
        <v>0</v>
      </c>
      <c r="W972">
        <v>0</v>
      </c>
      <c r="X972">
        <v>23893.383847000001</v>
      </c>
      <c r="Y972">
        <v>20632273.219599999</v>
      </c>
    </row>
    <row r="973" spans="1:25" x14ac:dyDescent="0.55000000000000004">
      <c r="A973">
        <v>971</v>
      </c>
      <c r="B973" t="s">
        <v>20</v>
      </c>
      <c r="C973">
        <v>64</v>
      </c>
      <c r="D973">
        <v>5</v>
      </c>
      <c r="E973" t="s">
        <v>145</v>
      </c>
      <c r="F973" t="s">
        <v>146</v>
      </c>
      <c r="G973">
        <v>27</v>
      </c>
      <c r="H973">
        <v>2</v>
      </c>
      <c r="I973">
        <v>27050000</v>
      </c>
      <c r="J973">
        <v>1036</v>
      </c>
      <c r="K973">
        <v>0</v>
      </c>
      <c r="L973">
        <v>14236</v>
      </c>
      <c r="M973">
        <v>13.688805</v>
      </c>
      <c r="N973">
        <v>102.35319</v>
      </c>
      <c r="O973">
        <v>4.79</v>
      </c>
      <c r="P973">
        <v>4.9400000000000004</v>
      </c>
      <c r="Q973">
        <v>7.45</v>
      </c>
      <c r="R973">
        <v>0.04</v>
      </c>
      <c r="S973">
        <v>0.04</v>
      </c>
      <c r="T973">
        <v>6.89</v>
      </c>
      <c r="U973">
        <v>3.26</v>
      </c>
      <c r="V973">
        <v>0</v>
      </c>
      <c r="W973">
        <v>0</v>
      </c>
      <c r="X973">
        <v>35993.242487000003</v>
      </c>
      <c r="Y973">
        <v>68033654.885600001</v>
      </c>
    </row>
    <row r="974" spans="1:25" x14ac:dyDescent="0.55000000000000004">
      <c r="A974">
        <v>972</v>
      </c>
      <c r="B974" t="s">
        <v>20</v>
      </c>
      <c r="C974">
        <v>64</v>
      </c>
      <c r="D974">
        <v>5</v>
      </c>
      <c r="E974" t="s">
        <v>145</v>
      </c>
      <c r="F974" t="s">
        <v>146</v>
      </c>
      <c r="G974">
        <v>27</v>
      </c>
      <c r="H974">
        <v>2</v>
      </c>
      <c r="I974">
        <v>27050000</v>
      </c>
      <c r="J974">
        <v>1037</v>
      </c>
      <c r="K974">
        <v>0</v>
      </c>
      <c r="L974">
        <v>14115</v>
      </c>
      <c r="M974">
        <v>13.608017</v>
      </c>
      <c r="N974">
        <v>102.27006</v>
      </c>
      <c r="O974">
        <v>0.05</v>
      </c>
      <c r="P974">
        <v>11.7</v>
      </c>
      <c r="Q974">
        <v>0.28000000000000003</v>
      </c>
      <c r="R974">
        <v>0.37</v>
      </c>
      <c r="S974">
        <v>0</v>
      </c>
      <c r="T974">
        <v>2.38</v>
      </c>
      <c r="U974">
        <v>2.2999999999999998</v>
      </c>
      <c r="V974">
        <v>0</v>
      </c>
      <c r="W974">
        <v>0.23</v>
      </c>
      <c r="X974">
        <v>22943.946824999999</v>
      </c>
      <c r="Y974">
        <v>18408356.752599999</v>
      </c>
    </row>
    <row r="975" spans="1:25" x14ac:dyDescent="0.55000000000000004">
      <c r="A975">
        <v>973</v>
      </c>
      <c r="B975" t="s">
        <v>20</v>
      </c>
      <c r="C975">
        <v>64</v>
      </c>
      <c r="D975">
        <v>5</v>
      </c>
      <c r="E975" t="s">
        <v>145</v>
      </c>
      <c r="F975" t="s">
        <v>146</v>
      </c>
      <c r="G975">
        <v>27</v>
      </c>
      <c r="H975">
        <v>2</v>
      </c>
      <c r="I975">
        <v>27050000</v>
      </c>
      <c r="J975">
        <v>1038</v>
      </c>
      <c r="K975">
        <v>0</v>
      </c>
      <c r="L975">
        <v>14116</v>
      </c>
      <c r="M975">
        <v>13.608017</v>
      </c>
      <c r="N975">
        <v>102.35319</v>
      </c>
      <c r="O975">
        <v>0.02</v>
      </c>
      <c r="P975">
        <v>0.47</v>
      </c>
      <c r="Q975">
        <v>0.1</v>
      </c>
      <c r="R975">
        <v>0</v>
      </c>
      <c r="S975">
        <v>0</v>
      </c>
      <c r="T975">
        <v>2.3199999999999998</v>
      </c>
      <c r="U975">
        <v>2.39</v>
      </c>
      <c r="V975">
        <v>0</v>
      </c>
      <c r="W975">
        <v>0.3</v>
      </c>
      <c r="X975">
        <v>7256.7847549999997</v>
      </c>
      <c r="Y975">
        <v>2244034.7374800001</v>
      </c>
    </row>
    <row r="976" spans="1:25" x14ac:dyDescent="0.55000000000000004">
      <c r="A976">
        <v>974</v>
      </c>
      <c r="B976" t="s">
        <v>20</v>
      </c>
      <c r="C976">
        <v>64</v>
      </c>
      <c r="D976">
        <v>5</v>
      </c>
      <c r="E976" t="s">
        <v>145</v>
      </c>
      <c r="F976" t="s">
        <v>146</v>
      </c>
      <c r="G976">
        <v>27</v>
      </c>
      <c r="H976">
        <v>2</v>
      </c>
      <c r="I976">
        <v>27050000</v>
      </c>
      <c r="J976">
        <v>1042</v>
      </c>
      <c r="K976">
        <v>0</v>
      </c>
      <c r="L976">
        <v>14237</v>
      </c>
      <c r="M976">
        <v>13.688805</v>
      </c>
      <c r="N976">
        <v>102.436325</v>
      </c>
      <c r="O976">
        <v>0.05</v>
      </c>
      <c r="P976">
        <v>0.46</v>
      </c>
      <c r="Q976">
        <v>0.54</v>
      </c>
      <c r="R976">
        <v>0</v>
      </c>
      <c r="S976">
        <v>0.12</v>
      </c>
      <c r="T976">
        <v>7.34</v>
      </c>
      <c r="U976">
        <v>0.06</v>
      </c>
      <c r="V976">
        <v>0</v>
      </c>
      <c r="W976">
        <v>0</v>
      </c>
      <c r="X976">
        <v>20473.19081</v>
      </c>
      <c r="Y976">
        <v>13620333.9147</v>
      </c>
    </row>
    <row r="977" spans="1:25" x14ac:dyDescent="0.55000000000000004">
      <c r="A977">
        <v>975</v>
      </c>
      <c r="B977" t="s">
        <v>20</v>
      </c>
      <c r="C977">
        <v>64</v>
      </c>
      <c r="D977">
        <v>5</v>
      </c>
      <c r="E977" t="s">
        <v>145</v>
      </c>
      <c r="F977" t="s">
        <v>146</v>
      </c>
      <c r="G977">
        <v>27</v>
      </c>
      <c r="H977">
        <v>2</v>
      </c>
      <c r="I977">
        <v>27050000</v>
      </c>
      <c r="J977">
        <v>1043</v>
      </c>
      <c r="K977">
        <v>0</v>
      </c>
      <c r="L977">
        <v>14355</v>
      </c>
      <c r="M977">
        <v>13.769569000000001</v>
      </c>
      <c r="N977">
        <v>102.27006</v>
      </c>
      <c r="O977">
        <v>0.01</v>
      </c>
      <c r="P977">
        <v>0.03</v>
      </c>
      <c r="Q977">
        <v>0.47</v>
      </c>
      <c r="R977">
        <v>1.75</v>
      </c>
      <c r="S977">
        <v>1.08</v>
      </c>
      <c r="T977">
        <v>5.96</v>
      </c>
      <c r="U977">
        <v>3.16</v>
      </c>
      <c r="V977">
        <v>0</v>
      </c>
      <c r="W977">
        <v>0</v>
      </c>
      <c r="X977">
        <v>36890.845631999997</v>
      </c>
      <c r="Y977">
        <v>79569373.981600001</v>
      </c>
    </row>
    <row r="978" spans="1:25" x14ac:dyDescent="0.55000000000000004">
      <c r="A978">
        <v>976</v>
      </c>
      <c r="B978" t="s">
        <v>20</v>
      </c>
      <c r="C978">
        <v>64</v>
      </c>
      <c r="D978">
        <v>5</v>
      </c>
      <c r="E978" t="s">
        <v>145</v>
      </c>
      <c r="F978" t="s">
        <v>146</v>
      </c>
      <c r="G978">
        <v>27</v>
      </c>
      <c r="H978">
        <v>2</v>
      </c>
      <c r="I978">
        <v>27050000</v>
      </c>
      <c r="J978">
        <v>1044</v>
      </c>
      <c r="K978">
        <v>0</v>
      </c>
      <c r="L978">
        <v>14474</v>
      </c>
      <c r="M978">
        <v>13.850304</v>
      </c>
      <c r="N978">
        <v>102.18692</v>
      </c>
      <c r="O978">
        <v>7.0000000000000007E-2</v>
      </c>
      <c r="P978">
        <v>0.65</v>
      </c>
      <c r="Q978">
        <v>7.0000000000000007E-2</v>
      </c>
      <c r="R978">
        <v>0.04</v>
      </c>
      <c r="S978">
        <v>3.7</v>
      </c>
      <c r="T978">
        <v>1.7</v>
      </c>
      <c r="U978">
        <v>15.78</v>
      </c>
      <c r="V978">
        <v>0.02</v>
      </c>
      <c r="W978">
        <v>0</v>
      </c>
      <c r="X978">
        <v>32703.783749999999</v>
      </c>
      <c r="Y978">
        <v>49929353.6193</v>
      </c>
    </row>
    <row r="979" spans="1:25" x14ac:dyDescent="0.55000000000000004">
      <c r="A979">
        <v>977</v>
      </c>
      <c r="B979" t="s">
        <v>20</v>
      </c>
      <c r="C979">
        <v>64</v>
      </c>
      <c r="D979">
        <v>5</v>
      </c>
      <c r="E979" t="s">
        <v>145</v>
      </c>
      <c r="F979" t="s">
        <v>146</v>
      </c>
      <c r="G979">
        <v>27</v>
      </c>
      <c r="H979">
        <v>2</v>
      </c>
      <c r="I979">
        <v>27050000</v>
      </c>
      <c r="J979">
        <v>1045</v>
      </c>
      <c r="K979">
        <v>0</v>
      </c>
      <c r="L979">
        <v>14595</v>
      </c>
      <c r="M979">
        <v>13.931006999999999</v>
      </c>
      <c r="N979">
        <v>102.27006</v>
      </c>
      <c r="O979">
        <v>4.3</v>
      </c>
      <c r="P979">
        <v>0</v>
      </c>
      <c r="Q979">
        <v>0.03</v>
      </c>
      <c r="R979">
        <v>0</v>
      </c>
      <c r="S979">
        <v>0.02</v>
      </c>
      <c r="T979">
        <v>1.52</v>
      </c>
      <c r="U979">
        <v>0.34</v>
      </c>
      <c r="V979">
        <v>0.01</v>
      </c>
      <c r="W979">
        <v>0</v>
      </c>
      <c r="X979">
        <v>34373.469219999999</v>
      </c>
      <c r="Y979">
        <v>72884619.304299995</v>
      </c>
    </row>
    <row r="980" spans="1:25" x14ac:dyDescent="0.55000000000000004">
      <c r="A980">
        <v>978</v>
      </c>
      <c r="B980" t="s">
        <v>20</v>
      </c>
      <c r="C980">
        <v>64</v>
      </c>
      <c r="D980">
        <v>5</v>
      </c>
      <c r="E980" t="s">
        <v>145</v>
      </c>
      <c r="F980" t="s">
        <v>146</v>
      </c>
      <c r="G980">
        <v>27</v>
      </c>
      <c r="H980">
        <v>2</v>
      </c>
      <c r="I980">
        <v>27050000</v>
      </c>
      <c r="J980">
        <v>1046</v>
      </c>
      <c r="K980">
        <v>0</v>
      </c>
      <c r="L980">
        <v>14594</v>
      </c>
      <c r="M980">
        <v>13.931006999999999</v>
      </c>
      <c r="N980">
        <v>102.18692</v>
      </c>
      <c r="O980">
        <v>0.02</v>
      </c>
      <c r="P980">
        <v>0.02</v>
      </c>
      <c r="Q980">
        <v>0.62</v>
      </c>
      <c r="R980">
        <v>0.04</v>
      </c>
      <c r="S980">
        <v>0</v>
      </c>
      <c r="T980">
        <v>1.58</v>
      </c>
      <c r="U980">
        <v>2.5099999999999998</v>
      </c>
      <c r="V980">
        <v>8.33</v>
      </c>
      <c r="W980">
        <v>0</v>
      </c>
      <c r="X980">
        <v>19688.953600000001</v>
      </c>
      <c r="Y980">
        <v>15149678.840700001</v>
      </c>
    </row>
    <row r="981" spans="1:25" x14ac:dyDescent="0.55000000000000004">
      <c r="A981">
        <v>979</v>
      </c>
      <c r="B981" t="s">
        <v>20</v>
      </c>
      <c r="C981">
        <v>64</v>
      </c>
      <c r="D981">
        <v>5</v>
      </c>
      <c r="E981" t="s">
        <v>145</v>
      </c>
      <c r="F981" t="s">
        <v>146</v>
      </c>
      <c r="G981">
        <v>27</v>
      </c>
      <c r="H981">
        <v>2</v>
      </c>
      <c r="I981">
        <v>27050000</v>
      </c>
      <c r="J981">
        <v>1047</v>
      </c>
      <c r="K981">
        <v>0</v>
      </c>
      <c r="L981">
        <v>14475</v>
      </c>
      <c r="M981">
        <v>13.850304</v>
      </c>
      <c r="N981">
        <v>102.27006</v>
      </c>
      <c r="O981">
        <v>0.05</v>
      </c>
      <c r="P981">
        <v>0.01</v>
      </c>
      <c r="Q981">
        <v>0.01</v>
      </c>
      <c r="R981">
        <v>0.17</v>
      </c>
      <c r="S981">
        <v>1.77</v>
      </c>
      <c r="T981">
        <v>7.23</v>
      </c>
      <c r="U981">
        <v>2.61</v>
      </c>
      <c r="V981">
        <v>0</v>
      </c>
      <c r="W981">
        <v>0</v>
      </c>
      <c r="X981">
        <v>35876.628662000003</v>
      </c>
      <c r="Y981">
        <v>80444976.186199993</v>
      </c>
    </row>
    <row r="982" spans="1:25" x14ac:dyDescent="0.55000000000000004">
      <c r="A982">
        <v>980</v>
      </c>
      <c r="B982" t="s">
        <v>20</v>
      </c>
      <c r="C982">
        <v>64</v>
      </c>
      <c r="D982">
        <v>5</v>
      </c>
      <c r="E982" t="s">
        <v>145</v>
      </c>
      <c r="F982" t="s">
        <v>146</v>
      </c>
      <c r="G982">
        <v>27</v>
      </c>
      <c r="H982">
        <v>2</v>
      </c>
      <c r="I982">
        <v>27050000</v>
      </c>
      <c r="J982">
        <v>1048</v>
      </c>
      <c r="K982">
        <v>0</v>
      </c>
      <c r="L982">
        <v>14235</v>
      </c>
      <c r="M982">
        <v>13.688805</v>
      </c>
      <c r="N982">
        <v>102.27006</v>
      </c>
      <c r="O982">
        <v>0.04</v>
      </c>
      <c r="P982">
        <v>2.5299999999999998</v>
      </c>
      <c r="Q982">
        <v>14.67</v>
      </c>
      <c r="R982">
        <v>0.98</v>
      </c>
      <c r="S982">
        <v>0.01</v>
      </c>
      <c r="T982">
        <v>0.92</v>
      </c>
      <c r="U982">
        <v>8.5500000000000007</v>
      </c>
      <c r="V982">
        <v>0</v>
      </c>
      <c r="W982">
        <v>0</v>
      </c>
      <c r="X982">
        <v>35862.333791999998</v>
      </c>
      <c r="Y982">
        <v>80552913.062000006</v>
      </c>
    </row>
    <row r="983" spans="1:25" x14ac:dyDescent="0.55000000000000004">
      <c r="A983">
        <v>981</v>
      </c>
      <c r="B983" t="s">
        <v>20</v>
      </c>
      <c r="C983">
        <v>64</v>
      </c>
      <c r="D983">
        <v>5</v>
      </c>
      <c r="E983" t="s">
        <v>145</v>
      </c>
      <c r="F983" t="s">
        <v>146</v>
      </c>
      <c r="G983">
        <v>27</v>
      </c>
      <c r="H983">
        <v>2</v>
      </c>
      <c r="I983">
        <v>27050000</v>
      </c>
      <c r="J983">
        <v>1050</v>
      </c>
      <c r="K983">
        <v>0</v>
      </c>
      <c r="L983">
        <v>14357</v>
      </c>
      <c r="M983">
        <v>13.769569000000001</v>
      </c>
      <c r="N983">
        <v>102.436325</v>
      </c>
      <c r="O983">
        <v>0.03</v>
      </c>
      <c r="P983">
        <v>0.61</v>
      </c>
      <c r="Q983">
        <v>0.08</v>
      </c>
      <c r="R983">
        <v>0.08</v>
      </c>
      <c r="S983">
        <v>10.050000000000001</v>
      </c>
      <c r="T983">
        <v>74.089995999999999</v>
      </c>
      <c r="U983">
        <v>9.5</v>
      </c>
      <c r="V983">
        <v>0</v>
      </c>
      <c r="W983">
        <v>0</v>
      </c>
      <c r="X983">
        <v>31492.429215</v>
      </c>
      <c r="Y983">
        <v>24488133.808200002</v>
      </c>
    </row>
    <row r="984" spans="1:25" x14ac:dyDescent="0.55000000000000004">
      <c r="A984">
        <v>982</v>
      </c>
      <c r="B984" t="s">
        <v>20</v>
      </c>
      <c r="C984">
        <v>64</v>
      </c>
      <c r="D984">
        <v>5</v>
      </c>
      <c r="E984" t="s">
        <v>145</v>
      </c>
      <c r="F984" t="s">
        <v>146</v>
      </c>
      <c r="G984">
        <v>27</v>
      </c>
      <c r="H984">
        <v>2</v>
      </c>
      <c r="I984">
        <v>27050000</v>
      </c>
      <c r="J984">
        <v>1051</v>
      </c>
      <c r="K984">
        <v>0</v>
      </c>
      <c r="L984">
        <v>14356</v>
      </c>
      <c r="M984">
        <v>13.769569000000001</v>
      </c>
      <c r="N984">
        <v>102.35319</v>
      </c>
      <c r="O984">
        <v>7.0000000000000007E-2</v>
      </c>
      <c r="P984">
        <v>2.4900000000000002</v>
      </c>
      <c r="Q984">
        <v>0.38</v>
      </c>
      <c r="R984">
        <v>0.97</v>
      </c>
      <c r="S984">
        <v>3.1</v>
      </c>
      <c r="T984">
        <v>72.620002999999997</v>
      </c>
      <c r="U984">
        <v>11.65</v>
      </c>
      <c r="V984">
        <v>0</v>
      </c>
      <c r="W984">
        <v>0</v>
      </c>
      <c r="X984">
        <v>35891.819950999998</v>
      </c>
      <c r="Y984">
        <v>80513130.928599998</v>
      </c>
    </row>
    <row r="985" spans="1:25" x14ac:dyDescent="0.55000000000000004">
      <c r="A985">
        <v>983</v>
      </c>
      <c r="B985" t="s">
        <v>20</v>
      </c>
      <c r="C985">
        <v>64</v>
      </c>
      <c r="D985">
        <v>5</v>
      </c>
      <c r="E985" t="s">
        <v>145</v>
      </c>
      <c r="F985" t="s">
        <v>146</v>
      </c>
      <c r="G985">
        <v>27</v>
      </c>
      <c r="H985">
        <v>2</v>
      </c>
      <c r="I985">
        <v>27050000</v>
      </c>
      <c r="J985">
        <v>1053</v>
      </c>
      <c r="K985">
        <v>0</v>
      </c>
      <c r="L985">
        <v>14476</v>
      </c>
      <c r="M985">
        <v>13.850304</v>
      </c>
      <c r="N985">
        <v>102.35319</v>
      </c>
      <c r="O985">
        <v>0.04</v>
      </c>
      <c r="P985">
        <v>0.03</v>
      </c>
      <c r="Q985">
        <v>0.06</v>
      </c>
      <c r="R985">
        <v>0.38</v>
      </c>
      <c r="S985">
        <v>0.41</v>
      </c>
      <c r="T985">
        <v>16.170000000000002</v>
      </c>
      <c r="U985">
        <v>0.36</v>
      </c>
      <c r="V985">
        <v>0</v>
      </c>
      <c r="W985">
        <v>0</v>
      </c>
      <c r="X985">
        <v>35878.944617000001</v>
      </c>
      <c r="Y985">
        <v>80455370.122700006</v>
      </c>
    </row>
    <row r="986" spans="1:25" x14ac:dyDescent="0.55000000000000004">
      <c r="A986">
        <v>984</v>
      </c>
      <c r="B986" t="s">
        <v>20</v>
      </c>
      <c r="C986">
        <v>64</v>
      </c>
      <c r="D986">
        <v>5</v>
      </c>
      <c r="E986" t="s">
        <v>145</v>
      </c>
      <c r="F986" t="s">
        <v>146</v>
      </c>
      <c r="G986">
        <v>27</v>
      </c>
      <c r="H986">
        <v>2</v>
      </c>
      <c r="I986">
        <v>27050000</v>
      </c>
      <c r="J986">
        <v>1055</v>
      </c>
      <c r="K986">
        <v>0</v>
      </c>
      <c r="L986">
        <v>14477</v>
      </c>
      <c r="M986">
        <v>13.850304</v>
      </c>
      <c r="N986">
        <v>102.436325</v>
      </c>
      <c r="O986">
        <v>0.03</v>
      </c>
      <c r="P986">
        <v>0.53</v>
      </c>
      <c r="Q986">
        <v>0.08</v>
      </c>
      <c r="R986">
        <v>0.11</v>
      </c>
      <c r="S986">
        <v>0.24</v>
      </c>
      <c r="T986">
        <v>26.030000999999999</v>
      </c>
      <c r="U986">
        <v>0.18</v>
      </c>
      <c r="V986">
        <v>0</v>
      </c>
      <c r="W986">
        <v>0</v>
      </c>
      <c r="X986">
        <v>34753.124487000001</v>
      </c>
      <c r="Y986">
        <v>40092165.070299998</v>
      </c>
    </row>
    <row r="987" spans="1:25" x14ac:dyDescent="0.55000000000000004">
      <c r="A987">
        <v>985</v>
      </c>
      <c r="B987" t="s">
        <v>20</v>
      </c>
      <c r="C987">
        <v>64</v>
      </c>
      <c r="D987">
        <v>5</v>
      </c>
      <c r="E987" t="s">
        <v>145</v>
      </c>
      <c r="F987" t="s">
        <v>146</v>
      </c>
      <c r="G987">
        <v>27</v>
      </c>
      <c r="H987">
        <v>2</v>
      </c>
      <c r="I987">
        <v>27050000</v>
      </c>
      <c r="J987">
        <v>1107</v>
      </c>
      <c r="K987">
        <v>0</v>
      </c>
      <c r="L987">
        <v>14478</v>
      </c>
      <c r="M987">
        <v>13.850304</v>
      </c>
      <c r="N987">
        <v>102.51946</v>
      </c>
      <c r="O987">
        <v>0.06</v>
      </c>
      <c r="P987">
        <v>7.0000000000000007E-2</v>
      </c>
      <c r="Q987">
        <v>0.15</v>
      </c>
      <c r="R987">
        <v>0</v>
      </c>
      <c r="S987">
        <v>5.87</v>
      </c>
      <c r="T987">
        <v>8.4</v>
      </c>
      <c r="U987">
        <v>0.13</v>
      </c>
      <c r="V987">
        <v>0</v>
      </c>
      <c r="W987">
        <v>0</v>
      </c>
      <c r="X987">
        <v>20623.036960000001</v>
      </c>
      <c r="Y987">
        <v>22252747.539999999</v>
      </c>
    </row>
    <row r="988" spans="1:25" x14ac:dyDescent="0.55000000000000004">
      <c r="A988">
        <v>986</v>
      </c>
      <c r="B988" t="s">
        <v>20</v>
      </c>
      <c r="C988">
        <v>64</v>
      </c>
      <c r="D988">
        <v>5</v>
      </c>
      <c r="E988" t="s">
        <v>145</v>
      </c>
      <c r="F988" t="s">
        <v>146</v>
      </c>
      <c r="G988">
        <v>27</v>
      </c>
      <c r="H988">
        <v>2</v>
      </c>
      <c r="I988">
        <v>27050000</v>
      </c>
      <c r="J988">
        <v>1145</v>
      </c>
      <c r="K988">
        <v>0</v>
      </c>
      <c r="L988">
        <v>14596</v>
      </c>
      <c r="M988">
        <v>13.931006999999999</v>
      </c>
      <c r="N988">
        <v>102.35319</v>
      </c>
      <c r="O988">
        <v>6.01</v>
      </c>
      <c r="P988">
        <v>0</v>
      </c>
      <c r="Q988">
        <v>0.09</v>
      </c>
      <c r="R988">
        <v>0</v>
      </c>
      <c r="S988">
        <v>8.83</v>
      </c>
      <c r="T988">
        <v>7.86</v>
      </c>
      <c r="U988">
        <v>0.92</v>
      </c>
      <c r="V988">
        <v>0</v>
      </c>
      <c r="W988">
        <v>0</v>
      </c>
      <c r="X988">
        <v>35866.036422999998</v>
      </c>
      <c r="Y988">
        <v>80397483.168899998</v>
      </c>
    </row>
    <row r="989" spans="1:25" x14ac:dyDescent="0.55000000000000004">
      <c r="A989">
        <v>987</v>
      </c>
      <c r="B989" t="s">
        <v>20</v>
      </c>
      <c r="C989">
        <v>64</v>
      </c>
      <c r="D989">
        <v>5</v>
      </c>
      <c r="E989" t="s">
        <v>145</v>
      </c>
      <c r="F989" t="s">
        <v>146</v>
      </c>
      <c r="G989">
        <v>27</v>
      </c>
      <c r="H989">
        <v>2</v>
      </c>
      <c r="I989">
        <v>27050000</v>
      </c>
      <c r="J989">
        <v>1170</v>
      </c>
      <c r="K989">
        <v>0</v>
      </c>
      <c r="L989">
        <v>14716</v>
      </c>
      <c r="M989">
        <v>14.011680999999999</v>
      </c>
      <c r="N989">
        <v>102.35319</v>
      </c>
      <c r="O989">
        <v>0.04</v>
      </c>
      <c r="P989">
        <v>0.04</v>
      </c>
      <c r="Q989">
        <v>0.08</v>
      </c>
      <c r="R989">
        <v>5.93</v>
      </c>
      <c r="S989">
        <v>0.01</v>
      </c>
      <c r="T989">
        <v>8.0399999999999991</v>
      </c>
      <c r="U989">
        <v>1.66</v>
      </c>
      <c r="V989">
        <v>0.01</v>
      </c>
      <c r="W989">
        <v>0</v>
      </c>
      <c r="X989">
        <v>35854.179445000002</v>
      </c>
      <c r="Y989">
        <v>80343390.599700004</v>
      </c>
    </row>
    <row r="990" spans="1:25" x14ac:dyDescent="0.55000000000000004">
      <c r="A990">
        <v>988</v>
      </c>
      <c r="B990" t="s">
        <v>20</v>
      </c>
      <c r="C990">
        <v>64</v>
      </c>
      <c r="D990">
        <v>5</v>
      </c>
      <c r="E990" t="s">
        <v>145</v>
      </c>
      <c r="F990" t="s">
        <v>146</v>
      </c>
      <c r="G990">
        <v>27</v>
      </c>
      <c r="H990">
        <v>2</v>
      </c>
      <c r="I990">
        <v>27050000</v>
      </c>
      <c r="J990">
        <v>1171</v>
      </c>
      <c r="K990">
        <v>0</v>
      </c>
      <c r="L990">
        <v>14715</v>
      </c>
      <c r="M990">
        <v>14.011680999999999</v>
      </c>
      <c r="N990">
        <v>102.27006</v>
      </c>
      <c r="O990">
        <v>0.17</v>
      </c>
      <c r="P990">
        <v>0.49</v>
      </c>
      <c r="Q990">
        <v>0.12</v>
      </c>
      <c r="R990">
        <v>1.26</v>
      </c>
      <c r="S990">
        <v>0.01</v>
      </c>
      <c r="T990">
        <v>7.01</v>
      </c>
      <c r="U990">
        <v>0.64</v>
      </c>
      <c r="V990">
        <v>0.01</v>
      </c>
      <c r="W990">
        <v>0</v>
      </c>
      <c r="X990">
        <v>25923.314885</v>
      </c>
      <c r="Y990">
        <v>21184875.7766</v>
      </c>
    </row>
    <row r="991" spans="1:25" x14ac:dyDescent="0.55000000000000004">
      <c r="A991">
        <v>989</v>
      </c>
      <c r="B991" t="s">
        <v>20</v>
      </c>
      <c r="C991">
        <v>64</v>
      </c>
      <c r="D991">
        <v>5</v>
      </c>
      <c r="E991" t="s">
        <v>145</v>
      </c>
      <c r="F991" t="s">
        <v>146</v>
      </c>
      <c r="G991">
        <v>27</v>
      </c>
      <c r="H991">
        <v>2</v>
      </c>
      <c r="I991">
        <v>27050000</v>
      </c>
      <c r="J991">
        <v>1172</v>
      </c>
      <c r="K991">
        <v>0</v>
      </c>
      <c r="L991">
        <v>14836</v>
      </c>
      <c r="M991">
        <v>14.092331</v>
      </c>
      <c r="N991">
        <v>102.35319</v>
      </c>
      <c r="O991">
        <v>1.95</v>
      </c>
      <c r="P991">
        <v>0.35</v>
      </c>
      <c r="Q991">
        <v>0.24</v>
      </c>
      <c r="R991">
        <v>1.35</v>
      </c>
      <c r="S991">
        <v>0.74</v>
      </c>
      <c r="T991">
        <v>26.280000999999999</v>
      </c>
      <c r="U991">
        <v>1.01</v>
      </c>
      <c r="V991">
        <v>0.44</v>
      </c>
      <c r="W991">
        <v>0</v>
      </c>
      <c r="X991">
        <v>35986.234830000001</v>
      </c>
      <c r="Y991">
        <v>71171826.094899997</v>
      </c>
    </row>
    <row r="992" spans="1:25" x14ac:dyDescent="0.55000000000000004">
      <c r="A992">
        <v>990</v>
      </c>
      <c r="B992" t="s">
        <v>20</v>
      </c>
      <c r="C992">
        <v>64</v>
      </c>
      <c r="D992">
        <v>5</v>
      </c>
      <c r="E992" t="s">
        <v>145</v>
      </c>
      <c r="F992" t="s">
        <v>146</v>
      </c>
      <c r="G992">
        <v>27</v>
      </c>
      <c r="H992">
        <v>2</v>
      </c>
      <c r="I992">
        <v>27050000</v>
      </c>
      <c r="J992">
        <v>1175</v>
      </c>
      <c r="K992">
        <v>0</v>
      </c>
      <c r="L992">
        <v>14835</v>
      </c>
      <c r="M992">
        <v>14.092331</v>
      </c>
      <c r="N992">
        <v>102.27006</v>
      </c>
      <c r="O992">
        <v>5.46</v>
      </c>
      <c r="P992">
        <v>2.31</v>
      </c>
      <c r="Q992">
        <v>1.05</v>
      </c>
      <c r="R992">
        <v>0.3</v>
      </c>
      <c r="S992">
        <v>0.82</v>
      </c>
      <c r="T992">
        <v>32.889999000000003</v>
      </c>
      <c r="U992">
        <v>0.23</v>
      </c>
      <c r="V992">
        <v>0.24</v>
      </c>
      <c r="W992">
        <v>0</v>
      </c>
      <c r="X992">
        <v>8136.7151709999998</v>
      </c>
      <c r="Y992">
        <v>1064993.1791699999</v>
      </c>
    </row>
    <row r="993" spans="1:25" x14ac:dyDescent="0.55000000000000004">
      <c r="A993">
        <v>991</v>
      </c>
      <c r="B993" t="s">
        <v>20</v>
      </c>
      <c r="C993">
        <v>64</v>
      </c>
      <c r="D993">
        <v>5</v>
      </c>
      <c r="E993" t="s">
        <v>145</v>
      </c>
      <c r="F993" t="s">
        <v>146</v>
      </c>
      <c r="G993">
        <v>27</v>
      </c>
      <c r="H993">
        <v>2</v>
      </c>
      <c r="I993">
        <v>27050000</v>
      </c>
      <c r="J993">
        <v>1178</v>
      </c>
      <c r="K993">
        <v>0</v>
      </c>
      <c r="L993">
        <v>14956</v>
      </c>
      <c r="M993">
        <v>14.172943</v>
      </c>
      <c r="N993">
        <v>102.35319</v>
      </c>
      <c r="O993">
        <v>11.43</v>
      </c>
      <c r="P993">
        <v>7.05</v>
      </c>
      <c r="Q993">
        <v>0.02</v>
      </c>
      <c r="R993">
        <v>1.2</v>
      </c>
      <c r="S993">
        <v>9.74</v>
      </c>
      <c r="T993">
        <v>8.02</v>
      </c>
      <c r="U993">
        <v>1.78</v>
      </c>
      <c r="V993">
        <v>0.01</v>
      </c>
      <c r="W993">
        <v>0.02</v>
      </c>
      <c r="X993">
        <v>14129.183621</v>
      </c>
      <c r="Y993">
        <v>8753843.0455399994</v>
      </c>
    </row>
    <row r="994" spans="1:25" x14ac:dyDescent="0.55000000000000004">
      <c r="A994">
        <v>992</v>
      </c>
      <c r="B994" t="s">
        <v>20</v>
      </c>
      <c r="C994">
        <v>64</v>
      </c>
      <c r="D994">
        <v>5</v>
      </c>
      <c r="E994" t="s">
        <v>145</v>
      </c>
      <c r="F994" t="s">
        <v>146</v>
      </c>
      <c r="G994">
        <v>27</v>
      </c>
      <c r="H994">
        <v>2</v>
      </c>
      <c r="I994">
        <v>27050000</v>
      </c>
      <c r="J994">
        <v>1179</v>
      </c>
      <c r="K994">
        <v>0</v>
      </c>
      <c r="L994">
        <v>14597</v>
      </c>
      <c r="M994">
        <v>13.931006999999999</v>
      </c>
      <c r="N994">
        <v>102.436325</v>
      </c>
      <c r="O994">
        <v>0.27</v>
      </c>
      <c r="P994">
        <v>0.08</v>
      </c>
      <c r="Q994">
        <v>0.05</v>
      </c>
      <c r="R994">
        <v>0.03</v>
      </c>
      <c r="S994">
        <v>0.41</v>
      </c>
      <c r="T994">
        <v>41.639999000000003</v>
      </c>
      <c r="U994">
        <v>0.39</v>
      </c>
      <c r="V994">
        <v>0</v>
      </c>
      <c r="W994">
        <v>0</v>
      </c>
      <c r="X994">
        <v>35869.503539999998</v>
      </c>
      <c r="Y994">
        <v>80413020.075000003</v>
      </c>
    </row>
    <row r="995" spans="1:25" x14ac:dyDescent="0.55000000000000004">
      <c r="A995">
        <v>993</v>
      </c>
      <c r="B995" t="s">
        <v>20</v>
      </c>
      <c r="C995">
        <v>64</v>
      </c>
      <c r="D995">
        <v>5</v>
      </c>
      <c r="E995" t="s">
        <v>145</v>
      </c>
      <c r="F995" t="s">
        <v>146</v>
      </c>
      <c r="G995">
        <v>27</v>
      </c>
      <c r="H995">
        <v>2</v>
      </c>
      <c r="I995">
        <v>27050000</v>
      </c>
      <c r="J995">
        <v>1180</v>
      </c>
      <c r="K995">
        <v>0</v>
      </c>
      <c r="L995">
        <v>14598</v>
      </c>
      <c r="M995">
        <v>13.931006999999999</v>
      </c>
      <c r="N995">
        <v>102.51946</v>
      </c>
      <c r="O995">
        <v>0</v>
      </c>
      <c r="P995">
        <v>0</v>
      </c>
      <c r="Q995">
        <v>0.01</v>
      </c>
      <c r="R995">
        <v>0.11</v>
      </c>
      <c r="S995">
        <v>0.04</v>
      </c>
      <c r="T995">
        <v>17.190000999999999</v>
      </c>
      <c r="U995">
        <v>0.97</v>
      </c>
      <c r="V995">
        <v>0</v>
      </c>
      <c r="W995">
        <v>0</v>
      </c>
      <c r="X995">
        <v>37929.868430000002</v>
      </c>
      <c r="Y995">
        <v>66544889.795699999</v>
      </c>
    </row>
    <row r="996" spans="1:25" x14ac:dyDescent="0.55000000000000004">
      <c r="A996">
        <v>994</v>
      </c>
      <c r="B996" t="s">
        <v>20</v>
      </c>
      <c r="C996">
        <v>64</v>
      </c>
      <c r="D996">
        <v>5</v>
      </c>
      <c r="E996" t="s">
        <v>145</v>
      </c>
      <c r="F996" t="s">
        <v>146</v>
      </c>
      <c r="G996">
        <v>27</v>
      </c>
      <c r="H996">
        <v>2</v>
      </c>
      <c r="I996">
        <v>27050000</v>
      </c>
      <c r="J996">
        <v>1181</v>
      </c>
      <c r="K996">
        <v>0</v>
      </c>
      <c r="L996">
        <v>14838</v>
      </c>
      <c r="M996">
        <v>14.092331</v>
      </c>
      <c r="N996">
        <v>102.51946</v>
      </c>
      <c r="O996">
        <v>0</v>
      </c>
      <c r="P996">
        <v>0.24</v>
      </c>
      <c r="Q996">
        <v>0</v>
      </c>
      <c r="R996">
        <v>0.11</v>
      </c>
      <c r="S996">
        <v>9.17</v>
      </c>
      <c r="T996">
        <v>17.870000999999998</v>
      </c>
      <c r="U996">
        <v>0.38</v>
      </c>
      <c r="V996">
        <v>0.01</v>
      </c>
      <c r="W996">
        <v>0.01</v>
      </c>
      <c r="X996">
        <v>31021.496222000002</v>
      </c>
      <c r="Y996">
        <v>39588940.1109</v>
      </c>
    </row>
    <row r="997" spans="1:25" x14ac:dyDescent="0.55000000000000004">
      <c r="A997">
        <v>995</v>
      </c>
      <c r="B997" t="s">
        <v>20</v>
      </c>
      <c r="C997">
        <v>64</v>
      </c>
      <c r="D997">
        <v>5</v>
      </c>
      <c r="E997" t="s">
        <v>145</v>
      </c>
      <c r="F997" t="s">
        <v>146</v>
      </c>
      <c r="G997">
        <v>27</v>
      </c>
      <c r="H997">
        <v>2</v>
      </c>
      <c r="I997">
        <v>27050000</v>
      </c>
      <c r="J997">
        <v>1182</v>
      </c>
      <c r="K997">
        <v>0</v>
      </c>
      <c r="L997">
        <v>14717</v>
      </c>
      <c r="M997">
        <v>14.011680999999999</v>
      </c>
      <c r="N997">
        <v>102.436325</v>
      </c>
      <c r="O997">
        <v>0</v>
      </c>
      <c r="P997">
        <v>4.1100000000000003</v>
      </c>
      <c r="Q997">
        <v>0</v>
      </c>
      <c r="R997">
        <v>0.24</v>
      </c>
      <c r="S997">
        <v>1.68</v>
      </c>
      <c r="T997">
        <v>52.419998</v>
      </c>
      <c r="U997">
        <v>6.94</v>
      </c>
      <c r="V997">
        <v>0.01</v>
      </c>
      <c r="W997">
        <v>0</v>
      </c>
      <c r="X997">
        <v>35857.445338999998</v>
      </c>
      <c r="Y997">
        <v>80358971.164199993</v>
      </c>
    </row>
    <row r="998" spans="1:25" x14ac:dyDescent="0.55000000000000004">
      <c r="A998">
        <v>996</v>
      </c>
      <c r="B998" t="s">
        <v>20</v>
      </c>
      <c r="C998">
        <v>64</v>
      </c>
      <c r="D998">
        <v>5</v>
      </c>
      <c r="E998" t="s">
        <v>145</v>
      </c>
      <c r="F998" t="s">
        <v>146</v>
      </c>
      <c r="G998">
        <v>27</v>
      </c>
      <c r="H998">
        <v>2</v>
      </c>
      <c r="I998">
        <v>27050000</v>
      </c>
      <c r="J998">
        <v>1183</v>
      </c>
      <c r="K998">
        <v>0</v>
      </c>
      <c r="L998">
        <v>14718</v>
      </c>
      <c r="M998">
        <v>14.011680999999999</v>
      </c>
      <c r="N998">
        <v>102.51946</v>
      </c>
      <c r="O998">
        <v>0</v>
      </c>
      <c r="P998">
        <v>0.57999999999999996</v>
      </c>
      <c r="Q998">
        <v>0.32</v>
      </c>
      <c r="R998">
        <v>0</v>
      </c>
      <c r="S998">
        <v>0.5</v>
      </c>
      <c r="T998">
        <v>12.73</v>
      </c>
      <c r="U998">
        <v>7.43</v>
      </c>
      <c r="V998">
        <v>0.01</v>
      </c>
      <c r="W998">
        <v>0</v>
      </c>
      <c r="X998">
        <v>34868.110896999999</v>
      </c>
      <c r="Y998">
        <v>72795764.364500001</v>
      </c>
    </row>
    <row r="999" spans="1:25" x14ac:dyDescent="0.55000000000000004">
      <c r="A999">
        <v>997</v>
      </c>
      <c r="B999" t="s">
        <v>20</v>
      </c>
      <c r="C999">
        <v>64</v>
      </c>
      <c r="D999">
        <v>5</v>
      </c>
      <c r="E999" t="s">
        <v>145</v>
      </c>
      <c r="F999" t="s">
        <v>146</v>
      </c>
      <c r="G999">
        <v>27</v>
      </c>
      <c r="H999">
        <v>2</v>
      </c>
      <c r="I999">
        <v>27050000</v>
      </c>
      <c r="J999">
        <v>1185</v>
      </c>
      <c r="K999">
        <v>0</v>
      </c>
      <c r="L999">
        <v>14957</v>
      </c>
      <c r="M999">
        <v>14.172943</v>
      </c>
      <c r="N999">
        <v>102.436325</v>
      </c>
      <c r="O999">
        <v>2.77</v>
      </c>
      <c r="P999">
        <v>3.73</v>
      </c>
      <c r="Q999">
        <v>0</v>
      </c>
      <c r="R999">
        <v>0.93</v>
      </c>
      <c r="S999">
        <v>27.610001</v>
      </c>
      <c r="T999">
        <v>14.11</v>
      </c>
      <c r="U999">
        <v>0.69</v>
      </c>
      <c r="V999">
        <v>0.1</v>
      </c>
      <c r="W999">
        <v>0.08</v>
      </c>
      <c r="X999">
        <v>20579.403992</v>
      </c>
      <c r="Y999">
        <v>12256011.023399999</v>
      </c>
    </row>
    <row r="1000" spans="1:25" x14ac:dyDescent="0.55000000000000004">
      <c r="A1000">
        <v>998</v>
      </c>
      <c r="B1000" t="s">
        <v>20</v>
      </c>
      <c r="C1000">
        <v>64</v>
      </c>
      <c r="D1000">
        <v>5</v>
      </c>
      <c r="E1000" t="s">
        <v>145</v>
      </c>
      <c r="F1000" t="s">
        <v>146</v>
      </c>
      <c r="G1000">
        <v>27</v>
      </c>
      <c r="H1000">
        <v>2</v>
      </c>
      <c r="I1000">
        <v>27050000</v>
      </c>
      <c r="J1000">
        <v>1186</v>
      </c>
      <c r="K1000">
        <v>0</v>
      </c>
      <c r="L1000">
        <v>14837</v>
      </c>
      <c r="M1000">
        <v>14.092331</v>
      </c>
      <c r="N1000">
        <v>102.436325</v>
      </c>
      <c r="O1000">
        <v>0.56999999999999995</v>
      </c>
      <c r="P1000">
        <v>7.68</v>
      </c>
      <c r="Q1000">
        <v>0.01</v>
      </c>
      <c r="R1000">
        <v>1</v>
      </c>
      <c r="S1000">
        <v>7.7</v>
      </c>
      <c r="T1000">
        <v>42.490001999999997</v>
      </c>
      <c r="U1000">
        <v>0.05</v>
      </c>
      <c r="V1000">
        <v>0.28000000000000003</v>
      </c>
      <c r="W1000">
        <v>0.01</v>
      </c>
      <c r="X1000">
        <v>35948.777757999997</v>
      </c>
      <c r="Y1000">
        <v>80227240.030599996</v>
      </c>
    </row>
    <row r="1001" spans="1:25" x14ac:dyDescent="0.55000000000000004">
      <c r="A1001">
        <v>999</v>
      </c>
      <c r="B1001" t="s">
        <v>20</v>
      </c>
      <c r="C1001">
        <v>64</v>
      </c>
      <c r="D1001">
        <v>5</v>
      </c>
      <c r="E1001" t="s">
        <v>145</v>
      </c>
      <c r="F1001" t="s">
        <v>146</v>
      </c>
      <c r="G1001">
        <v>27</v>
      </c>
      <c r="H1001">
        <v>2</v>
      </c>
      <c r="I1001">
        <v>27050000</v>
      </c>
      <c r="J1001">
        <v>1188</v>
      </c>
      <c r="K1001">
        <v>0</v>
      </c>
      <c r="L1001">
        <v>14958</v>
      </c>
      <c r="M1001">
        <v>14.172943</v>
      </c>
      <c r="N1001">
        <v>102.51946</v>
      </c>
      <c r="O1001">
        <v>0.6</v>
      </c>
      <c r="P1001">
        <v>0.05</v>
      </c>
      <c r="Q1001">
        <v>0.14000000000000001</v>
      </c>
      <c r="R1001">
        <v>0.09</v>
      </c>
      <c r="S1001">
        <v>40.25</v>
      </c>
      <c r="T1001">
        <v>19.84</v>
      </c>
      <c r="U1001">
        <v>0.18</v>
      </c>
      <c r="V1001">
        <v>0.15</v>
      </c>
      <c r="W1001">
        <v>0.04</v>
      </c>
      <c r="X1001">
        <v>6267.3684789999998</v>
      </c>
      <c r="Y1001">
        <v>1378258.48599</v>
      </c>
    </row>
    <row r="1002" spans="1:25" x14ac:dyDescent="0.55000000000000004">
      <c r="A1002">
        <v>1000</v>
      </c>
      <c r="B1002" t="s">
        <v>20</v>
      </c>
      <c r="C1002">
        <v>64</v>
      </c>
      <c r="D1002">
        <v>5</v>
      </c>
      <c r="E1002" t="s">
        <v>145</v>
      </c>
      <c r="F1002" t="s">
        <v>146</v>
      </c>
      <c r="G1002">
        <v>27</v>
      </c>
      <c r="H1002">
        <v>2</v>
      </c>
      <c r="I1002">
        <v>27050000</v>
      </c>
      <c r="J1002">
        <v>1230</v>
      </c>
      <c r="K1002">
        <v>0</v>
      </c>
      <c r="L1002">
        <v>14599</v>
      </c>
      <c r="M1002">
        <v>13.931006999999999</v>
      </c>
      <c r="N1002">
        <v>102.6026</v>
      </c>
      <c r="O1002">
        <v>0</v>
      </c>
      <c r="P1002">
        <v>0</v>
      </c>
      <c r="Q1002">
        <v>0</v>
      </c>
      <c r="R1002">
        <v>0.26</v>
      </c>
      <c r="S1002">
        <v>0.02</v>
      </c>
      <c r="T1002">
        <v>17.93</v>
      </c>
      <c r="U1002">
        <v>1.49</v>
      </c>
      <c r="V1002">
        <v>0</v>
      </c>
      <c r="W1002">
        <v>0.04</v>
      </c>
      <c r="X1002">
        <v>13334.230175000001</v>
      </c>
      <c r="Y1002">
        <v>10220624.1216</v>
      </c>
    </row>
    <row r="1003" spans="1:25" x14ac:dyDescent="0.55000000000000004">
      <c r="A1003">
        <v>1001</v>
      </c>
      <c r="B1003" t="s">
        <v>20</v>
      </c>
      <c r="C1003">
        <v>64</v>
      </c>
      <c r="D1003">
        <v>5</v>
      </c>
      <c r="E1003" t="s">
        <v>145</v>
      </c>
      <c r="F1003" t="s">
        <v>146</v>
      </c>
      <c r="G1003">
        <v>27</v>
      </c>
      <c r="H1003">
        <v>2</v>
      </c>
      <c r="I1003">
        <v>27050000</v>
      </c>
      <c r="J1003">
        <v>1233</v>
      </c>
      <c r="K1003">
        <v>0</v>
      </c>
      <c r="L1003">
        <v>14719</v>
      </c>
      <c r="M1003">
        <v>14.011680999999999</v>
      </c>
      <c r="N1003">
        <v>102.6026</v>
      </c>
      <c r="O1003">
        <v>0.01</v>
      </c>
      <c r="P1003">
        <v>0.01</v>
      </c>
      <c r="Q1003">
        <v>0.03</v>
      </c>
      <c r="R1003">
        <v>0</v>
      </c>
      <c r="S1003">
        <v>0.48</v>
      </c>
      <c r="T1003">
        <v>41.549999</v>
      </c>
      <c r="U1003">
        <v>8.5399999999999991</v>
      </c>
      <c r="V1003">
        <v>0.17</v>
      </c>
      <c r="W1003">
        <v>0</v>
      </c>
      <c r="X1003">
        <v>9925.4864030000008</v>
      </c>
      <c r="Y1003">
        <v>3579231.1102700001</v>
      </c>
    </row>
    <row r="1004" spans="1:25" x14ac:dyDescent="0.55000000000000004">
      <c r="A1004">
        <v>1002</v>
      </c>
      <c r="B1004" t="s">
        <v>20</v>
      </c>
      <c r="C1004">
        <v>65</v>
      </c>
      <c r="D1004">
        <v>6</v>
      </c>
      <c r="E1004" t="s">
        <v>147</v>
      </c>
      <c r="F1004" t="s">
        <v>148</v>
      </c>
      <c r="G1004">
        <v>27</v>
      </c>
      <c r="H1004">
        <v>2</v>
      </c>
      <c r="I1004">
        <v>27060000</v>
      </c>
      <c r="J1004">
        <v>998</v>
      </c>
      <c r="K1004">
        <v>0</v>
      </c>
      <c r="L1004">
        <v>13876</v>
      </c>
      <c r="M1004">
        <v>13.446358</v>
      </c>
      <c r="N1004">
        <v>102.35319</v>
      </c>
      <c r="O1004">
        <v>0.09</v>
      </c>
      <c r="P1004">
        <v>9.7200000000000006</v>
      </c>
      <c r="Q1004">
        <v>0.01</v>
      </c>
      <c r="R1004">
        <v>2.0099999999999998</v>
      </c>
      <c r="S1004">
        <v>1.69</v>
      </c>
      <c r="T1004">
        <v>3.14</v>
      </c>
      <c r="U1004">
        <v>4.8600000000000003</v>
      </c>
      <c r="V1004">
        <v>7.0000000000000007E-2</v>
      </c>
      <c r="W1004">
        <v>0.08</v>
      </c>
      <c r="X1004">
        <v>12355.820757</v>
      </c>
      <c r="Y1004">
        <v>5071894.0417999998</v>
      </c>
    </row>
    <row r="1005" spans="1:25" x14ac:dyDescent="0.55000000000000004">
      <c r="A1005">
        <v>1003</v>
      </c>
      <c r="B1005" t="s">
        <v>20</v>
      </c>
      <c r="C1005">
        <v>65</v>
      </c>
      <c r="D1005">
        <v>6</v>
      </c>
      <c r="E1005" t="s">
        <v>147</v>
      </c>
      <c r="F1005" t="s">
        <v>148</v>
      </c>
      <c r="G1005">
        <v>27</v>
      </c>
      <c r="H1005">
        <v>2</v>
      </c>
      <c r="I1005">
        <v>27060000</v>
      </c>
      <c r="J1005">
        <v>1034</v>
      </c>
      <c r="K1005">
        <v>0</v>
      </c>
      <c r="L1005">
        <v>13995</v>
      </c>
      <c r="M1005">
        <v>13.527199</v>
      </c>
      <c r="N1005">
        <v>102.27006</v>
      </c>
      <c r="O1005">
        <v>0.04</v>
      </c>
      <c r="P1005">
        <v>2</v>
      </c>
      <c r="Q1005">
        <v>0.04</v>
      </c>
      <c r="R1005">
        <v>0.39</v>
      </c>
      <c r="S1005">
        <v>1.28</v>
      </c>
      <c r="T1005">
        <v>1.1499999999999999</v>
      </c>
      <c r="U1005">
        <v>8.1199999999999992</v>
      </c>
      <c r="V1005">
        <v>0.14000000000000001</v>
      </c>
      <c r="W1005">
        <v>6.07</v>
      </c>
      <c r="X1005">
        <v>8436.1657510000005</v>
      </c>
      <c r="Y1005">
        <v>483661.74369600002</v>
      </c>
    </row>
    <row r="1006" spans="1:25" x14ac:dyDescent="0.55000000000000004">
      <c r="A1006">
        <v>1004</v>
      </c>
      <c r="B1006" t="s">
        <v>20</v>
      </c>
      <c r="C1006">
        <v>65</v>
      </c>
      <c r="D1006">
        <v>6</v>
      </c>
      <c r="E1006" t="s">
        <v>147</v>
      </c>
      <c r="F1006" t="s">
        <v>148</v>
      </c>
      <c r="G1006">
        <v>27</v>
      </c>
      <c r="H1006">
        <v>2</v>
      </c>
      <c r="I1006">
        <v>27060000</v>
      </c>
      <c r="J1006">
        <v>1035</v>
      </c>
      <c r="K1006">
        <v>0</v>
      </c>
      <c r="L1006">
        <v>13996</v>
      </c>
      <c r="M1006">
        <v>13.527199</v>
      </c>
      <c r="N1006">
        <v>102.35319</v>
      </c>
      <c r="O1006">
        <v>0.02</v>
      </c>
      <c r="P1006">
        <v>4.9000000000000004</v>
      </c>
      <c r="Q1006">
        <v>0</v>
      </c>
      <c r="R1006">
        <v>0.05</v>
      </c>
      <c r="S1006">
        <v>4.25</v>
      </c>
      <c r="T1006">
        <v>2.85</v>
      </c>
      <c r="U1006">
        <v>6.47</v>
      </c>
      <c r="V1006">
        <v>0</v>
      </c>
      <c r="W1006">
        <v>2.5299999999999998</v>
      </c>
      <c r="X1006">
        <v>33702.130448000004</v>
      </c>
      <c r="Y1006">
        <v>32211469.520399999</v>
      </c>
    </row>
    <row r="1007" spans="1:25" x14ac:dyDescent="0.55000000000000004">
      <c r="A1007">
        <v>1005</v>
      </c>
      <c r="B1007" t="s">
        <v>20</v>
      </c>
      <c r="C1007">
        <v>65</v>
      </c>
      <c r="D1007">
        <v>6</v>
      </c>
      <c r="E1007" t="s">
        <v>147</v>
      </c>
      <c r="F1007" t="s">
        <v>148</v>
      </c>
      <c r="G1007">
        <v>27</v>
      </c>
      <c r="H1007">
        <v>2</v>
      </c>
      <c r="I1007">
        <v>27060000</v>
      </c>
      <c r="J1007">
        <v>1036</v>
      </c>
      <c r="K1007">
        <v>0</v>
      </c>
      <c r="L1007">
        <v>14236</v>
      </c>
      <c r="M1007">
        <v>13.688805</v>
      </c>
      <c r="N1007">
        <v>102.35319</v>
      </c>
      <c r="O1007">
        <v>4.79</v>
      </c>
      <c r="P1007">
        <v>4.9400000000000004</v>
      </c>
      <c r="Q1007">
        <v>7.45</v>
      </c>
      <c r="R1007">
        <v>0.04</v>
      </c>
      <c r="S1007">
        <v>0.04</v>
      </c>
      <c r="T1007">
        <v>6.89</v>
      </c>
      <c r="U1007">
        <v>3.26</v>
      </c>
      <c r="V1007">
        <v>0</v>
      </c>
      <c r="W1007">
        <v>0</v>
      </c>
      <c r="X1007">
        <v>22182.499205</v>
      </c>
      <c r="Y1007">
        <v>12533120.0011</v>
      </c>
    </row>
    <row r="1008" spans="1:25" x14ac:dyDescent="0.55000000000000004">
      <c r="A1008">
        <v>1006</v>
      </c>
      <c r="B1008" t="s">
        <v>20</v>
      </c>
      <c r="C1008">
        <v>65</v>
      </c>
      <c r="D1008">
        <v>6</v>
      </c>
      <c r="E1008" t="s">
        <v>147</v>
      </c>
      <c r="F1008" t="s">
        <v>148</v>
      </c>
      <c r="G1008">
        <v>27</v>
      </c>
      <c r="H1008">
        <v>2</v>
      </c>
      <c r="I1008">
        <v>27060000</v>
      </c>
      <c r="J1008">
        <v>1038</v>
      </c>
      <c r="K1008">
        <v>0</v>
      </c>
      <c r="L1008">
        <v>14116</v>
      </c>
      <c r="M1008">
        <v>13.608017</v>
      </c>
      <c r="N1008">
        <v>102.35319</v>
      </c>
      <c r="O1008">
        <v>0.02</v>
      </c>
      <c r="P1008">
        <v>0.47</v>
      </c>
      <c r="Q1008">
        <v>0.1</v>
      </c>
      <c r="R1008">
        <v>0</v>
      </c>
      <c r="S1008">
        <v>0</v>
      </c>
      <c r="T1008">
        <v>2.3199999999999998</v>
      </c>
      <c r="U1008">
        <v>2.39</v>
      </c>
      <c r="V1008">
        <v>0</v>
      </c>
      <c r="W1008">
        <v>0.3</v>
      </c>
      <c r="X1008">
        <v>34894.578630000004</v>
      </c>
      <c r="Y1008">
        <v>59083279.332199998</v>
      </c>
    </row>
    <row r="1009" spans="1:25" x14ac:dyDescent="0.55000000000000004">
      <c r="A1009">
        <v>1007</v>
      </c>
      <c r="B1009" t="s">
        <v>20</v>
      </c>
      <c r="C1009">
        <v>65</v>
      </c>
      <c r="D1009">
        <v>6</v>
      </c>
      <c r="E1009" t="s">
        <v>147</v>
      </c>
      <c r="F1009" t="s">
        <v>148</v>
      </c>
      <c r="G1009">
        <v>27</v>
      </c>
      <c r="H1009">
        <v>2</v>
      </c>
      <c r="I1009">
        <v>27060000</v>
      </c>
      <c r="J1009">
        <v>1039</v>
      </c>
      <c r="K1009">
        <v>0</v>
      </c>
      <c r="L1009">
        <v>13997</v>
      </c>
      <c r="M1009">
        <v>13.527199</v>
      </c>
      <c r="N1009">
        <v>102.436325</v>
      </c>
      <c r="O1009">
        <v>0.01</v>
      </c>
      <c r="P1009">
        <v>10</v>
      </c>
      <c r="Q1009">
        <v>0</v>
      </c>
      <c r="R1009">
        <v>0</v>
      </c>
      <c r="S1009">
        <v>0.91</v>
      </c>
      <c r="T1009">
        <v>2.62</v>
      </c>
      <c r="U1009">
        <v>5.66</v>
      </c>
      <c r="V1009">
        <v>0.08</v>
      </c>
      <c r="W1009">
        <v>0.23</v>
      </c>
      <c r="X1009">
        <v>13893.488671999999</v>
      </c>
      <c r="Y1009">
        <v>2497068.0972899999</v>
      </c>
    </row>
    <row r="1010" spans="1:25" x14ac:dyDescent="0.55000000000000004">
      <c r="A1010">
        <v>1008</v>
      </c>
      <c r="B1010" t="s">
        <v>20</v>
      </c>
      <c r="C1010">
        <v>65</v>
      </c>
      <c r="D1010">
        <v>6</v>
      </c>
      <c r="E1010" t="s">
        <v>147</v>
      </c>
      <c r="F1010" t="s">
        <v>148</v>
      </c>
      <c r="G1010">
        <v>27</v>
      </c>
      <c r="H1010">
        <v>2</v>
      </c>
      <c r="I1010">
        <v>27060000</v>
      </c>
      <c r="J1010">
        <v>1040</v>
      </c>
      <c r="K1010">
        <v>0</v>
      </c>
      <c r="L1010">
        <v>13998</v>
      </c>
      <c r="M1010">
        <v>13.527199</v>
      </c>
      <c r="N1010">
        <v>102.51946</v>
      </c>
      <c r="O1010">
        <v>0</v>
      </c>
      <c r="P1010">
        <v>19.200001</v>
      </c>
      <c r="Q1010">
        <v>0</v>
      </c>
      <c r="R1010">
        <v>9.1999999999999993</v>
      </c>
      <c r="S1010">
        <v>0.12</v>
      </c>
      <c r="T1010">
        <v>1.86</v>
      </c>
      <c r="U1010">
        <v>3.95</v>
      </c>
      <c r="V1010">
        <v>1.92</v>
      </c>
      <c r="W1010">
        <v>0.13</v>
      </c>
      <c r="X1010">
        <v>5817.2298600000004</v>
      </c>
      <c r="Y1010">
        <v>333001.38867499999</v>
      </c>
    </row>
    <row r="1011" spans="1:25" x14ac:dyDescent="0.55000000000000004">
      <c r="A1011">
        <v>1009</v>
      </c>
      <c r="B1011" t="s">
        <v>20</v>
      </c>
      <c r="C1011">
        <v>65</v>
      </c>
      <c r="D1011">
        <v>6</v>
      </c>
      <c r="E1011" t="s">
        <v>147</v>
      </c>
      <c r="F1011" t="s">
        <v>148</v>
      </c>
      <c r="G1011">
        <v>27</v>
      </c>
      <c r="H1011">
        <v>2</v>
      </c>
      <c r="I1011">
        <v>27060000</v>
      </c>
      <c r="J1011">
        <v>1041</v>
      </c>
      <c r="K1011">
        <v>0</v>
      </c>
      <c r="L1011">
        <v>14117</v>
      </c>
      <c r="M1011">
        <v>13.608017</v>
      </c>
      <c r="N1011">
        <v>102.436325</v>
      </c>
      <c r="O1011">
        <v>0.03</v>
      </c>
      <c r="P1011">
        <v>0.08</v>
      </c>
      <c r="Q1011">
        <v>0.02</v>
      </c>
      <c r="R1011">
        <v>0</v>
      </c>
      <c r="S1011">
        <v>0</v>
      </c>
      <c r="T1011">
        <v>2.4700000000000002</v>
      </c>
      <c r="U1011">
        <v>1.86</v>
      </c>
      <c r="V1011">
        <v>0.12</v>
      </c>
      <c r="W1011">
        <v>0.09</v>
      </c>
      <c r="X1011">
        <v>36728.645511000002</v>
      </c>
      <c r="Y1011">
        <v>80122628.038900003</v>
      </c>
    </row>
    <row r="1012" spans="1:25" x14ac:dyDescent="0.55000000000000004">
      <c r="A1012">
        <v>1010</v>
      </c>
      <c r="B1012" t="s">
        <v>20</v>
      </c>
      <c r="C1012">
        <v>65</v>
      </c>
      <c r="D1012">
        <v>6</v>
      </c>
      <c r="E1012" t="s">
        <v>147</v>
      </c>
      <c r="F1012" t="s">
        <v>148</v>
      </c>
      <c r="G1012">
        <v>27</v>
      </c>
      <c r="H1012">
        <v>2</v>
      </c>
      <c r="I1012">
        <v>27060000</v>
      </c>
      <c r="J1012">
        <v>1042</v>
      </c>
      <c r="K1012">
        <v>0</v>
      </c>
      <c r="L1012">
        <v>14237</v>
      </c>
      <c r="M1012">
        <v>13.688805</v>
      </c>
      <c r="N1012">
        <v>102.436325</v>
      </c>
      <c r="O1012">
        <v>0.05</v>
      </c>
      <c r="P1012">
        <v>0.46</v>
      </c>
      <c r="Q1012">
        <v>0.54</v>
      </c>
      <c r="R1012">
        <v>0</v>
      </c>
      <c r="S1012">
        <v>0.12</v>
      </c>
      <c r="T1012">
        <v>7.34</v>
      </c>
      <c r="U1012">
        <v>0.06</v>
      </c>
      <c r="V1012">
        <v>0</v>
      </c>
      <c r="W1012">
        <v>0</v>
      </c>
      <c r="X1012">
        <v>34608.888973000001</v>
      </c>
      <c r="Y1012">
        <v>66962038.212700002</v>
      </c>
    </row>
    <row r="1013" spans="1:25" x14ac:dyDescent="0.55000000000000004">
      <c r="A1013">
        <v>1011</v>
      </c>
      <c r="B1013" t="s">
        <v>20</v>
      </c>
      <c r="C1013">
        <v>65</v>
      </c>
      <c r="D1013">
        <v>6</v>
      </c>
      <c r="E1013" t="s">
        <v>147</v>
      </c>
      <c r="F1013" t="s">
        <v>148</v>
      </c>
      <c r="G1013">
        <v>27</v>
      </c>
      <c r="H1013">
        <v>2</v>
      </c>
      <c r="I1013">
        <v>27060000</v>
      </c>
      <c r="J1013">
        <v>1049</v>
      </c>
      <c r="K1013">
        <v>0</v>
      </c>
      <c r="L1013">
        <v>14118</v>
      </c>
      <c r="M1013">
        <v>13.608017</v>
      </c>
      <c r="N1013">
        <v>102.51946</v>
      </c>
      <c r="O1013">
        <v>0.05</v>
      </c>
      <c r="P1013">
        <v>0.22</v>
      </c>
      <c r="Q1013">
        <v>0</v>
      </c>
      <c r="R1013">
        <v>0.71</v>
      </c>
      <c r="S1013">
        <v>0</v>
      </c>
      <c r="T1013">
        <v>4.4000000000000004</v>
      </c>
      <c r="U1013">
        <v>5.35</v>
      </c>
      <c r="V1013">
        <v>1.21</v>
      </c>
      <c r="W1013">
        <v>0</v>
      </c>
      <c r="X1013">
        <v>36001.035528</v>
      </c>
      <c r="Y1013">
        <v>77558250.109599993</v>
      </c>
    </row>
    <row r="1014" spans="1:25" x14ac:dyDescent="0.55000000000000004">
      <c r="A1014">
        <v>1012</v>
      </c>
      <c r="B1014" t="s">
        <v>20</v>
      </c>
      <c r="C1014">
        <v>65</v>
      </c>
      <c r="D1014">
        <v>6</v>
      </c>
      <c r="E1014" t="s">
        <v>147</v>
      </c>
      <c r="F1014" t="s">
        <v>148</v>
      </c>
      <c r="G1014">
        <v>27</v>
      </c>
      <c r="H1014">
        <v>2</v>
      </c>
      <c r="I1014">
        <v>27060000</v>
      </c>
      <c r="J1014">
        <v>1050</v>
      </c>
      <c r="K1014">
        <v>0</v>
      </c>
      <c r="L1014">
        <v>14357</v>
      </c>
      <c r="M1014">
        <v>13.769569000000001</v>
      </c>
      <c r="N1014">
        <v>102.436325</v>
      </c>
      <c r="O1014">
        <v>0.03</v>
      </c>
      <c r="P1014">
        <v>0.61</v>
      </c>
      <c r="Q1014">
        <v>0.08</v>
      </c>
      <c r="R1014">
        <v>0.08</v>
      </c>
      <c r="S1014">
        <v>10.050000000000001</v>
      </c>
      <c r="T1014">
        <v>74.089995999999999</v>
      </c>
      <c r="U1014">
        <v>9.5</v>
      </c>
      <c r="V1014">
        <v>0</v>
      </c>
      <c r="W1014">
        <v>0</v>
      </c>
      <c r="X1014">
        <v>34691.021520000002</v>
      </c>
      <c r="Y1014">
        <v>56040574.821900003</v>
      </c>
    </row>
    <row r="1015" spans="1:25" x14ac:dyDescent="0.55000000000000004">
      <c r="A1015">
        <v>1013</v>
      </c>
      <c r="B1015" t="s">
        <v>20</v>
      </c>
      <c r="C1015">
        <v>65</v>
      </c>
      <c r="D1015">
        <v>6</v>
      </c>
      <c r="E1015" t="s">
        <v>147</v>
      </c>
      <c r="F1015" t="s">
        <v>148</v>
      </c>
      <c r="G1015">
        <v>27</v>
      </c>
      <c r="H1015">
        <v>2</v>
      </c>
      <c r="I1015">
        <v>27060000</v>
      </c>
      <c r="J1015">
        <v>1052</v>
      </c>
      <c r="K1015">
        <v>0</v>
      </c>
      <c r="L1015">
        <v>14238</v>
      </c>
      <c r="M1015">
        <v>13.688805</v>
      </c>
      <c r="N1015">
        <v>102.51946</v>
      </c>
      <c r="O1015">
        <v>0.04</v>
      </c>
      <c r="P1015">
        <v>0.05</v>
      </c>
      <c r="Q1015">
        <v>0.03</v>
      </c>
      <c r="R1015">
        <v>0.03</v>
      </c>
      <c r="S1015">
        <v>0.48</v>
      </c>
      <c r="T1015">
        <v>3.99</v>
      </c>
      <c r="U1015">
        <v>0.57999999999999996</v>
      </c>
      <c r="V1015">
        <v>0.01</v>
      </c>
      <c r="W1015">
        <v>0</v>
      </c>
      <c r="X1015">
        <v>37211.754001000001</v>
      </c>
      <c r="Y1015">
        <v>78141240.728200004</v>
      </c>
    </row>
    <row r="1016" spans="1:25" x14ac:dyDescent="0.55000000000000004">
      <c r="A1016">
        <v>1014</v>
      </c>
      <c r="B1016" t="s">
        <v>20</v>
      </c>
      <c r="C1016">
        <v>65</v>
      </c>
      <c r="D1016">
        <v>6</v>
      </c>
      <c r="E1016" t="s">
        <v>147</v>
      </c>
      <c r="F1016" t="s">
        <v>148</v>
      </c>
      <c r="G1016">
        <v>27</v>
      </c>
      <c r="H1016">
        <v>2</v>
      </c>
      <c r="I1016">
        <v>27060000</v>
      </c>
      <c r="J1016">
        <v>1054</v>
      </c>
      <c r="K1016">
        <v>0</v>
      </c>
      <c r="L1016">
        <v>14479</v>
      </c>
      <c r="M1016">
        <v>13.850304</v>
      </c>
      <c r="N1016">
        <v>102.6026</v>
      </c>
      <c r="O1016">
        <v>0</v>
      </c>
      <c r="P1016">
        <v>0.02</v>
      </c>
      <c r="Q1016">
        <v>0.11</v>
      </c>
      <c r="R1016">
        <v>0</v>
      </c>
      <c r="S1016">
        <v>3.72</v>
      </c>
      <c r="T1016">
        <v>10.82</v>
      </c>
      <c r="U1016">
        <v>0.05</v>
      </c>
      <c r="V1016">
        <v>0</v>
      </c>
      <c r="W1016">
        <v>0</v>
      </c>
      <c r="X1016">
        <v>8045.5810689999998</v>
      </c>
      <c r="Y1016">
        <v>2851120.7435900001</v>
      </c>
    </row>
    <row r="1017" spans="1:25" x14ac:dyDescent="0.55000000000000004">
      <c r="A1017">
        <v>1015</v>
      </c>
      <c r="B1017" t="s">
        <v>20</v>
      </c>
      <c r="C1017">
        <v>65</v>
      </c>
      <c r="D1017">
        <v>6</v>
      </c>
      <c r="E1017" t="s">
        <v>147</v>
      </c>
      <c r="F1017" t="s">
        <v>148</v>
      </c>
      <c r="G1017">
        <v>27</v>
      </c>
      <c r="H1017">
        <v>2</v>
      </c>
      <c r="I1017">
        <v>27060000</v>
      </c>
      <c r="J1017">
        <v>1055</v>
      </c>
      <c r="K1017">
        <v>0</v>
      </c>
      <c r="L1017">
        <v>14477</v>
      </c>
      <c r="M1017">
        <v>13.850304</v>
      </c>
      <c r="N1017">
        <v>102.436325</v>
      </c>
      <c r="O1017">
        <v>0.03</v>
      </c>
      <c r="P1017">
        <v>0.53</v>
      </c>
      <c r="Q1017">
        <v>0.08</v>
      </c>
      <c r="R1017">
        <v>0.11</v>
      </c>
      <c r="S1017">
        <v>0.24</v>
      </c>
      <c r="T1017">
        <v>26.030000999999999</v>
      </c>
      <c r="U1017">
        <v>0.18</v>
      </c>
      <c r="V1017">
        <v>0</v>
      </c>
      <c r="W1017">
        <v>0</v>
      </c>
      <c r="X1017">
        <v>29858.713675999999</v>
      </c>
      <c r="Y1017">
        <v>40378762.3847</v>
      </c>
    </row>
    <row r="1018" spans="1:25" x14ac:dyDescent="0.55000000000000004">
      <c r="A1018">
        <v>1016</v>
      </c>
      <c r="B1018" t="s">
        <v>20</v>
      </c>
      <c r="C1018">
        <v>65</v>
      </c>
      <c r="D1018">
        <v>6</v>
      </c>
      <c r="E1018" t="s">
        <v>147</v>
      </c>
      <c r="F1018" t="s">
        <v>148</v>
      </c>
      <c r="G1018">
        <v>27</v>
      </c>
      <c r="H1018">
        <v>2</v>
      </c>
      <c r="I1018">
        <v>27060000</v>
      </c>
      <c r="J1018">
        <v>1102</v>
      </c>
      <c r="K1018">
        <v>0</v>
      </c>
      <c r="L1018">
        <v>14239</v>
      </c>
      <c r="M1018">
        <v>13.688805</v>
      </c>
      <c r="N1018">
        <v>102.6026</v>
      </c>
      <c r="O1018">
        <v>0.03</v>
      </c>
      <c r="P1018">
        <v>0.65</v>
      </c>
      <c r="Q1018">
        <v>0</v>
      </c>
      <c r="R1018">
        <v>14.59</v>
      </c>
      <c r="S1018">
        <v>0.12</v>
      </c>
      <c r="T1018">
        <v>14.92</v>
      </c>
      <c r="U1018">
        <v>2.77</v>
      </c>
      <c r="V1018">
        <v>0</v>
      </c>
      <c r="W1018">
        <v>0</v>
      </c>
      <c r="X1018">
        <v>24812.559820999999</v>
      </c>
      <c r="Y1018">
        <v>19868561.4965</v>
      </c>
    </row>
    <row r="1019" spans="1:25" x14ac:dyDescent="0.55000000000000004">
      <c r="A1019">
        <v>1017</v>
      </c>
      <c r="B1019" t="s">
        <v>20</v>
      </c>
      <c r="C1019">
        <v>65</v>
      </c>
      <c r="D1019">
        <v>6</v>
      </c>
      <c r="E1019" t="s">
        <v>147</v>
      </c>
      <c r="F1019" t="s">
        <v>148</v>
      </c>
      <c r="G1019">
        <v>27</v>
      </c>
      <c r="H1019">
        <v>2</v>
      </c>
      <c r="I1019">
        <v>27060000</v>
      </c>
      <c r="J1019">
        <v>1103</v>
      </c>
      <c r="K1019">
        <v>0</v>
      </c>
      <c r="L1019">
        <v>14119</v>
      </c>
      <c r="M1019">
        <v>13.608017</v>
      </c>
      <c r="N1019">
        <v>102.6026</v>
      </c>
      <c r="O1019">
        <v>0.05</v>
      </c>
      <c r="P1019">
        <v>6.16</v>
      </c>
      <c r="Q1019">
        <v>0</v>
      </c>
      <c r="R1019">
        <v>10.18</v>
      </c>
      <c r="S1019">
        <v>0.99</v>
      </c>
      <c r="T1019">
        <v>10</v>
      </c>
      <c r="U1019">
        <v>5.28</v>
      </c>
      <c r="V1019">
        <v>6.08</v>
      </c>
      <c r="W1019">
        <v>0</v>
      </c>
      <c r="X1019">
        <v>28566.272691999999</v>
      </c>
      <c r="Y1019">
        <v>17613610.307799999</v>
      </c>
    </row>
    <row r="1020" spans="1:25" x14ac:dyDescent="0.55000000000000004">
      <c r="A1020">
        <v>1018</v>
      </c>
      <c r="B1020" t="s">
        <v>20</v>
      </c>
      <c r="C1020">
        <v>65</v>
      </c>
      <c r="D1020">
        <v>6</v>
      </c>
      <c r="E1020" t="s">
        <v>147</v>
      </c>
      <c r="F1020" t="s">
        <v>148</v>
      </c>
      <c r="G1020">
        <v>27</v>
      </c>
      <c r="H1020">
        <v>2</v>
      </c>
      <c r="I1020">
        <v>27060000</v>
      </c>
      <c r="J1020">
        <v>1107</v>
      </c>
      <c r="K1020">
        <v>0</v>
      </c>
      <c r="L1020">
        <v>14478</v>
      </c>
      <c r="M1020">
        <v>13.850304</v>
      </c>
      <c r="N1020">
        <v>102.51946</v>
      </c>
      <c r="O1020">
        <v>0.06</v>
      </c>
      <c r="P1020">
        <v>7.0000000000000007E-2</v>
      </c>
      <c r="Q1020">
        <v>0.15</v>
      </c>
      <c r="R1020">
        <v>0</v>
      </c>
      <c r="S1020">
        <v>5.87</v>
      </c>
      <c r="T1020">
        <v>8.4</v>
      </c>
      <c r="U1020">
        <v>0.13</v>
      </c>
      <c r="V1020">
        <v>0</v>
      </c>
      <c r="W1020">
        <v>0</v>
      </c>
      <c r="X1020">
        <v>29218.872863000001</v>
      </c>
      <c r="Y1020">
        <v>45908510.7632</v>
      </c>
    </row>
    <row r="1021" spans="1:25" x14ac:dyDescent="0.55000000000000004">
      <c r="A1021">
        <v>1019</v>
      </c>
      <c r="B1021" t="s">
        <v>20</v>
      </c>
      <c r="C1021">
        <v>65</v>
      </c>
      <c r="D1021">
        <v>6</v>
      </c>
      <c r="E1021" t="s">
        <v>147</v>
      </c>
      <c r="F1021" t="s">
        <v>148</v>
      </c>
      <c r="G1021">
        <v>27</v>
      </c>
      <c r="H1021">
        <v>2</v>
      </c>
      <c r="I1021">
        <v>27060000</v>
      </c>
      <c r="J1021">
        <v>1108</v>
      </c>
      <c r="K1021">
        <v>0</v>
      </c>
      <c r="L1021">
        <v>14358</v>
      </c>
      <c r="M1021">
        <v>13.769569000000001</v>
      </c>
      <c r="N1021">
        <v>102.51946</v>
      </c>
      <c r="O1021">
        <v>0.02</v>
      </c>
      <c r="P1021">
        <v>0.04</v>
      </c>
      <c r="Q1021">
        <v>0.04</v>
      </c>
      <c r="R1021">
        <v>0</v>
      </c>
      <c r="S1021">
        <v>24.51</v>
      </c>
      <c r="T1021">
        <v>46.849997999999999</v>
      </c>
      <c r="U1021">
        <v>0.05</v>
      </c>
      <c r="V1021">
        <v>0</v>
      </c>
      <c r="W1021">
        <v>0</v>
      </c>
      <c r="X1021">
        <v>35898.839748999999</v>
      </c>
      <c r="Y1021">
        <v>80544612.619900003</v>
      </c>
    </row>
    <row r="1022" spans="1:25" x14ac:dyDescent="0.55000000000000004">
      <c r="A1022">
        <v>1020</v>
      </c>
      <c r="B1022" t="s">
        <v>20</v>
      </c>
      <c r="C1022">
        <v>65</v>
      </c>
      <c r="D1022">
        <v>6</v>
      </c>
      <c r="E1022" t="s">
        <v>147</v>
      </c>
      <c r="F1022" t="s">
        <v>148</v>
      </c>
      <c r="G1022">
        <v>27</v>
      </c>
      <c r="H1022">
        <v>2</v>
      </c>
      <c r="I1022">
        <v>27060000</v>
      </c>
      <c r="J1022">
        <v>1109</v>
      </c>
      <c r="K1022">
        <v>0</v>
      </c>
      <c r="L1022">
        <v>14359</v>
      </c>
      <c r="M1022">
        <v>13.769569000000001</v>
      </c>
      <c r="N1022">
        <v>102.6026</v>
      </c>
      <c r="O1022">
        <v>0.02</v>
      </c>
      <c r="P1022">
        <v>0.01</v>
      </c>
      <c r="Q1022">
        <v>0.01</v>
      </c>
      <c r="R1022">
        <v>0</v>
      </c>
      <c r="S1022">
        <v>5.07</v>
      </c>
      <c r="T1022">
        <v>45.860000999999997</v>
      </c>
      <c r="U1022">
        <v>0.05</v>
      </c>
      <c r="V1022">
        <v>0</v>
      </c>
      <c r="W1022">
        <v>0</v>
      </c>
      <c r="X1022">
        <v>33247.631253</v>
      </c>
      <c r="Y1022">
        <v>55734525.858499996</v>
      </c>
    </row>
    <row r="1023" spans="1:25" x14ac:dyDescent="0.55000000000000004">
      <c r="A1023">
        <v>1021</v>
      </c>
      <c r="B1023" t="s">
        <v>20</v>
      </c>
      <c r="C1023">
        <v>65</v>
      </c>
      <c r="D1023">
        <v>6</v>
      </c>
      <c r="E1023" t="s">
        <v>147</v>
      </c>
      <c r="F1023" t="s">
        <v>148</v>
      </c>
      <c r="G1023">
        <v>27</v>
      </c>
      <c r="H1023">
        <v>2</v>
      </c>
      <c r="I1023">
        <v>27060000</v>
      </c>
      <c r="J1023">
        <v>1111</v>
      </c>
      <c r="K1023">
        <v>0</v>
      </c>
      <c r="L1023">
        <v>14360</v>
      </c>
      <c r="M1023">
        <v>13.769569000000001</v>
      </c>
      <c r="N1023">
        <v>102.68574</v>
      </c>
      <c r="O1023">
        <v>0</v>
      </c>
      <c r="P1023">
        <v>0</v>
      </c>
      <c r="Q1023">
        <v>0.01</v>
      </c>
      <c r="R1023">
        <v>0</v>
      </c>
      <c r="S1023">
        <v>0.05</v>
      </c>
      <c r="T1023">
        <v>16.549999</v>
      </c>
      <c r="U1023">
        <v>0.06</v>
      </c>
      <c r="V1023">
        <v>0</v>
      </c>
      <c r="W1023">
        <v>0</v>
      </c>
      <c r="X1023">
        <v>4629.7259430000004</v>
      </c>
      <c r="Y1023">
        <v>1105353.1214099999</v>
      </c>
    </row>
    <row r="1024" spans="1:25" x14ac:dyDescent="0.55000000000000004">
      <c r="A1024">
        <v>1022</v>
      </c>
      <c r="B1024" t="s">
        <v>20</v>
      </c>
      <c r="C1024">
        <v>66</v>
      </c>
      <c r="D1024">
        <v>7</v>
      </c>
      <c r="E1024" t="s">
        <v>149</v>
      </c>
      <c r="F1024" t="s">
        <v>150</v>
      </c>
      <c r="G1024">
        <v>27</v>
      </c>
      <c r="H1024">
        <v>2</v>
      </c>
      <c r="I1024">
        <v>27070000</v>
      </c>
      <c r="J1024">
        <v>773</v>
      </c>
      <c r="K1024">
        <v>0</v>
      </c>
      <c r="L1024">
        <v>13870</v>
      </c>
      <c r="M1024">
        <v>13.446358</v>
      </c>
      <c r="N1024">
        <v>101.85438000000001</v>
      </c>
      <c r="O1024">
        <v>1.38</v>
      </c>
      <c r="P1024">
        <v>0.03</v>
      </c>
      <c r="Q1024">
        <v>7.0000000000000007E-2</v>
      </c>
      <c r="R1024">
        <v>0</v>
      </c>
      <c r="S1024">
        <v>0.02</v>
      </c>
      <c r="T1024">
        <v>6.81</v>
      </c>
      <c r="U1024">
        <v>22.530000999999999</v>
      </c>
      <c r="V1024">
        <v>0.3</v>
      </c>
      <c r="W1024">
        <v>0</v>
      </c>
      <c r="X1024">
        <v>5354.5777129999997</v>
      </c>
      <c r="Y1024">
        <v>1542428.8049000001</v>
      </c>
    </row>
    <row r="1025" spans="1:25" x14ac:dyDescent="0.55000000000000004">
      <c r="A1025">
        <v>1023</v>
      </c>
      <c r="B1025" t="s">
        <v>20</v>
      </c>
      <c r="C1025">
        <v>66</v>
      </c>
      <c r="D1025">
        <v>7</v>
      </c>
      <c r="E1025" t="s">
        <v>149</v>
      </c>
      <c r="F1025" t="s">
        <v>150</v>
      </c>
      <c r="G1025">
        <v>27</v>
      </c>
      <c r="H1025">
        <v>2</v>
      </c>
      <c r="I1025">
        <v>27070000</v>
      </c>
      <c r="J1025">
        <v>801</v>
      </c>
      <c r="K1025">
        <v>0</v>
      </c>
      <c r="L1025">
        <v>13990</v>
      </c>
      <c r="M1025">
        <v>13.527199</v>
      </c>
      <c r="N1025">
        <v>101.85438000000001</v>
      </c>
      <c r="O1025">
        <v>0.01</v>
      </c>
      <c r="P1025">
        <v>0.32</v>
      </c>
      <c r="Q1025">
        <v>0.1</v>
      </c>
      <c r="R1025">
        <v>0.01</v>
      </c>
      <c r="S1025">
        <v>0</v>
      </c>
      <c r="T1025">
        <v>9.67</v>
      </c>
      <c r="U1025">
        <v>20.43</v>
      </c>
      <c r="V1025">
        <v>0.44</v>
      </c>
      <c r="W1025">
        <v>0</v>
      </c>
      <c r="X1025">
        <v>16821.310802</v>
      </c>
      <c r="Y1025">
        <v>6559767.6622500001</v>
      </c>
    </row>
    <row r="1026" spans="1:25" x14ac:dyDescent="0.55000000000000004">
      <c r="A1026">
        <v>1024</v>
      </c>
      <c r="B1026" t="s">
        <v>20</v>
      </c>
      <c r="C1026">
        <v>66</v>
      </c>
      <c r="D1026">
        <v>7</v>
      </c>
      <c r="E1026" t="s">
        <v>149</v>
      </c>
      <c r="F1026" t="s">
        <v>150</v>
      </c>
      <c r="G1026">
        <v>27</v>
      </c>
      <c r="H1026">
        <v>2</v>
      </c>
      <c r="I1026">
        <v>27070000</v>
      </c>
      <c r="J1026">
        <v>985</v>
      </c>
      <c r="K1026">
        <v>0</v>
      </c>
      <c r="L1026">
        <v>13871</v>
      </c>
      <c r="M1026">
        <v>13.446358</v>
      </c>
      <c r="N1026">
        <v>101.93751</v>
      </c>
      <c r="O1026">
        <v>1.22</v>
      </c>
      <c r="P1026">
        <v>0.04</v>
      </c>
      <c r="Q1026">
        <v>0.22</v>
      </c>
      <c r="R1026">
        <v>0.02</v>
      </c>
      <c r="S1026">
        <v>0.19</v>
      </c>
      <c r="T1026">
        <v>8.06</v>
      </c>
      <c r="U1026">
        <v>31.709999</v>
      </c>
      <c r="V1026">
        <v>0</v>
      </c>
      <c r="W1026">
        <v>0</v>
      </c>
      <c r="X1026">
        <v>12131.704834</v>
      </c>
      <c r="Y1026">
        <v>6337582.87378</v>
      </c>
    </row>
    <row r="1027" spans="1:25" x14ac:dyDescent="0.55000000000000004">
      <c r="A1027">
        <v>1025</v>
      </c>
      <c r="B1027" t="s">
        <v>20</v>
      </c>
      <c r="C1027">
        <v>66</v>
      </c>
      <c r="D1027">
        <v>7</v>
      </c>
      <c r="E1027" t="s">
        <v>149</v>
      </c>
      <c r="F1027" t="s">
        <v>150</v>
      </c>
      <c r="G1027">
        <v>27</v>
      </c>
      <c r="H1027">
        <v>2</v>
      </c>
      <c r="I1027">
        <v>27070000</v>
      </c>
      <c r="J1027">
        <v>1011</v>
      </c>
      <c r="K1027">
        <v>0</v>
      </c>
      <c r="L1027">
        <v>13992</v>
      </c>
      <c r="M1027">
        <v>13.527199</v>
      </c>
      <c r="N1027">
        <v>102.020645</v>
      </c>
      <c r="O1027">
        <v>0.1</v>
      </c>
      <c r="P1027">
        <v>0.43</v>
      </c>
      <c r="Q1027">
        <v>0.54</v>
      </c>
      <c r="R1027">
        <v>0.01</v>
      </c>
      <c r="S1027">
        <v>0.47</v>
      </c>
      <c r="T1027">
        <v>2.2400000000000002</v>
      </c>
      <c r="U1027">
        <v>17.700001</v>
      </c>
      <c r="V1027">
        <v>0</v>
      </c>
      <c r="W1027">
        <v>0.38</v>
      </c>
      <c r="X1027">
        <v>21794.376569</v>
      </c>
      <c r="Y1027">
        <v>11326420.8957</v>
      </c>
    </row>
    <row r="1028" spans="1:25" x14ac:dyDescent="0.55000000000000004">
      <c r="A1028">
        <v>1026</v>
      </c>
      <c r="B1028" t="s">
        <v>20</v>
      </c>
      <c r="C1028">
        <v>66</v>
      </c>
      <c r="D1028">
        <v>7</v>
      </c>
      <c r="E1028" t="s">
        <v>149</v>
      </c>
      <c r="F1028" t="s">
        <v>150</v>
      </c>
      <c r="G1028">
        <v>27</v>
      </c>
      <c r="H1028">
        <v>2</v>
      </c>
      <c r="I1028">
        <v>27070000</v>
      </c>
      <c r="J1028">
        <v>1013</v>
      </c>
      <c r="K1028">
        <v>0</v>
      </c>
      <c r="L1028">
        <v>14112</v>
      </c>
      <c r="M1028">
        <v>13.608017</v>
      </c>
      <c r="N1028">
        <v>102.020645</v>
      </c>
      <c r="O1028">
        <v>0.1</v>
      </c>
      <c r="P1028">
        <v>0.33</v>
      </c>
      <c r="Q1028">
        <v>0.03</v>
      </c>
      <c r="R1028">
        <v>1.47</v>
      </c>
      <c r="S1028">
        <v>0.36</v>
      </c>
      <c r="T1028">
        <v>20.299999</v>
      </c>
      <c r="U1028">
        <v>22.91</v>
      </c>
      <c r="V1028">
        <v>2.8</v>
      </c>
      <c r="W1028">
        <v>0</v>
      </c>
      <c r="X1028">
        <v>36745.404048999997</v>
      </c>
      <c r="Y1028">
        <v>79463104.091900006</v>
      </c>
    </row>
    <row r="1029" spans="1:25" x14ac:dyDescent="0.55000000000000004">
      <c r="A1029">
        <v>1027</v>
      </c>
      <c r="B1029" t="s">
        <v>20</v>
      </c>
      <c r="C1029">
        <v>66</v>
      </c>
      <c r="D1029">
        <v>7</v>
      </c>
      <c r="E1029" t="s">
        <v>149</v>
      </c>
      <c r="F1029" t="s">
        <v>150</v>
      </c>
      <c r="G1029">
        <v>27</v>
      </c>
      <c r="H1029">
        <v>2</v>
      </c>
      <c r="I1029">
        <v>27070000</v>
      </c>
      <c r="J1029">
        <v>1014</v>
      </c>
      <c r="K1029">
        <v>0</v>
      </c>
      <c r="L1029">
        <v>14111</v>
      </c>
      <c r="M1029">
        <v>13.608017</v>
      </c>
      <c r="N1029">
        <v>101.93751</v>
      </c>
      <c r="O1029">
        <v>0.09</v>
      </c>
      <c r="P1029">
        <v>8.0399999999999991</v>
      </c>
      <c r="Q1029">
        <v>0.25</v>
      </c>
      <c r="R1029">
        <v>7.0000000000000007E-2</v>
      </c>
      <c r="S1029">
        <v>0.28000000000000003</v>
      </c>
      <c r="T1029">
        <v>7.13</v>
      </c>
      <c r="U1029">
        <v>39.360000999999997</v>
      </c>
      <c r="V1029">
        <v>0.01</v>
      </c>
      <c r="W1029">
        <v>0</v>
      </c>
      <c r="X1029">
        <v>33992.761749999998</v>
      </c>
      <c r="Y1029">
        <v>53157952.827200003</v>
      </c>
    </row>
    <row r="1030" spans="1:25" x14ac:dyDescent="0.55000000000000004">
      <c r="A1030">
        <v>1028</v>
      </c>
      <c r="B1030" t="s">
        <v>20</v>
      </c>
      <c r="C1030">
        <v>66</v>
      </c>
      <c r="D1030">
        <v>7</v>
      </c>
      <c r="E1030" t="s">
        <v>149</v>
      </c>
      <c r="F1030" t="s">
        <v>150</v>
      </c>
      <c r="G1030">
        <v>27</v>
      </c>
      <c r="H1030">
        <v>2</v>
      </c>
      <c r="I1030">
        <v>27070000</v>
      </c>
      <c r="J1030">
        <v>1015</v>
      </c>
      <c r="K1030">
        <v>0</v>
      </c>
      <c r="L1030">
        <v>14232</v>
      </c>
      <c r="M1030">
        <v>13.688805</v>
      </c>
      <c r="N1030">
        <v>102.020645</v>
      </c>
      <c r="O1030">
        <v>3.21</v>
      </c>
      <c r="P1030">
        <v>1.53</v>
      </c>
      <c r="Q1030">
        <v>0.02</v>
      </c>
      <c r="R1030">
        <v>3.89</v>
      </c>
      <c r="S1030">
        <v>0.03</v>
      </c>
      <c r="T1030">
        <v>36.689999</v>
      </c>
      <c r="U1030">
        <v>13.03</v>
      </c>
      <c r="V1030">
        <v>0</v>
      </c>
      <c r="W1030">
        <v>0</v>
      </c>
      <c r="X1030">
        <v>37325.191841</v>
      </c>
      <c r="Y1030">
        <v>62148244.397600003</v>
      </c>
    </row>
    <row r="1031" spans="1:25" x14ac:dyDescent="0.55000000000000004">
      <c r="A1031">
        <v>1029</v>
      </c>
      <c r="B1031" t="s">
        <v>20</v>
      </c>
      <c r="C1031">
        <v>66</v>
      </c>
      <c r="D1031">
        <v>7</v>
      </c>
      <c r="E1031" t="s">
        <v>149</v>
      </c>
      <c r="F1031" t="s">
        <v>150</v>
      </c>
      <c r="G1031">
        <v>27</v>
      </c>
      <c r="H1031">
        <v>2</v>
      </c>
      <c r="I1031">
        <v>27070000</v>
      </c>
      <c r="J1031">
        <v>1016</v>
      </c>
      <c r="K1031">
        <v>0</v>
      </c>
      <c r="L1031">
        <v>13991</v>
      </c>
      <c r="M1031">
        <v>13.527199</v>
      </c>
      <c r="N1031">
        <v>101.93751</v>
      </c>
      <c r="O1031">
        <v>0.01</v>
      </c>
      <c r="P1031">
        <v>0</v>
      </c>
      <c r="Q1031">
        <v>0.02</v>
      </c>
      <c r="R1031">
        <v>0.12</v>
      </c>
      <c r="S1031">
        <v>0.01</v>
      </c>
      <c r="T1031">
        <v>7.56</v>
      </c>
      <c r="U1031">
        <v>13.65</v>
      </c>
      <c r="V1031">
        <v>0</v>
      </c>
      <c r="W1031">
        <v>0.02</v>
      </c>
      <c r="X1031">
        <v>34109.069691999997</v>
      </c>
      <c r="Y1031">
        <v>69216366.239399999</v>
      </c>
    </row>
    <row r="1032" spans="1:25" x14ac:dyDescent="0.55000000000000004">
      <c r="A1032">
        <v>1030</v>
      </c>
      <c r="B1032" t="s">
        <v>20</v>
      </c>
      <c r="C1032">
        <v>66</v>
      </c>
      <c r="D1032">
        <v>7</v>
      </c>
      <c r="E1032" t="s">
        <v>149</v>
      </c>
      <c r="F1032" t="s">
        <v>150</v>
      </c>
      <c r="G1032">
        <v>27</v>
      </c>
      <c r="H1032">
        <v>2</v>
      </c>
      <c r="I1032">
        <v>27070000</v>
      </c>
      <c r="J1032">
        <v>1019</v>
      </c>
      <c r="K1032">
        <v>0</v>
      </c>
      <c r="L1032">
        <v>14113</v>
      </c>
      <c r="M1032">
        <v>13.608017</v>
      </c>
      <c r="N1032">
        <v>102.10378</v>
      </c>
      <c r="O1032">
        <v>0.08</v>
      </c>
      <c r="P1032">
        <v>1.46</v>
      </c>
      <c r="Q1032">
        <v>0.3</v>
      </c>
      <c r="R1032">
        <v>0.93</v>
      </c>
      <c r="S1032">
        <v>0.04</v>
      </c>
      <c r="T1032">
        <v>8.18</v>
      </c>
      <c r="U1032">
        <v>12.27</v>
      </c>
      <c r="V1032">
        <v>1.4</v>
      </c>
      <c r="W1032">
        <v>0.03</v>
      </c>
      <c r="X1032">
        <v>38301.445239000001</v>
      </c>
      <c r="Y1032">
        <v>25977960.373599999</v>
      </c>
    </row>
    <row r="1033" spans="1:25" x14ac:dyDescent="0.55000000000000004">
      <c r="A1033">
        <v>1031</v>
      </c>
      <c r="B1033" t="s">
        <v>20</v>
      </c>
      <c r="C1033">
        <v>66</v>
      </c>
      <c r="D1033">
        <v>7</v>
      </c>
      <c r="E1033" t="s">
        <v>149</v>
      </c>
      <c r="F1033" t="s">
        <v>150</v>
      </c>
      <c r="G1033">
        <v>27</v>
      </c>
      <c r="H1033">
        <v>2</v>
      </c>
      <c r="I1033">
        <v>27070000</v>
      </c>
      <c r="J1033">
        <v>1020</v>
      </c>
      <c r="K1033">
        <v>0</v>
      </c>
      <c r="L1033">
        <v>14234</v>
      </c>
      <c r="M1033">
        <v>13.688805</v>
      </c>
      <c r="N1033">
        <v>102.18692</v>
      </c>
      <c r="O1033">
        <v>0.06</v>
      </c>
      <c r="P1033">
        <v>7.0000000000000007E-2</v>
      </c>
      <c r="Q1033">
        <v>0.45</v>
      </c>
      <c r="R1033">
        <v>1.38</v>
      </c>
      <c r="S1033">
        <v>0.04</v>
      </c>
      <c r="T1033">
        <v>4.1500000000000004</v>
      </c>
      <c r="U1033">
        <v>14.32</v>
      </c>
      <c r="V1033">
        <v>0</v>
      </c>
      <c r="W1033">
        <v>0</v>
      </c>
      <c r="X1033">
        <v>27638.443034</v>
      </c>
      <c r="Y1033">
        <v>14527004.419600001</v>
      </c>
    </row>
    <row r="1034" spans="1:25" x14ac:dyDescent="0.55000000000000004">
      <c r="A1034">
        <v>1032</v>
      </c>
      <c r="B1034" t="s">
        <v>20</v>
      </c>
      <c r="C1034">
        <v>66</v>
      </c>
      <c r="D1034">
        <v>7</v>
      </c>
      <c r="E1034" t="s">
        <v>149</v>
      </c>
      <c r="F1034" t="s">
        <v>150</v>
      </c>
      <c r="G1034">
        <v>27</v>
      </c>
      <c r="H1034">
        <v>2</v>
      </c>
      <c r="I1034">
        <v>27070000</v>
      </c>
      <c r="J1034">
        <v>1021</v>
      </c>
      <c r="K1034">
        <v>0</v>
      </c>
      <c r="L1034">
        <v>14233</v>
      </c>
      <c r="M1034">
        <v>13.688805</v>
      </c>
      <c r="N1034">
        <v>102.10378</v>
      </c>
      <c r="O1034">
        <v>2.66</v>
      </c>
      <c r="P1034">
        <v>0.09</v>
      </c>
      <c r="Q1034">
        <v>7.0000000000000007E-2</v>
      </c>
      <c r="R1034">
        <v>4.74</v>
      </c>
      <c r="S1034">
        <v>0.08</v>
      </c>
      <c r="T1034">
        <v>17.200001</v>
      </c>
      <c r="U1034">
        <v>8.41</v>
      </c>
      <c r="V1034">
        <v>0</v>
      </c>
      <c r="W1034">
        <v>0</v>
      </c>
      <c r="X1034">
        <v>35418.109817999997</v>
      </c>
      <c r="Y1034">
        <v>74721819.364299998</v>
      </c>
    </row>
    <row r="1035" spans="1:25" x14ac:dyDescent="0.55000000000000004">
      <c r="A1035">
        <v>1033</v>
      </c>
      <c r="B1035" t="s">
        <v>20</v>
      </c>
      <c r="C1035">
        <v>66</v>
      </c>
      <c r="D1035">
        <v>7</v>
      </c>
      <c r="E1035" t="s">
        <v>149</v>
      </c>
      <c r="F1035" t="s">
        <v>150</v>
      </c>
      <c r="G1035">
        <v>27</v>
      </c>
      <c r="H1035">
        <v>2</v>
      </c>
      <c r="I1035">
        <v>27070000</v>
      </c>
      <c r="J1035">
        <v>1022</v>
      </c>
      <c r="K1035">
        <v>0</v>
      </c>
      <c r="L1035">
        <v>14114</v>
      </c>
      <c r="M1035">
        <v>13.608017</v>
      </c>
      <c r="N1035">
        <v>102.18692</v>
      </c>
      <c r="O1035">
        <v>0.21</v>
      </c>
      <c r="P1035">
        <v>3.37</v>
      </c>
      <c r="Q1035">
        <v>0.45</v>
      </c>
      <c r="R1035">
        <v>0.5</v>
      </c>
      <c r="S1035">
        <v>0</v>
      </c>
      <c r="T1035">
        <v>5.94</v>
      </c>
      <c r="U1035">
        <v>6.45</v>
      </c>
      <c r="V1035">
        <v>0</v>
      </c>
      <c r="W1035">
        <v>0.11</v>
      </c>
      <c r="X1035">
        <v>22497.508439000001</v>
      </c>
      <c r="Y1035">
        <v>20107270.939100001</v>
      </c>
    </row>
    <row r="1036" spans="1:25" x14ac:dyDescent="0.55000000000000004">
      <c r="A1036">
        <v>1034</v>
      </c>
      <c r="B1036" t="s">
        <v>20</v>
      </c>
      <c r="C1036">
        <v>66</v>
      </c>
      <c r="D1036">
        <v>7</v>
      </c>
      <c r="E1036" t="s">
        <v>149</v>
      </c>
      <c r="F1036" t="s">
        <v>150</v>
      </c>
      <c r="G1036">
        <v>27</v>
      </c>
      <c r="H1036">
        <v>2</v>
      </c>
      <c r="I1036">
        <v>27070000</v>
      </c>
      <c r="J1036">
        <v>1023</v>
      </c>
      <c r="K1036">
        <v>0</v>
      </c>
      <c r="L1036">
        <v>14231</v>
      </c>
      <c r="M1036">
        <v>13.688805</v>
      </c>
      <c r="N1036">
        <v>101.93751</v>
      </c>
      <c r="O1036">
        <v>0.18</v>
      </c>
      <c r="P1036">
        <v>26.549999</v>
      </c>
      <c r="Q1036">
        <v>1.17</v>
      </c>
      <c r="R1036">
        <v>6.13</v>
      </c>
      <c r="S1036">
        <v>0.02</v>
      </c>
      <c r="T1036">
        <v>36.470001000000003</v>
      </c>
      <c r="U1036">
        <v>22.959999</v>
      </c>
      <c r="V1036">
        <v>0</v>
      </c>
      <c r="W1036">
        <v>0</v>
      </c>
      <c r="X1036">
        <v>17339.597206999999</v>
      </c>
      <c r="Y1036">
        <v>15508958.4932</v>
      </c>
    </row>
    <row r="1037" spans="1:25" x14ac:dyDescent="0.55000000000000004">
      <c r="A1037">
        <v>1035</v>
      </c>
      <c r="B1037" t="s">
        <v>20</v>
      </c>
      <c r="C1037">
        <v>66</v>
      </c>
      <c r="D1037">
        <v>7</v>
      </c>
      <c r="E1037" t="s">
        <v>149</v>
      </c>
      <c r="F1037" t="s">
        <v>150</v>
      </c>
      <c r="G1037">
        <v>27</v>
      </c>
      <c r="H1037">
        <v>2</v>
      </c>
      <c r="I1037">
        <v>27070000</v>
      </c>
      <c r="J1037">
        <v>1024</v>
      </c>
      <c r="K1037">
        <v>0</v>
      </c>
      <c r="L1037">
        <v>14352</v>
      </c>
      <c r="M1037">
        <v>13.769569000000001</v>
      </c>
      <c r="N1037">
        <v>102.020645</v>
      </c>
      <c r="O1037">
        <v>0.32</v>
      </c>
      <c r="P1037">
        <v>0.74</v>
      </c>
      <c r="Q1037">
        <v>0</v>
      </c>
      <c r="R1037">
        <v>0.46</v>
      </c>
      <c r="S1037">
        <v>0</v>
      </c>
      <c r="T1037">
        <v>2.42</v>
      </c>
      <c r="U1037">
        <v>10.09</v>
      </c>
      <c r="V1037">
        <v>0</v>
      </c>
      <c r="W1037">
        <v>0</v>
      </c>
      <c r="X1037">
        <v>8679.3143959999998</v>
      </c>
      <c r="Y1037">
        <v>4421371.5647499999</v>
      </c>
    </row>
    <row r="1038" spans="1:25" x14ac:dyDescent="0.55000000000000004">
      <c r="A1038">
        <v>1036</v>
      </c>
      <c r="B1038" t="s">
        <v>20</v>
      </c>
      <c r="C1038">
        <v>66</v>
      </c>
      <c r="D1038">
        <v>7</v>
      </c>
      <c r="E1038" t="s">
        <v>149</v>
      </c>
      <c r="F1038" t="s">
        <v>150</v>
      </c>
      <c r="G1038">
        <v>27</v>
      </c>
      <c r="H1038">
        <v>2</v>
      </c>
      <c r="I1038">
        <v>27070000</v>
      </c>
      <c r="J1038">
        <v>1030</v>
      </c>
      <c r="K1038">
        <v>0</v>
      </c>
      <c r="L1038">
        <v>14353</v>
      </c>
      <c r="M1038">
        <v>13.769569000000001</v>
      </c>
      <c r="N1038">
        <v>102.10378</v>
      </c>
      <c r="O1038">
        <v>3.34</v>
      </c>
      <c r="P1038">
        <v>6.91</v>
      </c>
      <c r="Q1038">
        <v>7.0000000000000007E-2</v>
      </c>
      <c r="R1038">
        <v>2.14</v>
      </c>
      <c r="S1038">
        <v>0.38</v>
      </c>
      <c r="T1038">
        <v>2.95</v>
      </c>
      <c r="U1038">
        <v>4.99</v>
      </c>
      <c r="V1038">
        <v>0</v>
      </c>
      <c r="W1038">
        <v>0.01</v>
      </c>
      <c r="X1038">
        <v>25668.969698000001</v>
      </c>
      <c r="Y1038">
        <v>17658330.993299998</v>
      </c>
    </row>
    <row r="1039" spans="1:25" x14ac:dyDescent="0.55000000000000004">
      <c r="A1039">
        <v>1037</v>
      </c>
      <c r="B1039" t="s">
        <v>20</v>
      </c>
      <c r="C1039">
        <v>67</v>
      </c>
      <c r="D1039">
        <v>8</v>
      </c>
      <c r="E1039" t="s">
        <v>151</v>
      </c>
      <c r="F1039" t="s">
        <v>152</v>
      </c>
      <c r="G1039">
        <v>27</v>
      </c>
      <c r="H1039">
        <v>2</v>
      </c>
      <c r="I1039">
        <v>27080000</v>
      </c>
      <c r="J1039">
        <v>1054</v>
      </c>
      <c r="K1039">
        <v>0</v>
      </c>
      <c r="L1039">
        <v>14479</v>
      </c>
      <c r="M1039">
        <v>13.850304</v>
      </c>
      <c r="N1039">
        <v>102.6026</v>
      </c>
      <c r="O1039">
        <v>0</v>
      </c>
      <c r="P1039">
        <v>0.02</v>
      </c>
      <c r="Q1039">
        <v>0.11</v>
      </c>
      <c r="R1039">
        <v>0</v>
      </c>
      <c r="S1039">
        <v>3.72</v>
      </c>
      <c r="T1039">
        <v>10.82</v>
      </c>
      <c r="U1039">
        <v>0.05</v>
      </c>
      <c r="V1039">
        <v>0</v>
      </c>
      <c r="W1039">
        <v>0</v>
      </c>
      <c r="X1039">
        <v>34520.207857000001</v>
      </c>
      <c r="Y1039">
        <v>77651899.114099994</v>
      </c>
    </row>
    <row r="1040" spans="1:25" x14ac:dyDescent="0.55000000000000004">
      <c r="A1040">
        <v>1038</v>
      </c>
      <c r="B1040" t="s">
        <v>20</v>
      </c>
      <c r="C1040">
        <v>67</v>
      </c>
      <c r="D1040">
        <v>8</v>
      </c>
      <c r="E1040" t="s">
        <v>151</v>
      </c>
      <c r="F1040" t="s">
        <v>152</v>
      </c>
      <c r="G1040">
        <v>27</v>
      </c>
      <c r="H1040">
        <v>2</v>
      </c>
      <c r="I1040">
        <v>27080000</v>
      </c>
      <c r="J1040">
        <v>1107</v>
      </c>
      <c r="K1040">
        <v>0</v>
      </c>
      <c r="L1040">
        <v>14478</v>
      </c>
      <c r="M1040">
        <v>13.850304</v>
      </c>
      <c r="N1040">
        <v>102.51946</v>
      </c>
      <c r="O1040">
        <v>0.06</v>
      </c>
      <c r="P1040">
        <v>7.0000000000000007E-2</v>
      </c>
      <c r="Q1040">
        <v>0.15</v>
      </c>
      <c r="R1040">
        <v>0</v>
      </c>
      <c r="S1040">
        <v>5.87</v>
      </c>
      <c r="T1040">
        <v>8.4</v>
      </c>
      <c r="U1040">
        <v>0.13</v>
      </c>
      <c r="V1040">
        <v>0</v>
      </c>
      <c r="W1040">
        <v>0</v>
      </c>
      <c r="X1040">
        <v>18400.718642</v>
      </c>
      <c r="Y1040">
        <v>12325552.3072</v>
      </c>
    </row>
    <row r="1041" spans="1:25" x14ac:dyDescent="0.55000000000000004">
      <c r="A1041">
        <v>1039</v>
      </c>
      <c r="B1041" t="s">
        <v>20</v>
      </c>
      <c r="C1041">
        <v>67</v>
      </c>
      <c r="D1041">
        <v>8</v>
      </c>
      <c r="E1041" t="s">
        <v>151</v>
      </c>
      <c r="F1041" t="s">
        <v>152</v>
      </c>
      <c r="G1041">
        <v>27</v>
      </c>
      <c r="H1041">
        <v>2</v>
      </c>
      <c r="I1041">
        <v>27080000</v>
      </c>
      <c r="J1041">
        <v>1109</v>
      </c>
      <c r="K1041">
        <v>0</v>
      </c>
      <c r="L1041">
        <v>14359</v>
      </c>
      <c r="M1041">
        <v>13.769569000000001</v>
      </c>
      <c r="N1041">
        <v>102.6026</v>
      </c>
      <c r="O1041">
        <v>0.02</v>
      </c>
      <c r="P1041">
        <v>0.01</v>
      </c>
      <c r="Q1041">
        <v>0.01</v>
      </c>
      <c r="R1041">
        <v>0</v>
      </c>
      <c r="S1041">
        <v>5.07</v>
      </c>
      <c r="T1041">
        <v>45.860000999999997</v>
      </c>
      <c r="U1041">
        <v>0.05</v>
      </c>
      <c r="V1041">
        <v>0</v>
      </c>
      <c r="W1041">
        <v>0</v>
      </c>
      <c r="X1041">
        <v>25647.275274</v>
      </c>
      <c r="Y1041">
        <v>24774004.779599998</v>
      </c>
    </row>
    <row r="1042" spans="1:25" x14ac:dyDescent="0.55000000000000004">
      <c r="A1042">
        <v>1040</v>
      </c>
      <c r="B1042" t="s">
        <v>20</v>
      </c>
      <c r="C1042">
        <v>67</v>
      </c>
      <c r="D1042">
        <v>8</v>
      </c>
      <c r="E1042" t="s">
        <v>151</v>
      </c>
      <c r="F1042" t="s">
        <v>152</v>
      </c>
      <c r="G1042">
        <v>27</v>
      </c>
      <c r="H1042">
        <v>2</v>
      </c>
      <c r="I1042">
        <v>27080000</v>
      </c>
      <c r="J1042">
        <v>1110</v>
      </c>
      <c r="K1042">
        <v>0</v>
      </c>
      <c r="L1042">
        <v>14480</v>
      </c>
      <c r="M1042">
        <v>13.850304</v>
      </c>
      <c r="N1042">
        <v>102.68574</v>
      </c>
      <c r="O1042">
        <v>0</v>
      </c>
      <c r="P1042">
        <v>0.02</v>
      </c>
      <c r="Q1042">
        <v>0.04</v>
      </c>
      <c r="R1042">
        <v>0</v>
      </c>
      <c r="S1042">
        <v>0.11</v>
      </c>
      <c r="T1042">
        <v>8.8000000000000007</v>
      </c>
      <c r="U1042">
        <v>0.86</v>
      </c>
      <c r="V1042">
        <v>0</v>
      </c>
      <c r="W1042">
        <v>0.03</v>
      </c>
      <c r="X1042">
        <v>35409.728195999996</v>
      </c>
      <c r="Y1042">
        <v>80097506.190599993</v>
      </c>
    </row>
    <row r="1043" spans="1:25" x14ac:dyDescent="0.55000000000000004">
      <c r="A1043">
        <v>1041</v>
      </c>
      <c r="B1043" t="s">
        <v>20</v>
      </c>
      <c r="C1043">
        <v>67</v>
      </c>
      <c r="D1043">
        <v>8</v>
      </c>
      <c r="E1043" t="s">
        <v>151</v>
      </c>
      <c r="F1043" t="s">
        <v>152</v>
      </c>
      <c r="G1043">
        <v>27</v>
      </c>
      <c r="H1043">
        <v>2</v>
      </c>
      <c r="I1043">
        <v>27080000</v>
      </c>
      <c r="J1043">
        <v>1111</v>
      </c>
      <c r="K1043">
        <v>0</v>
      </c>
      <c r="L1043">
        <v>14360</v>
      </c>
      <c r="M1043">
        <v>13.769569000000001</v>
      </c>
      <c r="N1043">
        <v>102.68574</v>
      </c>
      <c r="O1043">
        <v>0</v>
      </c>
      <c r="P1043">
        <v>0</v>
      </c>
      <c r="Q1043">
        <v>0.01</v>
      </c>
      <c r="R1043">
        <v>0</v>
      </c>
      <c r="S1043">
        <v>0.05</v>
      </c>
      <c r="T1043">
        <v>16.549999</v>
      </c>
      <c r="U1043">
        <v>0.06</v>
      </c>
      <c r="V1043">
        <v>0</v>
      </c>
      <c r="W1043">
        <v>0</v>
      </c>
      <c r="X1043">
        <v>31217.755352</v>
      </c>
      <c r="Y1043">
        <v>54764582.297399998</v>
      </c>
    </row>
    <row r="1044" spans="1:25" x14ac:dyDescent="0.55000000000000004">
      <c r="A1044">
        <v>1042</v>
      </c>
      <c r="B1044" t="s">
        <v>20</v>
      </c>
      <c r="C1044">
        <v>67</v>
      </c>
      <c r="D1044">
        <v>8</v>
      </c>
      <c r="E1044" t="s">
        <v>151</v>
      </c>
      <c r="F1044" t="s">
        <v>152</v>
      </c>
      <c r="G1044">
        <v>27</v>
      </c>
      <c r="H1044">
        <v>2</v>
      </c>
      <c r="I1044">
        <v>27080000</v>
      </c>
      <c r="J1044">
        <v>1118</v>
      </c>
      <c r="K1044">
        <v>0</v>
      </c>
      <c r="L1044">
        <v>14481</v>
      </c>
      <c r="M1044">
        <v>13.850304</v>
      </c>
      <c r="N1044">
        <v>102.76887000000001</v>
      </c>
      <c r="O1044">
        <v>0</v>
      </c>
      <c r="P1044">
        <v>0</v>
      </c>
      <c r="Q1044">
        <v>0</v>
      </c>
      <c r="R1044">
        <v>0</v>
      </c>
      <c r="S1044">
        <v>0.53</v>
      </c>
      <c r="T1044">
        <v>4.97</v>
      </c>
      <c r="U1044">
        <v>0.69</v>
      </c>
      <c r="V1044">
        <v>0</v>
      </c>
      <c r="W1044">
        <v>0</v>
      </c>
      <c r="X1044">
        <v>19684.402978999999</v>
      </c>
      <c r="Y1044">
        <v>16444633.993899999</v>
      </c>
    </row>
    <row r="1045" spans="1:25" x14ac:dyDescent="0.55000000000000004">
      <c r="A1045">
        <v>1043</v>
      </c>
      <c r="B1045" t="s">
        <v>20</v>
      </c>
      <c r="C1045">
        <v>67</v>
      </c>
      <c r="D1045">
        <v>8</v>
      </c>
      <c r="E1045" t="s">
        <v>151</v>
      </c>
      <c r="F1045" t="s">
        <v>152</v>
      </c>
      <c r="G1045">
        <v>27</v>
      </c>
      <c r="H1045">
        <v>2</v>
      </c>
      <c r="I1045">
        <v>27080000</v>
      </c>
      <c r="J1045">
        <v>1119</v>
      </c>
      <c r="K1045">
        <v>0</v>
      </c>
      <c r="L1045">
        <v>14361</v>
      </c>
      <c r="M1045">
        <v>13.769569000000001</v>
      </c>
      <c r="N1045">
        <v>102.76887000000001</v>
      </c>
      <c r="O1045">
        <v>0</v>
      </c>
      <c r="P1045">
        <v>0.01</v>
      </c>
      <c r="Q1045">
        <v>0</v>
      </c>
      <c r="R1045">
        <v>0</v>
      </c>
      <c r="S1045">
        <v>3.45</v>
      </c>
      <c r="T1045">
        <v>9.77</v>
      </c>
      <c r="U1045">
        <v>0.73</v>
      </c>
      <c r="V1045">
        <v>6.11</v>
      </c>
      <c r="W1045">
        <v>0</v>
      </c>
      <c r="X1045">
        <v>6923.1785380000001</v>
      </c>
      <c r="Y1045">
        <v>1138537.65937</v>
      </c>
    </row>
    <row r="1046" spans="1:25" x14ac:dyDescent="0.55000000000000004">
      <c r="A1046">
        <v>1044</v>
      </c>
      <c r="B1046" t="s">
        <v>20</v>
      </c>
      <c r="C1046">
        <v>67</v>
      </c>
      <c r="D1046">
        <v>8</v>
      </c>
      <c r="E1046" t="s">
        <v>151</v>
      </c>
      <c r="F1046" t="s">
        <v>152</v>
      </c>
      <c r="G1046">
        <v>27</v>
      </c>
      <c r="H1046">
        <v>2</v>
      </c>
      <c r="I1046">
        <v>27080000</v>
      </c>
      <c r="J1046">
        <v>1180</v>
      </c>
      <c r="K1046">
        <v>0</v>
      </c>
      <c r="L1046">
        <v>14598</v>
      </c>
      <c r="M1046">
        <v>13.931006999999999</v>
      </c>
      <c r="N1046">
        <v>102.51946</v>
      </c>
      <c r="O1046">
        <v>0</v>
      </c>
      <c r="P1046">
        <v>0</v>
      </c>
      <c r="Q1046">
        <v>0.01</v>
      </c>
      <c r="R1046">
        <v>0.11</v>
      </c>
      <c r="S1046">
        <v>0.04</v>
      </c>
      <c r="T1046">
        <v>17.190000999999999</v>
      </c>
      <c r="U1046">
        <v>0.97</v>
      </c>
      <c r="V1046">
        <v>0</v>
      </c>
      <c r="W1046">
        <v>0</v>
      </c>
      <c r="X1046">
        <v>18446.977931000001</v>
      </c>
      <c r="Y1046">
        <v>13883992.5419</v>
      </c>
    </row>
    <row r="1047" spans="1:25" x14ac:dyDescent="0.55000000000000004">
      <c r="A1047">
        <v>1045</v>
      </c>
      <c r="B1047" t="s">
        <v>20</v>
      </c>
      <c r="C1047">
        <v>67</v>
      </c>
      <c r="D1047">
        <v>8</v>
      </c>
      <c r="E1047" t="s">
        <v>151</v>
      </c>
      <c r="F1047" t="s">
        <v>152</v>
      </c>
      <c r="G1047">
        <v>27</v>
      </c>
      <c r="H1047">
        <v>2</v>
      </c>
      <c r="I1047">
        <v>27080000</v>
      </c>
      <c r="J1047">
        <v>1230</v>
      </c>
      <c r="K1047">
        <v>0</v>
      </c>
      <c r="L1047">
        <v>14599</v>
      </c>
      <c r="M1047">
        <v>13.931006999999999</v>
      </c>
      <c r="N1047">
        <v>102.6026</v>
      </c>
      <c r="O1047">
        <v>0</v>
      </c>
      <c r="P1047">
        <v>0</v>
      </c>
      <c r="Q1047">
        <v>0</v>
      </c>
      <c r="R1047">
        <v>0.26</v>
      </c>
      <c r="S1047">
        <v>0.02</v>
      </c>
      <c r="T1047">
        <v>17.93</v>
      </c>
      <c r="U1047">
        <v>1.49</v>
      </c>
      <c r="V1047">
        <v>0</v>
      </c>
      <c r="W1047">
        <v>0.04</v>
      </c>
      <c r="X1047">
        <v>28663.296638</v>
      </c>
      <c r="Y1047">
        <v>46745610.605599999</v>
      </c>
    </row>
    <row r="1048" spans="1:25" x14ac:dyDescent="0.55000000000000004">
      <c r="A1048">
        <v>1046</v>
      </c>
      <c r="B1048" t="s">
        <v>20</v>
      </c>
      <c r="C1048">
        <v>67</v>
      </c>
      <c r="D1048">
        <v>8</v>
      </c>
      <c r="E1048" t="s">
        <v>151</v>
      </c>
      <c r="F1048" t="s">
        <v>152</v>
      </c>
      <c r="G1048">
        <v>27</v>
      </c>
      <c r="H1048">
        <v>2</v>
      </c>
      <c r="I1048">
        <v>27080000</v>
      </c>
      <c r="J1048">
        <v>1231</v>
      </c>
      <c r="K1048">
        <v>0</v>
      </c>
      <c r="L1048">
        <v>14600</v>
      </c>
      <c r="M1048">
        <v>13.931006999999999</v>
      </c>
      <c r="N1048">
        <v>102.68574</v>
      </c>
      <c r="O1048">
        <v>0</v>
      </c>
      <c r="P1048">
        <v>0</v>
      </c>
      <c r="Q1048">
        <v>0</v>
      </c>
      <c r="R1048">
        <v>0.05</v>
      </c>
      <c r="S1048">
        <v>0.34</v>
      </c>
      <c r="T1048">
        <v>23.469999000000001</v>
      </c>
      <c r="U1048">
        <v>15.55</v>
      </c>
      <c r="V1048">
        <v>0</v>
      </c>
      <c r="W1048">
        <v>6.52</v>
      </c>
      <c r="X1048">
        <v>30976.325424999999</v>
      </c>
      <c r="Y1048">
        <v>13310844.9312</v>
      </c>
    </row>
    <row r="1049" spans="1:25" x14ac:dyDescent="0.55000000000000004">
      <c r="A1049">
        <v>1047</v>
      </c>
      <c r="B1049" t="s">
        <v>20</v>
      </c>
      <c r="C1049">
        <v>68</v>
      </c>
      <c r="D1049">
        <v>9</v>
      </c>
      <c r="E1049" t="s">
        <v>153</v>
      </c>
      <c r="F1049" t="s">
        <v>154</v>
      </c>
      <c r="G1049">
        <v>27</v>
      </c>
      <c r="H1049">
        <v>2</v>
      </c>
      <c r="I1049">
        <v>27090000</v>
      </c>
      <c r="J1049">
        <v>974</v>
      </c>
      <c r="K1049">
        <v>0</v>
      </c>
      <c r="L1049">
        <v>13632</v>
      </c>
      <c r="M1049">
        <v>13.284592</v>
      </c>
      <c r="N1049">
        <v>102.020645</v>
      </c>
      <c r="O1049">
        <v>6.81</v>
      </c>
      <c r="P1049">
        <v>0.03</v>
      </c>
      <c r="Q1049">
        <v>6.53</v>
      </c>
      <c r="R1049">
        <v>1.18</v>
      </c>
      <c r="S1049">
        <v>9.5399999999999991</v>
      </c>
      <c r="T1049">
        <v>11.76</v>
      </c>
      <c r="U1049">
        <v>20.98</v>
      </c>
      <c r="V1049">
        <v>0.01</v>
      </c>
      <c r="W1049">
        <v>0.21</v>
      </c>
      <c r="X1049">
        <v>32735.626820000001</v>
      </c>
      <c r="Y1049">
        <v>41840088.4516</v>
      </c>
    </row>
    <row r="1050" spans="1:25" x14ac:dyDescent="0.55000000000000004">
      <c r="A1050">
        <v>1048</v>
      </c>
      <c r="B1050" t="s">
        <v>20</v>
      </c>
      <c r="C1050">
        <v>68</v>
      </c>
      <c r="D1050">
        <v>9</v>
      </c>
      <c r="E1050" t="s">
        <v>153</v>
      </c>
      <c r="F1050" t="s">
        <v>154</v>
      </c>
      <c r="G1050">
        <v>27</v>
      </c>
      <c r="H1050">
        <v>2</v>
      </c>
      <c r="I1050">
        <v>27090000</v>
      </c>
      <c r="J1050">
        <v>976</v>
      </c>
      <c r="K1050">
        <v>0</v>
      </c>
      <c r="L1050">
        <v>13512</v>
      </c>
      <c r="M1050">
        <v>13.203666999999999</v>
      </c>
      <c r="N1050">
        <v>102.020645</v>
      </c>
      <c r="O1050">
        <v>18.82</v>
      </c>
      <c r="P1050">
        <v>0.95</v>
      </c>
      <c r="Q1050">
        <v>2.11</v>
      </c>
      <c r="R1050">
        <v>11.88</v>
      </c>
      <c r="S1050">
        <v>42.34</v>
      </c>
      <c r="T1050">
        <v>30.379999000000002</v>
      </c>
      <c r="U1050">
        <v>12.91</v>
      </c>
      <c r="V1050">
        <v>0.02</v>
      </c>
      <c r="W1050">
        <v>0.01</v>
      </c>
      <c r="X1050">
        <v>8374.9180959999994</v>
      </c>
      <c r="Y1050">
        <v>1743710.0894599999</v>
      </c>
    </row>
    <row r="1051" spans="1:25" x14ac:dyDescent="0.55000000000000004">
      <c r="A1051">
        <v>1049</v>
      </c>
      <c r="B1051" t="s">
        <v>20</v>
      </c>
      <c r="C1051">
        <v>68</v>
      </c>
      <c r="D1051">
        <v>9</v>
      </c>
      <c r="E1051" t="s">
        <v>153</v>
      </c>
      <c r="F1051" t="s">
        <v>154</v>
      </c>
      <c r="G1051">
        <v>27</v>
      </c>
      <c r="H1051">
        <v>2</v>
      </c>
      <c r="I1051">
        <v>27090000</v>
      </c>
      <c r="J1051">
        <v>981</v>
      </c>
      <c r="K1051">
        <v>0</v>
      </c>
      <c r="L1051">
        <v>13633</v>
      </c>
      <c r="M1051">
        <v>13.284592</v>
      </c>
      <c r="N1051">
        <v>102.10378</v>
      </c>
      <c r="O1051">
        <v>27.459999</v>
      </c>
      <c r="P1051">
        <v>0.4</v>
      </c>
      <c r="Q1051">
        <v>7.92</v>
      </c>
      <c r="R1051">
        <v>1.1499999999999999</v>
      </c>
      <c r="S1051">
        <v>18.549999</v>
      </c>
      <c r="T1051">
        <v>7.41</v>
      </c>
      <c r="U1051">
        <v>64.010002</v>
      </c>
      <c r="V1051">
        <v>0.44</v>
      </c>
      <c r="W1051">
        <v>1.59</v>
      </c>
      <c r="X1051">
        <v>32765.495505999999</v>
      </c>
      <c r="Y1051">
        <v>45624402.737800002</v>
      </c>
    </row>
    <row r="1052" spans="1:25" x14ac:dyDescent="0.55000000000000004">
      <c r="A1052">
        <v>1050</v>
      </c>
      <c r="B1052" t="s">
        <v>20</v>
      </c>
      <c r="C1052">
        <v>68</v>
      </c>
      <c r="D1052">
        <v>9</v>
      </c>
      <c r="E1052" t="s">
        <v>153</v>
      </c>
      <c r="F1052" t="s">
        <v>154</v>
      </c>
      <c r="G1052">
        <v>27</v>
      </c>
      <c r="H1052">
        <v>2</v>
      </c>
      <c r="I1052">
        <v>27090000</v>
      </c>
      <c r="J1052">
        <v>982</v>
      </c>
      <c r="K1052">
        <v>0</v>
      </c>
      <c r="L1052">
        <v>13752</v>
      </c>
      <c r="M1052">
        <v>13.365479000000001</v>
      </c>
      <c r="N1052">
        <v>102.020645</v>
      </c>
      <c r="O1052">
        <v>1.91</v>
      </c>
      <c r="P1052">
        <v>0.43</v>
      </c>
      <c r="Q1052">
        <v>10.199999999999999</v>
      </c>
      <c r="R1052">
        <v>1.77</v>
      </c>
      <c r="S1052">
        <v>3.01</v>
      </c>
      <c r="T1052">
        <v>8.15</v>
      </c>
      <c r="U1052">
        <v>66.080001999999993</v>
      </c>
      <c r="V1052">
        <v>0.05</v>
      </c>
      <c r="W1052">
        <v>0.1</v>
      </c>
      <c r="X1052">
        <v>35643.889822999998</v>
      </c>
      <c r="Y1052">
        <v>76194239.332399994</v>
      </c>
    </row>
    <row r="1053" spans="1:25" x14ac:dyDescent="0.55000000000000004">
      <c r="A1053">
        <v>1051</v>
      </c>
      <c r="B1053" t="s">
        <v>20</v>
      </c>
      <c r="C1053">
        <v>68</v>
      </c>
      <c r="D1053">
        <v>9</v>
      </c>
      <c r="E1053" t="s">
        <v>153</v>
      </c>
      <c r="F1053" t="s">
        <v>154</v>
      </c>
      <c r="G1053">
        <v>27</v>
      </c>
      <c r="H1053">
        <v>2</v>
      </c>
      <c r="I1053">
        <v>27090000</v>
      </c>
      <c r="J1053">
        <v>983</v>
      </c>
      <c r="K1053">
        <v>0</v>
      </c>
      <c r="L1053">
        <v>13751</v>
      </c>
      <c r="M1053">
        <v>13.365479000000001</v>
      </c>
      <c r="N1053">
        <v>101.93751</v>
      </c>
      <c r="O1053">
        <v>0.75</v>
      </c>
      <c r="P1053">
        <v>0.48</v>
      </c>
      <c r="Q1053">
        <v>0.08</v>
      </c>
      <c r="R1053">
        <v>0.51</v>
      </c>
      <c r="S1053">
        <v>2.91</v>
      </c>
      <c r="T1053">
        <v>5.45</v>
      </c>
      <c r="U1053">
        <v>37.07</v>
      </c>
      <c r="V1053">
        <v>2.42</v>
      </c>
      <c r="W1053">
        <v>0</v>
      </c>
      <c r="X1053">
        <v>5793.5972970000003</v>
      </c>
      <c r="Y1053">
        <v>935066.76147799997</v>
      </c>
    </row>
    <row r="1054" spans="1:25" x14ac:dyDescent="0.55000000000000004">
      <c r="A1054">
        <v>1052</v>
      </c>
      <c r="B1054" t="s">
        <v>20</v>
      </c>
      <c r="C1054">
        <v>68</v>
      </c>
      <c r="D1054">
        <v>9</v>
      </c>
      <c r="E1054" t="s">
        <v>153</v>
      </c>
      <c r="F1054" t="s">
        <v>154</v>
      </c>
      <c r="G1054">
        <v>27</v>
      </c>
      <c r="H1054">
        <v>2</v>
      </c>
      <c r="I1054">
        <v>27090000</v>
      </c>
      <c r="J1054">
        <v>984</v>
      </c>
      <c r="K1054">
        <v>0</v>
      </c>
      <c r="L1054">
        <v>13875</v>
      </c>
      <c r="M1054">
        <v>13.446358</v>
      </c>
      <c r="N1054">
        <v>102.27006</v>
      </c>
      <c r="O1054">
        <v>9.73</v>
      </c>
      <c r="P1054">
        <v>3.23</v>
      </c>
      <c r="Q1054">
        <v>0.01</v>
      </c>
      <c r="R1054">
        <v>13.65</v>
      </c>
      <c r="S1054">
        <v>1.71</v>
      </c>
      <c r="T1054">
        <v>13.83</v>
      </c>
      <c r="U1054">
        <v>7.5</v>
      </c>
      <c r="V1054">
        <v>0.02</v>
      </c>
      <c r="W1054">
        <v>0.02</v>
      </c>
      <c r="X1054">
        <v>16243.741835000001</v>
      </c>
      <c r="Y1054">
        <v>4770667.1672200002</v>
      </c>
    </row>
    <row r="1055" spans="1:25" x14ac:dyDescent="0.55000000000000004">
      <c r="A1055">
        <v>1053</v>
      </c>
      <c r="B1055" t="s">
        <v>20</v>
      </c>
      <c r="C1055">
        <v>68</v>
      </c>
      <c r="D1055">
        <v>9</v>
      </c>
      <c r="E1055" t="s">
        <v>153</v>
      </c>
      <c r="F1055" t="s">
        <v>154</v>
      </c>
      <c r="G1055">
        <v>27</v>
      </c>
      <c r="H1055">
        <v>2</v>
      </c>
      <c r="I1055">
        <v>27090000</v>
      </c>
      <c r="J1055">
        <v>985</v>
      </c>
      <c r="K1055">
        <v>0</v>
      </c>
      <c r="L1055">
        <v>13871</v>
      </c>
      <c r="M1055">
        <v>13.446358</v>
      </c>
      <c r="N1055">
        <v>101.93751</v>
      </c>
      <c r="O1055">
        <v>1.22</v>
      </c>
      <c r="P1055">
        <v>0.04</v>
      </c>
      <c r="Q1055">
        <v>0.22</v>
      </c>
      <c r="R1055">
        <v>0.02</v>
      </c>
      <c r="S1055">
        <v>0.19</v>
      </c>
      <c r="T1055">
        <v>8.06</v>
      </c>
      <c r="U1055">
        <v>31.709999</v>
      </c>
      <c r="V1055">
        <v>0</v>
      </c>
      <c r="W1055">
        <v>0</v>
      </c>
      <c r="X1055">
        <v>1104.828317</v>
      </c>
      <c r="Y1055">
        <v>72882.930963000006</v>
      </c>
    </row>
    <row r="1056" spans="1:25" x14ac:dyDescent="0.55000000000000004">
      <c r="A1056">
        <v>1054</v>
      </c>
      <c r="B1056" t="s">
        <v>20</v>
      </c>
      <c r="C1056">
        <v>68</v>
      </c>
      <c r="D1056">
        <v>9</v>
      </c>
      <c r="E1056" t="s">
        <v>153</v>
      </c>
      <c r="F1056" t="s">
        <v>154</v>
      </c>
      <c r="G1056">
        <v>27</v>
      </c>
      <c r="H1056">
        <v>2</v>
      </c>
      <c r="I1056">
        <v>27090000</v>
      </c>
      <c r="J1056">
        <v>986</v>
      </c>
      <c r="K1056">
        <v>0</v>
      </c>
      <c r="L1056">
        <v>13872</v>
      </c>
      <c r="M1056">
        <v>13.446358</v>
      </c>
      <c r="N1056">
        <v>102.020645</v>
      </c>
      <c r="O1056">
        <v>4.82</v>
      </c>
      <c r="P1056">
        <v>0.28999999999999998</v>
      </c>
      <c r="Q1056">
        <v>0.65</v>
      </c>
      <c r="R1056">
        <v>0.03</v>
      </c>
      <c r="S1056">
        <v>0.22</v>
      </c>
      <c r="T1056">
        <v>5.76</v>
      </c>
      <c r="U1056">
        <v>48.610000999999997</v>
      </c>
      <c r="V1056">
        <v>0.02</v>
      </c>
      <c r="W1056">
        <v>0</v>
      </c>
      <c r="X1056">
        <v>24193.578711999999</v>
      </c>
      <c r="Y1056">
        <v>20610241.1778</v>
      </c>
    </row>
    <row r="1057" spans="1:25" x14ac:dyDescent="0.55000000000000004">
      <c r="A1057">
        <v>1055</v>
      </c>
      <c r="B1057" t="s">
        <v>20</v>
      </c>
      <c r="C1057">
        <v>68</v>
      </c>
      <c r="D1057">
        <v>9</v>
      </c>
      <c r="E1057" t="s">
        <v>153</v>
      </c>
      <c r="F1057" t="s">
        <v>154</v>
      </c>
      <c r="G1057">
        <v>27</v>
      </c>
      <c r="H1057">
        <v>2</v>
      </c>
      <c r="I1057">
        <v>27090000</v>
      </c>
      <c r="J1057">
        <v>988</v>
      </c>
      <c r="K1057">
        <v>0</v>
      </c>
      <c r="L1057">
        <v>13634</v>
      </c>
      <c r="M1057">
        <v>13.284592</v>
      </c>
      <c r="N1057">
        <v>102.18692</v>
      </c>
      <c r="O1057">
        <v>36.889999000000003</v>
      </c>
      <c r="P1057">
        <v>5.94</v>
      </c>
      <c r="Q1057">
        <v>1.1200000000000001</v>
      </c>
      <c r="R1057">
        <v>1.1499999999999999</v>
      </c>
      <c r="S1057">
        <v>1.56</v>
      </c>
      <c r="T1057">
        <v>10.98</v>
      </c>
      <c r="U1057">
        <v>47.57</v>
      </c>
      <c r="V1057">
        <v>0.25</v>
      </c>
      <c r="W1057">
        <v>2.2599999999999998</v>
      </c>
      <c r="X1057">
        <v>32151.151395000001</v>
      </c>
      <c r="Y1057">
        <v>30939917.347199999</v>
      </c>
    </row>
    <row r="1058" spans="1:25" x14ac:dyDescent="0.55000000000000004">
      <c r="A1058">
        <v>1056</v>
      </c>
      <c r="B1058" t="s">
        <v>20</v>
      </c>
      <c r="C1058">
        <v>68</v>
      </c>
      <c r="D1058">
        <v>9</v>
      </c>
      <c r="E1058" t="s">
        <v>153</v>
      </c>
      <c r="F1058" t="s">
        <v>154</v>
      </c>
      <c r="G1058">
        <v>27</v>
      </c>
      <c r="H1058">
        <v>2</v>
      </c>
      <c r="I1058">
        <v>27090000</v>
      </c>
      <c r="J1058">
        <v>989</v>
      </c>
      <c r="K1058">
        <v>0</v>
      </c>
      <c r="L1058">
        <v>13753</v>
      </c>
      <c r="M1058">
        <v>13.365479000000001</v>
      </c>
      <c r="N1058">
        <v>102.10378</v>
      </c>
      <c r="O1058">
        <v>18.84</v>
      </c>
      <c r="P1058">
        <v>0.75</v>
      </c>
      <c r="Q1058">
        <v>11.6</v>
      </c>
      <c r="R1058">
        <v>8.9499999999999993</v>
      </c>
      <c r="S1058">
        <v>7.21</v>
      </c>
      <c r="T1058">
        <v>9.4</v>
      </c>
      <c r="U1058">
        <v>33.549999</v>
      </c>
      <c r="V1058">
        <v>0.01</v>
      </c>
      <c r="W1058">
        <v>7.0000000000000007E-2</v>
      </c>
      <c r="X1058">
        <v>38909.626224</v>
      </c>
      <c r="Y1058">
        <v>79502599.035799995</v>
      </c>
    </row>
    <row r="1059" spans="1:25" x14ac:dyDescent="0.55000000000000004">
      <c r="A1059">
        <v>1057</v>
      </c>
      <c r="B1059" t="s">
        <v>20</v>
      </c>
      <c r="C1059">
        <v>68</v>
      </c>
      <c r="D1059">
        <v>9</v>
      </c>
      <c r="E1059" t="s">
        <v>153</v>
      </c>
      <c r="F1059" t="s">
        <v>154</v>
      </c>
      <c r="G1059">
        <v>27</v>
      </c>
      <c r="H1059">
        <v>2</v>
      </c>
      <c r="I1059">
        <v>27090000</v>
      </c>
      <c r="J1059">
        <v>990</v>
      </c>
      <c r="K1059">
        <v>0</v>
      </c>
      <c r="L1059">
        <v>13874</v>
      </c>
      <c r="M1059">
        <v>13.446358</v>
      </c>
      <c r="N1059">
        <v>102.18692</v>
      </c>
      <c r="O1059">
        <v>9.34</v>
      </c>
      <c r="P1059">
        <v>7.0000000000000007E-2</v>
      </c>
      <c r="Q1059">
        <v>2.4</v>
      </c>
      <c r="R1059">
        <v>16.780000999999999</v>
      </c>
      <c r="S1059">
        <v>7.0000000000000007E-2</v>
      </c>
      <c r="T1059">
        <v>10.64</v>
      </c>
      <c r="U1059">
        <v>20.190000999999999</v>
      </c>
      <c r="V1059">
        <v>0.03</v>
      </c>
      <c r="W1059">
        <v>0.01</v>
      </c>
      <c r="X1059">
        <v>33369.591475000001</v>
      </c>
      <c r="Y1059">
        <v>62650937.894699998</v>
      </c>
    </row>
    <row r="1060" spans="1:25" x14ac:dyDescent="0.55000000000000004">
      <c r="A1060">
        <v>1058</v>
      </c>
      <c r="B1060" t="s">
        <v>20</v>
      </c>
      <c r="C1060">
        <v>68</v>
      </c>
      <c r="D1060">
        <v>9</v>
      </c>
      <c r="E1060" t="s">
        <v>153</v>
      </c>
      <c r="F1060" t="s">
        <v>154</v>
      </c>
      <c r="G1060">
        <v>27</v>
      </c>
      <c r="H1060">
        <v>2</v>
      </c>
      <c r="I1060">
        <v>27090000</v>
      </c>
      <c r="J1060">
        <v>991</v>
      </c>
      <c r="K1060">
        <v>0</v>
      </c>
      <c r="L1060">
        <v>13873</v>
      </c>
      <c r="M1060">
        <v>13.446358</v>
      </c>
      <c r="N1060">
        <v>102.10378</v>
      </c>
      <c r="O1060">
        <v>18.309999000000001</v>
      </c>
      <c r="P1060">
        <v>0.06</v>
      </c>
      <c r="Q1060">
        <v>0.2</v>
      </c>
      <c r="R1060">
        <v>0.15</v>
      </c>
      <c r="S1060">
        <v>0</v>
      </c>
      <c r="T1060">
        <v>2.63</v>
      </c>
      <c r="U1060">
        <v>26.02</v>
      </c>
      <c r="V1060">
        <v>0.22</v>
      </c>
      <c r="W1060">
        <v>0.01</v>
      </c>
      <c r="X1060">
        <v>28728.695518</v>
      </c>
      <c r="Y1060">
        <v>42481458.343000002</v>
      </c>
    </row>
    <row r="1061" spans="1:25" x14ac:dyDescent="0.55000000000000004">
      <c r="A1061">
        <v>1059</v>
      </c>
      <c r="B1061" t="s">
        <v>20</v>
      </c>
      <c r="C1061">
        <v>68</v>
      </c>
      <c r="D1061">
        <v>9</v>
      </c>
      <c r="E1061" t="s">
        <v>153</v>
      </c>
      <c r="F1061" t="s">
        <v>154</v>
      </c>
      <c r="G1061">
        <v>27</v>
      </c>
      <c r="H1061">
        <v>2</v>
      </c>
      <c r="I1061">
        <v>27090000</v>
      </c>
      <c r="J1061">
        <v>992</v>
      </c>
      <c r="K1061">
        <v>0</v>
      </c>
      <c r="L1061">
        <v>13754</v>
      </c>
      <c r="M1061">
        <v>13.365479000000001</v>
      </c>
      <c r="N1061">
        <v>102.18692</v>
      </c>
      <c r="O1061">
        <v>37.389999000000003</v>
      </c>
      <c r="P1061">
        <v>0.16</v>
      </c>
      <c r="Q1061">
        <v>1.21</v>
      </c>
      <c r="R1061">
        <v>3.18</v>
      </c>
      <c r="S1061">
        <v>0.08</v>
      </c>
      <c r="T1061">
        <v>17.600000000000001</v>
      </c>
      <c r="U1061">
        <v>16.170000000000002</v>
      </c>
      <c r="V1061">
        <v>0.02</v>
      </c>
      <c r="W1061">
        <v>7.0000000000000007E-2</v>
      </c>
      <c r="X1061">
        <v>35776.561298000001</v>
      </c>
      <c r="Y1061">
        <v>79001389.659500003</v>
      </c>
    </row>
    <row r="1062" spans="1:25" x14ac:dyDescent="0.55000000000000004">
      <c r="A1062">
        <v>1060</v>
      </c>
      <c r="B1062" t="s">
        <v>20</v>
      </c>
      <c r="C1062">
        <v>68</v>
      </c>
      <c r="D1062">
        <v>9</v>
      </c>
      <c r="E1062" t="s">
        <v>153</v>
      </c>
      <c r="F1062" t="s">
        <v>154</v>
      </c>
      <c r="G1062">
        <v>27</v>
      </c>
      <c r="H1062">
        <v>2</v>
      </c>
      <c r="I1062">
        <v>27090000</v>
      </c>
      <c r="J1062">
        <v>999</v>
      </c>
      <c r="K1062">
        <v>0</v>
      </c>
      <c r="L1062">
        <v>13755</v>
      </c>
      <c r="M1062">
        <v>13.365479000000001</v>
      </c>
      <c r="N1062">
        <v>102.27006</v>
      </c>
      <c r="O1062">
        <v>47.849997999999999</v>
      </c>
      <c r="P1062">
        <v>8.4700000000000006</v>
      </c>
      <c r="Q1062">
        <v>0.52</v>
      </c>
      <c r="R1062">
        <v>1.07</v>
      </c>
      <c r="S1062">
        <v>1.84</v>
      </c>
      <c r="T1062">
        <v>4.96</v>
      </c>
      <c r="U1062">
        <v>9.52</v>
      </c>
      <c r="V1062">
        <v>0.05</v>
      </c>
      <c r="W1062">
        <v>7.0000000000000007E-2</v>
      </c>
      <c r="X1062">
        <v>15972.228005999999</v>
      </c>
      <c r="Y1062">
        <v>8199167.4100900004</v>
      </c>
    </row>
    <row r="1063" spans="1:25" x14ac:dyDescent="0.55000000000000004">
      <c r="A1063">
        <v>1061</v>
      </c>
      <c r="B1063" t="s">
        <v>20</v>
      </c>
      <c r="C1063">
        <v>68</v>
      </c>
      <c r="D1063">
        <v>9</v>
      </c>
      <c r="E1063" t="s">
        <v>153</v>
      </c>
      <c r="F1063" t="s">
        <v>154</v>
      </c>
      <c r="G1063">
        <v>27</v>
      </c>
      <c r="H1063">
        <v>2</v>
      </c>
      <c r="I1063">
        <v>27090000</v>
      </c>
      <c r="J1063">
        <v>1000</v>
      </c>
      <c r="K1063">
        <v>0</v>
      </c>
      <c r="L1063">
        <v>13635</v>
      </c>
      <c r="M1063">
        <v>13.284592</v>
      </c>
      <c r="N1063">
        <v>102.27006</v>
      </c>
      <c r="O1063">
        <v>3.38</v>
      </c>
      <c r="P1063">
        <v>44.349997999999999</v>
      </c>
      <c r="Q1063">
        <v>0.14000000000000001</v>
      </c>
      <c r="R1063">
        <v>0.39</v>
      </c>
      <c r="S1063">
        <v>9.15</v>
      </c>
      <c r="T1063">
        <v>38.68</v>
      </c>
      <c r="U1063">
        <v>15.62</v>
      </c>
      <c r="V1063">
        <v>0.83</v>
      </c>
      <c r="W1063">
        <v>0.31</v>
      </c>
      <c r="X1063">
        <v>32145.295450000001</v>
      </c>
      <c r="Y1063">
        <v>46383188.7707</v>
      </c>
    </row>
    <row r="1064" spans="1:25" x14ac:dyDescent="0.55000000000000004">
      <c r="A1064">
        <v>1062</v>
      </c>
      <c r="B1064" t="s">
        <v>20</v>
      </c>
      <c r="C1064">
        <v>0</v>
      </c>
      <c r="D1064" t="s">
        <v>155</v>
      </c>
      <c r="E1064" t="s">
        <v>156</v>
      </c>
      <c r="F1064" t="s">
        <v>157</v>
      </c>
      <c r="G1064" t="s">
        <v>155</v>
      </c>
      <c r="H1064">
        <v>1</v>
      </c>
      <c r="I1064" t="s">
        <v>155</v>
      </c>
      <c r="J1064">
        <v>724</v>
      </c>
      <c r="K1064">
        <v>0</v>
      </c>
      <c r="L1064">
        <v>14339</v>
      </c>
      <c r="M1064">
        <v>13.769569000000001</v>
      </c>
      <c r="N1064">
        <v>100.93988</v>
      </c>
      <c r="O1064">
        <v>7.61</v>
      </c>
      <c r="P1064">
        <v>0.26</v>
      </c>
      <c r="Q1064">
        <v>37.810001</v>
      </c>
      <c r="R1064">
        <v>0</v>
      </c>
      <c r="S1064">
        <v>0.74</v>
      </c>
      <c r="T1064">
        <v>52.41</v>
      </c>
      <c r="U1064">
        <v>2.73</v>
      </c>
      <c r="V1064">
        <v>0</v>
      </c>
      <c r="W1064">
        <v>0</v>
      </c>
      <c r="X1064">
        <v>2.7665670000000002</v>
      </c>
      <c r="Y1064">
        <v>3.5500000000000002E-3</v>
      </c>
    </row>
    <row r="1065" spans="1:25" x14ac:dyDescent="0.55000000000000004">
      <c r="A1065">
        <v>1063</v>
      </c>
      <c r="B1065" t="s">
        <v>20</v>
      </c>
      <c r="C1065">
        <v>38</v>
      </c>
      <c r="D1065">
        <v>1</v>
      </c>
      <c r="E1065" t="s">
        <v>93</v>
      </c>
      <c r="F1065" t="s">
        <v>94</v>
      </c>
      <c r="G1065">
        <v>24</v>
      </c>
      <c r="H1065">
        <v>2</v>
      </c>
      <c r="I1065">
        <v>24010000</v>
      </c>
      <c r="J1065">
        <v>724</v>
      </c>
      <c r="K1065">
        <v>0</v>
      </c>
      <c r="L1065">
        <v>14339</v>
      </c>
      <c r="M1065">
        <v>13.769569000000001</v>
      </c>
      <c r="N1065">
        <v>100.93988</v>
      </c>
      <c r="O1065">
        <v>7.61</v>
      </c>
      <c r="P1065">
        <v>0.26</v>
      </c>
      <c r="Q1065">
        <v>37.810001</v>
      </c>
      <c r="R1065">
        <v>0</v>
      </c>
      <c r="S1065">
        <v>0.74</v>
      </c>
      <c r="T1065">
        <v>52.41</v>
      </c>
      <c r="U1065">
        <v>2.73</v>
      </c>
      <c r="V1065">
        <v>0</v>
      </c>
      <c r="W1065">
        <v>0</v>
      </c>
      <c r="X1065">
        <v>2.7665670000000002</v>
      </c>
      <c r="Y1065">
        <v>3.5500000000000002E-3</v>
      </c>
    </row>
    <row r="1066" spans="1:25" x14ac:dyDescent="0.55000000000000004">
      <c r="A1066">
        <v>1064</v>
      </c>
      <c r="B1066" t="s">
        <v>20</v>
      </c>
      <c r="C1066">
        <v>0</v>
      </c>
      <c r="D1066" t="s">
        <v>155</v>
      </c>
      <c r="E1066" t="s">
        <v>156</v>
      </c>
      <c r="F1066" t="s">
        <v>157</v>
      </c>
      <c r="G1066" t="s">
        <v>155</v>
      </c>
      <c r="H1066">
        <v>1</v>
      </c>
      <c r="I1066" t="s">
        <v>155</v>
      </c>
      <c r="J1066">
        <v>724</v>
      </c>
      <c r="K1066">
        <v>0</v>
      </c>
      <c r="L1066">
        <v>14339</v>
      </c>
      <c r="M1066">
        <v>13.769569000000001</v>
      </c>
      <c r="N1066">
        <v>100.93988</v>
      </c>
      <c r="O1066">
        <v>7.61</v>
      </c>
      <c r="P1066">
        <v>0.26</v>
      </c>
      <c r="Q1066">
        <v>37.810001</v>
      </c>
      <c r="R1066">
        <v>0</v>
      </c>
      <c r="S1066">
        <v>0.74</v>
      </c>
      <c r="T1066">
        <v>52.41</v>
      </c>
      <c r="U1066">
        <v>2.73</v>
      </c>
      <c r="V1066">
        <v>0</v>
      </c>
      <c r="W1066">
        <v>0</v>
      </c>
      <c r="X1066">
        <v>600.97047099999997</v>
      </c>
      <c r="Y1066">
        <v>0.77263899999999996</v>
      </c>
    </row>
    <row r="1067" spans="1:25" x14ac:dyDescent="0.55000000000000004">
      <c r="A1067">
        <v>1065</v>
      </c>
      <c r="B1067" t="s">
        <v>20</v>
      </c>
      <c r="C1067">
        <v>40</v>
      </c>
      <c r="D1067">
        <v>3</v>
      </c>
      <c r="E1067" t="s">
        <v>97</v>
      </c>
      <c r="F1067" t="s">
        <v>98</v>
      </c>
      <c r="G1067">
        <v>24</v>
      </c>
      <c r="H1067">
        <v>2</v>
      </c>
      <c r="I1067">
        <v>24030000</v>
      </c>
      <c r="J1067">
        <v>724</v>
      </c>
      <c r="K1067">
        <v>0</v>
      </c>
      <c r="L1067">
        <v>14339</v>
      </c>
      <c r="M1067">
        <v>13.769569000000001</v>
      </c>
      <c r="N1067">
        <v>100.93988</v>
      </c>
      <c r="O1067">
        <v>7.61</v>
      </c>
      <c r="P1067">
        <v>0.26</v>
      </c>
      <c r="Q1067">
        <v>37.810001</v>
      </c>
      <c r="R1067">
        <v>0</v>
      </c>
      <c r="S1067">
        <v>0.74</v>
      </c>
      <c r="T1067">
        <v>52.41</v>
      </c>
      <c r="U1067">
        <v>2.73</v>
      </c>
      <c r="V1067">
        <v>0</v>
      </c>
      <c r="W1067">
        <v>0</v>
      </c>
      <c r="X1067">
        <v>600.97047099999997</v>
      </c>
      <c r="Y1067">
        <v>0.77263899999999996</v>
      </c>
    </row>
    <row r="1068" spans="1:25" x14ac:dyDescent="0.55000000000000004">
      <c r="A1068">
        <v>1066</v>
      </c>
      <c r="B1068" t="s">
        <v>20</v>
      </c>
      <c r="C1068">
        <v>0</v>
      </c>
      <c r="D1068" t="s">
        <v>155</v>
      </c>
      <c r="E1068" t="s">
        <v>156</v>
      </c>
      <c r="F1068" t="s">
        <v>157</v>
      </c>
      <c r="G1068" t="s">
        <v>155</v>
      </c>
      <c r="H1068">
        <v>1</v>
      </c>
      <c r="I1068" t="s">
        <v>155</v>
      </c>
      <c r="J1068">
        <v>726</v>
      </c>
      <c r="K1068">
        <v>0</v>
      </c>
      <c r="L1068">
        <v>14459</v>
      </c>
      <c r="M1068">
        <v>13.850304</v>
      </c>
      <c r="N1068">
        <v>100.93988</v>
      </c>
      <c r="O1068">
        <v>1.86</v>
      </c>
      <c r="P1068">
        <v>0</v>
      </c>
      <c r="Q1068">
        <v>62.779998999999997</v>
      </c>
      <c r="R1068">
        <v>0.24</v>
      </c>
      <c r="S1068">
        <v>0.85</v>
      </c>
      <c r="T1068">
        <v>22.469999000000001</v>
      </c>
      <c r="U1068">
        <v>6.77</v>
      </c>
      <c r="V1068">
        <v>0</v>
      </c>
      <c r="W1068">
        <v>0</v>
      </c>
      <c r="X1068">
        <v>43.520060999999998</v>
      </c>
      <c r="Y1068">
        <v>0.25223000000000001</v>
      </c>
    </row>
    <row r="1069" spans="1:25" x14ac:dyDescent="0.55000000000000004">
      <c r="A1069">
        <v>1067</v>
      </c>
      <c r="B1069" t="s">
        <v>20</v>
      </c>
      <c r="C1069">
        <v>40</v>
      </c>
      <c r="D1069">
        <v>3</v>
      </c>
      <c r="E1069" t="s">
        <v>97</v>
      </c>
      <c r="F1069" t="s">
        <v>98</v>
      </c>
      <c r="G1069">
        <v>24</v>
      </c>
      <c r="H1069">
        <v>2</v>
      </c>
      <c r="I1069">
        <v>24030000</v>
      </c>
      <c r="J1069">
        <v>726</v>
      </c>
      <c r="K1069">
        <v>0</v>
      </c>
      <c r="L1069">
        <v>14459</v>
      </c>
      <c r="M1069">
        <v>13.850304</v>
      </c>
      <c r="N1069">
        <v>100.93988</v>
      </c>
      <c r="O1069">
        <v>1.86</v>
      </c>
      <c r="P1069">
        <v>0</v>
      </c>
      <c r="Q1069">
        <v>62.779998999999997</v>
      </c>
      <c r="R1069">
        <v>0.24</v>
      </c>
      <c r="S1069">
        <v>0.85</v>
      </c>
      <c r="T1069">
        <v>22.469999000000001</v>
      </c>
      <c r="U1069">
        <v>6.77</v>
      </c>
      <c r="V1069">
        <v>0</v>
      </c>
      <c r="W1069">
        <v>0</v>
      </c>
      <c r="X1069">
        <v>43.520060999999998</v>
      </c>
      <c r="Y1069">
        <v>0.25223000000000001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1B22-40BB-4415-B32F-6FB4D6B55A33}">
  <dimension ref="A1:AL1069"/>
  <sheetViews>
    <sheetView zoomScale="85" zoomScaleNormal="85" workbookViewId="0">
      <selection sqref="A1:Y1069"/>
    </sheetView>
  </sheetViews>
  <sheetFormatPr defaultRowHeight="24" x14ac:dyDescent="0.55000000000000004"/>
  <cols>
    <col min="1" max="24" width="9" style="1"/>
    <col min="25" max="25" width="12.375" style="1" bestFit="1" customWidth="1"/>
    <col min="27" max="27" width="10.25" bestFit="1" customWidth="1"/>
    <col min="28" max="28" width="14" bestFit="1" customWidth="1"/>
    <col min="29" max="29" width="11.25" bestFit="1" customWidth="1"/>
    <col min="30" max="30" width="15" bestFit="1" customWidth="1"/>
    <col min="31" max="32" width="14" bestFit="1" customWidth="1"/>
    <col min="33" max="36" width="15" bestFit="1" customWidth="1"/>
  </cols>
  <sheetData>
    <row r="1" spans="1:38" x14ac:dyDescent="0.55000000000000004">
      <c r="A1" s="7" t="s">
        <v>222</v>
      </c>
      <c r="B1" s="7" t="s">
        <v>0</v>
      </c>
      <c r="C1" s="7" t="s">
        <v>223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224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226</v>
      </c>
      <c r="Y1" s="7" t="s">
        <v>225</v>
      </c>
      <c r="Z1" t="s">
        <v>167</v>
      </c>
      <c r="AA1" t="s">
        <v>11</v>
      </c>
      <c r="AB1" t="s">
        <v>12</v>
      </c>
      <c r="AC1" t="s">
        <v>13</v>
      </c>
      <c r="AD1" t="s">
        <v>14</v>
      </c>
      <c r="AE1" t="s">
        <v>15</v>
      </c>
      <c r="AF1" t="s">
        <v>16</v>
      </c>
      <c r="AG1" t="s">
        <v>17</v>
      </c>
      <c r="AH1" t="s">
        <v>18</v>
      </c>
      <c r="AI1" t="s">
        <v>19</v>
      </c>
    </row>
    <row r="2" spans="1:38" x14ac:dyDescent="0.55000000000000004">
      <c r="A2" s="1">
        <v>0</v>
      </c>
      <c r="B2" s="1" t="s">
        <v>20</v>
      </c>
      <c r="C2" s="1">
        <v>1</v>
      </c>
      <c r="D2" s="1">
        <v>1</v>
      </c>
      <c r="E2" s="1" t="s">
        <v>21</v>
      </c>
      <c r="F2" s="1" t="s">
        <v>22</v>
      </c>
      <c r="G2" s="1">
        <v>20</v>
      </c>
      <c r="H2" s="1">
        <v>2</v>
      </c>
      <c r="I2" s="1">
        <v>20010000</v>
      </c>
      <c r="J2" s="1">
        <v>678</v>
      </c>
      <c r="K2" s="1">
        <v>0</v>
      </c>
      <c r="L2" s="1">
        <v>13619</v>
      </c>
      <c r="M2" s="1">
        <v>13.284592</v>
      </c>
      <c r="N2" s="1">
        <v>100.93988</v>
      </c>
      <c r="O2" s="1">
        <v>1.52</v>
      </c>
      <c r="P2" s="1">
        <v>1.01</v>
      </c>
      <c r="Q2" s="1">
        <v>0.55000000000000004</v>
      </c>
      <c r="R2" s="1">
        <v>0.2</v>
      </c>
      <c r="S2" s="1">
        <v>2.2999999999999998</v>
      </c>
      <c r="T2" s="1">
        <v>32.520000000000003</v>
      </c>
      <c r="U2" s="1">
        <v>4.99</v>
      </c>
      <c r="V2" s="1">
        <v>1.3</v>
      </c>
      <c r="W2" s="1">
        <v>0</v>
      </c>
      <c r="X2" s="1">
        <v>32984.059328000003</v>
      </c>
      <c r="Y2" s="1">
        <v>61459357.477700002</v>
      </c>
      <c r="Z2" t="str">
        <f>VLOOKUP(G2,'Code Pro'!$A$2:$B$9,2,FALSE)</f>
        <v>จ.ชลบุรี</v>
      </c>
      <c r="AA2" s="8">
        <f>+O2*$Y2</f>
        <v>93418223.366104007</v>
      </c>
      <c r="AB2" s="8">
        <f t="shared" ref="AB2:AG2" si="0">+P2*$Y2</f>
        <v>62073951.052477002</v>
      </c>
      <c r="AC2" s="8">
        <f t="shared" si="0"/>
        <v>33802646.612735003</v>
      </c>
      <c r="AD2" s="8">
        <f t="shared" si="0"/>
        <v>12291871.49554</v>
      </c>
      <c r="AE2" s="8">
        <f t="shared" si="0"/>
        <v>141356522.19870999</v>
      </c>
      <c r="AF2" s="8">
        <f t="shared" si="0"/>
        <v>1998658305.1748042</v>
      </c>
      <c r="AG2" s="8">
        <f t="shared" si="0"/>
        <v>306682193.81372303</v>
      </c>
      <c r="AH2" s="8">
        <f>+V2*$Y2</f>
        <v>79897164.72101</v>
      </c>
      <c r="AI2" s="8">
        <f>+W2*$Y2</f>
        <v>0</v>
      </c>
      <c r="AJ2" s="8"/>
      <c r="AK2" s="8"/>
      <c r="AL2" s="8"/>
    </row>
    <row r="3" spans="1:38" x14ac:dyDescent="0.55000000000000004">
      <c r="A3" s="1">
        <v>1</v>
      </c>
      <c r="B3" s="1" t="s">
        <v>20</v>
      </c>
      <c r="C3" s="1">
        <v>1</v>
      </c>
      <c r="D3" s="1">
        <v>1</v>
      </c>
      <c r="E3" s="1" t="s">
        <v>21</v>
      </c>
      <c r="F3" s="1" t="s">
        <v>22</v>
      </c>
      <c r="G3" s="1">
        <v>20</v>
      </c>
      <c r="H3" s="1">
        <v>2</v>
      </c>
      <c r="I3" s="1">
        <v>20010000</v>
      </c>
      <c r="J3" s="1">
        <v>679</v>
      </c>
      <c r="K3" s="1">
        <v>0</v>
      </c>
      <c r="L3" s="1">
        <v>13618</v>
      </c>
      <c r="M3" s="1">
        <v>13.284592</v>
      </c>
      <c r="N3" s="1">
        <v>100.85674</v>
      </c>
      <c r="O3" s="1">
        <v>1.5</v>
      </c>
      <c r="P3" s="1">
        <v>7.0000000000000007E-2</v>
      </c>
      <c r="Q3" s="1">
        <v>0.54</v>
      </c>
      <c r="R3" s="1">
        <v>1.1499999999999999</v>
      </c>
      <c r="S3" s="1">
        <v>2.2400000000000002</v>
      </c>
      <c r="T3" s="1">
        <v>54.619999</v>
      </c>
      <c r="U3" s="1">
        <v>18.079999999999998</v>
      </c>
      <c r="V3" s="1">
        <v>1.32</v>
      </c>
      <c r="W3" s="1">
        <v>0.03</v>
      </c>
      <c r="X3" s="1">
        <v>532.43568900000002</v>
      </c>
      <c r="Y3" s="1">
        <v>12606.372471999999</v>
      </c>
      <c r="Z3" t="str">
        <f>VLOOKUP(G3,'Code Pro'!$A$2:$B$9,2,FALSE)</f>
        <v>จ.ชลบุรี</v>
      </c>
      <c r="AA3" s="8">
        <f t="shared" ref="AA3:AA66" si="1">+O3*$Y3</f>
        <v>18909.558707999997</v>
      </c>
      <c r="AB3" s="8">
        <f t="shared" ref="AB3:AB66" si="2">+P3*$Y3</f>
        <v>882.44607303999999</v>
      </c>
      <c r="AC3" s="8">
        <f t="shared" ref="AC3:AC66" si="3">+Q3*$Y3</f>
        <v>6807.4411348800004</v>
      </c>
      <c r="AD3" s="8">
        <f t="shared" ref="AD3:AD66" si="4">+R3*$Y3</f>
        <v>14497.328342799998</v>
      </c>
      <c r="AE3" s="8">
        <f t="shared" ref="AE3:AE66" si="5">+S3*$Y3</f>
        <v>28238.27433728</v>
      </c>
      <c r="AF3" s="8">
        <f t="shared" ref="AF3:AF66" si="6">+T3*$Y3</f>
        <v>688560.05181426753</v>
      </c>
      <c r="AG3" s="8">
        <f t="shared" ref="AG3:AG66" si="7">+U3*$Y3</f>
        <v>227923.21429375996</v>
      </c>
      <c r="AH3" s="8">
        <f t="shared" ref="AH3:AH66" si="8">+V3*$Y3</f>
        <v>16640.411663039999</v>
      </c>
      <c r="AI3" s="8">
        <f t="shared" ref="AI3:AI66" si="9">+W3*$Y3</f>
        <v>378.19117415999995</v>
      </c>
    </row>
    <row r="4" spans="1:38" x14ac:dyDescent="0.55000000000000004">
      <c r="A4" s="1">
        <v>2</v>
      </c>
      <c r="B4" s="1" t="s">
        <v>20</v>
      </c>
      <c r="C4" s="1">
        <v>1</v>
      </c>
      <c r="D4" s="1">
        <v>1</v>
      </c>
      <c r="E4" s="1" t="s">
        <v>21</v>
      </c>
      <c r="F4" s="1" t="s">
        <v>22</v>
      </c>
      <c r="G4" s="1">
        <v>20</v>
      </c>
      <c r="H4" s="1">
        <v>2</v>
      </c>
      <c r="I4" s="1">
        <v>20010000</v>
      </c>
      <c r="J4" s="1">
        <v>680</v>
      </c>
      <c r="K4" s="1">
        <v>0</v>
      </c>
      <c r="L4" s="1">
        <v>13499</v>
      </c>
      <c r="M4" s="1">
        <v>13.203666999999999</v>
      </c>
      <c r="N4" s="1">
        <v>100.93988</v>
      </c>
      <c r="O4" s="1">
        <v>0.74</v>
      </c>
      <c r="P4" s="1">
        <v>0.36</v>
      </c>
      <c r="Q4" s="1">
        <v>5.45</v>
      </c>
      <c r="R4" s="1">
        <v>0.65</v>
      </c>
      <c r="S4" s="1">
        <v>0.21</v>
      </c>
      <c r="T4" s="1">
        <v>52.720001000000003</v>
      </c>
      <c r="U4" s="1">
        <v>6.51</v>
      </c>
      <c r="V4" s="1">
        <v>1.78</v>
      </c>
      <c r="W4" s="1">
        <v>2.4</v>
      </c>
      <c r="X4" s="1">
        <v>8386.2691959999993</v>
      </c>
      <c r="Y4" s="1">
        <v>1662760.71897</v>
      </c>
      <c r="Z4" t="str">
        <f>VLOOKUP(G4,'Code Pro'!$A$2:$B$9,2,FALSE)</f>
        <v>จ.ชลบุรี</v>
      </c>
      <c r="AA4" s="8">
        <f t="shared" si="1"/>
        <v>1230442.9320378001</v>
      </c>
      <c r="AB4" s="8">
        <f t="shared" si="2"/>
        <v>598593.85882920003</v>
      </c>
      <c r="AC4" s="8">
        <f t="shared" si="3"/>
        <v>9062045.9183865003</v>
      </c>
      <c r="AD4" s="8">
        <f t="shared" si="4"/>
        <v>1080794.4673305</v>
      </c>
      <c r="AE4" s="8">
        <f t="shared" si="5"/>
        <v>349179.75098369998</v>
      </c>
      <c r="AF4" s="8">
        <f t="shared" si="6"/>
        <v>87660746.766859129</v>
      </c>
      <c r="AG4" s="8">
        <f t="shared" si="7"/>
        <v>10824572.280494699</v>
      </c>
      <c r="AH4" s="8">
        <f t="shared" si="8"/>
        <v>2959714.0797665999</v>
      </c>
      <c r="AI4" s="8">
        <f t="shared" si="9"/>
        <v>3990625.7255279999</v>
      </c>
    </row>
    <row r="5" spans="1:38" x14ac:dyDescent="0.55000000000000004">
      <c r="A5" s="1">
        <v>3</v>
      </c>
      <c r="B5" s="1" t="s">
        <v>20</v>
      </c>
      <c r="C5" s="1">
        <v>1</v>
      </c>
      <c r="D5" s="1">
        <v>1</v>
      </c>
      <c r="E5" s="1" t="s">
        <v>21</v>
      </c>
      <c r="F5" s="1" t="s">
        <v>22</v>
      </c>
      <c r="G5" s="1">
        <v>20</v>
      </c>
      <c r="H5" s="1">
        <v>2</v>
      </c>
      <c r="I5" s="1">
        <v>20010000</v>
      </c>
      <c r="J5" s="1">
        <v>681</v>
      </c>
      <c r="K5" s="1">
        <v>0</v>
      </c>
      <c r="L5" s="1">
        <v>13739</v>
      </c>
      <c r="M5" s="1">
        <v>13.365479000000001</v>
      </c>
      <c r="N5" s="1">
        <v>100.93988</v>
      </c>
      <c r="O5" s="1">
        <v>0</v>
      </c>
      <c r="P5" s="1">
        <v>3.54</v>
      </c>
      <c r="Q5" s="1">
        <v>2.0499999999999998</v>
      </c>
      <c r="R5" s="1">
        <v>2.38</v>
      </c>
      <c r="S5" s="1">
        <v>1.35</v>
      </c>
      <c r="T5" s="1">
        <v>36.060001</v>
      </c>
      <c r="U5" s="1">
        <v>4.55</v>
      </c>
      <c r="V5" s="1">
        <v>0.22</v>
      </c>
      <c r="W5" s="1">
        <v>0</v>
      </c>
      <c r="X5" s="1">
        <v>27386.195509000001</v>
      </c>
      <c r="Y5" s="1">
        <v>16159820.1241</v>
      </c>
      <c r="Z5" t="str">
        <f>VLOOKUP(G5,'Code Pro'!$A$2:$B$9,2,FALSE)</f>
        <v>จ.ชลบุรี</v>
      </c>
      <c r="AA5" s="8">
        <f t="shared" si="1"/>
        <v>0</v>
      </c>
      <c r="AB5" s="8">
        <f t="shared" si="2"/>
        <v>57205763.239313997</v>
      </c>
      <c r="AC5" s="8">
        <f t="shared" si="3"/>
        <v>33127631.254404996</v>
      </c>
      <c r="AD5" s="8">
        <f t="shared" si="4"/>
        <v>38460371.895357996</v>
      </c>
      <c r="AE5" s="8">
        <f t="shared" si="5"/>
        <v>21815757.167535</v>
      </c>
      <c r="AF5" s="8">
        <f t="shared" si="6"/>
        <v>582723129.83486617</v>
      </c>
      <c r="AG5" s="8">
        <f t="shared" si="7"/>
        <v>73527181.564654991</v>
      </c>
      <c r="AH5" s="8">
        <f t="shared" si="8"/>
        <v>3555160.4273020001</v>
      </c>
      <c r="AI5" s="8">
        <f t="shared" si="9"/>
        <v>0</v>
      </c>
    </row>
    <row r="6" spans="1:38" x14ac:dyDescent="0.55000000000000004">
      <c r="A6" s="1">
        <v>4</v>
      </c>
      <c r="B6" s="1" t="s">
        <v>20</v>
      </c>
      <c r="C6" s="1">
        <v>1</v>
      </c>
      <c r="D6" s="1">
        <v>1</v>
      </c>
      <c r="E6" s="1" t="s">
        <v>21</v>
      </c>
      <c r="F6" s="1" t="s">
        <v>22</v>
      </c>
      <c r="G6" s="1">
        <v>20</v>
      </c>
      <c r="H6" s="1">
        <v>2</v>
      </c>
      <c r="I6" s="1">
        <v>20010000</v>
      </c>
      <c r="J6" s="1">
        <v>683</v>
      </c>
      <c r="K6" s="1">
        <v>0</v>
      </c>
      <c r="L6" s="1">
        <v>13741</v>
      </c>
      <c r="M6" s="1">
        <v>13.365479000000001</v>
      </c>
      <c r="N6" s="1">
        <v>101.10615</v>
      </c>
      <c r="O6" s="1">
        <v>0.38</v>
      </c>
      <c r="P6" s="1">
        <v>15.7</v>
      </c>
      <c r="Q6" s="1">
        <v>7.94</v>
      </c>
      <c r="R6" s="1">
        <v>2.33</v>
      </c>
      <c r="S6" s="1">
        <v>0.05</v>
      </c>
      <c r="T6" s="1">
        <v>52.740001999999997</v>
      </c>
      <c r="U6" s="1">
        <v>1.25</v>
      </c>
      <c r="V6" s="1">
        <v>0</v>
      </c>
      <c r="W6" s="1">
        <v>0</v>
      </c>
      <c r="X6" s="1">
        <v>4196.1118180000003</v>
      </c>
      <c r="Y6" s="1">
        <v>339241.31624700001</v>
      </c>
      <c r="Z6" t="str">
        <f>VLOOKUP(G6,'Code Pro'!$A$2:$B$9,2,FALSE)</f>
        <v>จ.ชลบุรี</v>
      </c>
      <c r="AA6" s="8">
        <f t="shared" si="1"/>
        <v>128911.70017386001</v>
      </c>
      <c r="AB6" s="8">
        <f t="shared" si="2"/>
        <v>5326088.6650778996</v>
      </c>
      <c r="AC6" s="8">
        <f t="shared" si="3"/>
        <v>2693576.0510011804</v>
      </c>
      <c r="AD6" s="8">
        <f t="shared" si="4"/>
        <v>790432.26685551007</v>
      </c>
      <c r="AE6" s="8">
        <f t="shared" si="5"/>
        <v>16962.06581235</v>
      </c>
      <c r="AF6" s="8">
        <f t="shared" si="6"/>
        <v>17891587.697349411</v>
      </c>
      <c r="AG6" s="8">
        <f t="shared" si="7"/>
        <v>424051.64530874998</v>
      </c>
      <c r="AH6" s="8">
        <f t="shared" si="8"/>
        <v>0</v>
      </c>
      <c r="AI6" s="8">
        <f t="shared" si="9"/>
        <v>0</v>
      </c>
    </row>
    <row r="7" spans="1:38" x14ac:dyDescent="0.55000000000000004">
      <c r="A7" s="1">
        <v>5</v>
      </c>
      <c r="B7" s="1" t="s">
        <v>20</v>
      </c>
      <c r="C7" s="1">
        <v>1</v>
      </c>
      <c r="D7" s="1">
        <v>1</v>
      </c>
      <c r="E7" s="1" t="s">
        <v>21</v>
      </c>
      <c r="F7" s="1" t="s">
        <v>22</v>
      </c>
      <c r="G7" s="1">
        <v>20</v>
      </c>
      <c r="H7" s="1">
        <v>2</v>
      </c>
      <c r="I7" s="1">
        <v>20010000</v>
      </c>
      <c r="J7" s="1">
        <v>684</v>
      </c>
      <c r="K7" s="1">
        <v>0</v>
      </c>
      <c r="L7" s="1">
        <v>13859</v>
      </c>
      <c r="M7" s="1">
        <v>13.446358</v>
      </c>
      <c r="N7" s="1">
        <v>100.93988</v>
      </c>
      <c r="O7" s="1">
        <v>0.5</v>
      </c>
      <c r="P7" s="1">
        <v>5.71</v>
      </c>
      <c r="Q7" s="1">
        <v>0.03</v>
      </c>
      <c r="R7" s="1">
        <v>5</v>
      </c>
      <c r="S7" s="1">
        <v>5.15</v>
      </c>
      <c r="T7" s="1">
        <v>23.23</v>
      </c>
      <c r="U7" s="1">
        <v>6.55</v>
      </c>
      <c r="V7" s="1">
        <v>0.49</v>
      </c>
      <c r="W7" s="1">
        <v>0</v>
      </c>
      <c r="X7" s="1">
        <v>15834.741339</v>
      </c>
      <c r="Y7" s="1">
        <v>7638855.7024800004</v>
      </c>
      <c r="Z7" t="str">
        <f>VLOOKUP(G7,'Code Pro'!$A$2:$B$9,2,FALSE)</f>
        <v>จ.ชลบุรี</v>
      </c>
      <c r="AA7" s="8">
        <f t="shared" si="1"/>
        <v>3819427.8512400002</v>
      </c>
      <c r="AB7" s="8">
        <f t="shared" si="2"/>
        <v>43617866.061160803</v>
      </c>
      <c r="AC7" s="8">
        <f t="shared" si="3"/>
        <v>229165.67107440002</v>
      </c>
      <c r="AD7" s="8">
        <f t="shared" si="4"/>
        <v>38194278.512400001</v>
      </c>
      <c r="AE7" s="8">
        <f t="shared" si="5"/>
        <v>39340106.867772005</v>
      </c>
      <c r="AF7" s="8">
        <f t="shared" si="6"/>
        <v>177450617.96861041</v>
      </c>
      <c r="AG7" s="8">
        <f t="shared" si="7"/>
        <v>50034504.851244003</v>
      </c>
      <c r="AH7" s="8">
        <f t="shared" si="8"/>
        <v>3743039.2942152</v>
      </c>
      <c r="AI7" s="8">
        <f t="shared" si="9"/>
        <v>0</v>
      </c>
    </row>
    <row r="8" spans="1:38" x14ac:dyDescent="0.55000000000000004">
      <c r="A8" s="1">
        <v>6</v>
      </c>
      <c r="B8" s="1" t="s">
        <v>20</v>
      </c>
      <c r="C8" s="1">
        <v>1</v>
      </c>
      <c r="D8" s="1">
        <v>1</v>
      </c>
      <c r="E8" s="1" t="s">
        <v>21</v>
      </c>
      <c r="F8" s="1" t="s">
        <v>22</v>
      </c>
      <c r="G8" s="1">
        <v>20</v>
      </c>
      <c r="H8" s="1">
        <v>2</v>
      </c>
      <c r="I8" s="1">
        <v>20010000</v>
      </c>
      <c r="J8" s="1">
        <v>692</v>
      </c>
      <c r="K8" s="1">
        <v>0</v>
      </c>
      <c r="L8" s="1">
        <v>13860</v>
      </c>
      <c r="M8" s="1">
        <v>13.446358</v>
      </c>
      <c r="N8" s="1">
        <v>101.02302</v>
      </c>
      <c r="O8" s="1">
        <v>0.03</v>
      </c>
      <c r="P8" s="1">
        <v>41.380001</v>
      </c>
      <c r="Q8" s="1">
        <v>4.1100000000000003</v>
      </c>
      <c r="R8" s="1">
        <v>3.2</v>
      </c>
      <c r="S8" s="1">
        <v>0.97</v>
      </c>
      <c r="T8" s="1">
        <v>44.740001999999997</v>
      </c>
      <c r="U8" s="1">
        <v>5.44</v>
      </c>
      <c r="V8" s="1">
        <v>0</v>
      </c>
      <c r="W8" s="1">
        <v>0</v>
      </c>
      <c r="X8" s="1">
        <v>31336.021411999998</v>
      </c>
      <c r="Y8" s="1">
        <v>39719258.894599997</v>
      </c>
      <c r="Z8" t="str">
        <f>VLOOKUP(G8,'Code Pro'!$A$2:$B$9,2,FALSE)</f>
        <v>จ.ชลบุรี</v>
      </c>
      <c r="AA8" s="8">
        <f t="shared" si="1"/>
        <v>1191577.7668379999</v>
      </c>
      <c r="AB8" s="8">
        <f t="shared" si="2"/>
        <v>1643582972.7778068</v>
      </c>
      <c r="AC8" s="8">
        <f t="shared" si="3"/>
        <v>163246154.056806</v>
      </c>
      <c r="AD8" s="8">
        <f t="shared" si="4"/>
        <v>127101628.46271999</v>
      </c>
      <c r="AE8" s="8">
        <f t="shared" si="5"/>
        <v>38527681.127761997</v>
      </c>
      <c r="AF8" s="8">
        <f t="shared" si="6"/>
        <v>1777039722.3829215</v>
      </c>
      <c r="AG8" s="8">
        <f t="shared" si="7"/>
        <v>216072768.38662401</v>
      </c>
      <c r="AH8" s="8">
        <f t="shared" si="8"/>
        <v>0</v>
      </c>
      <c r="AI8" s="8">
        <f t="shared" si="9"/>
        <v>0</v>
      </c>
    </row>
    <row r="9" spans="1:38" x14ac:dyDescent="0.55000000000000004">
      <c r="A9" s="1">
        <v>7</v>
      </c>
      <c r="B9" s="1" t="s">
        <v>20</v>
      </c>
      <c r="C9" s="1">
        <v>1</v>
      </c>
      <c r="D9" s="1">
        <v>1</v>
      </c>
      <c r="E9" s="1" t="s">
        <v>21</v>
      </c>
      <c r="F9" s="1" t="s">
        <v>22</v>
      </c>
      <c r="G9" s="1">
        <v>20</v>
      </c>
      <c r="H9" s="1">
        <v>2</v>
      </c>
      <c r="I9" s="1">
        <v>20010000</v>
      </c>
      <c r="J9" s="1">
        <v>693</v>
      </c>
      <c r="K9" s="1">
        <v>0</v>
      </c>
      <c r="L9" s="1">
        <v>13740</v>
      </c>
      <c r="M9" s="1">
        <v>13.365479000000001</v>
      </c>
      <c r="N9" s="1">
        <v>101.02302</v>
      </c>
      <c r="O9" s="1">
        <v>1.94</v>
      </c>
      <c r="P9" s="1">
        <v>16.649999999999999</v>
      </c>
      <c r="Q9" s="1">
        <v>16.649999999999999</v>
      </c>
      <c r="R9" s="1">
        <v>6.78</v>
      </c>
      <c r="S9" s="1">
        <v>0.44</v>
      </c>
      <c r="T9" s="1">
        <v>34.099997999999999</v>
      </c>
      <c r="U9" s="1">
        <v>3.39</v>
      </c>
      <c r="V9" s="1">
        <v>0.05</v>
      </c>
      <c r="W9" s="1">
        <v>0</v>
      </c>
      <c r="X9" s="1">
        <v>41937.608686</v>
      </c>
      <c r="Y9" s="1">
        <v>72989892.236699998</v>
      </c>
      <c r="Z9" t="str">
        <f>VLOOKUP(G9,'Code Pro'!$A$2:$B$9,2,FALSE)</f>
        <v>จ.ชลบุรี</v>
      </c>
      <c r="AA9" s="8">
        <f t="shared" si="1"/>
        <v>141600390.93919799</v>
      </c>
      <c r="AB9" s="8">
        <f t="shared" si="2"/>
        <v>1215281705.7410548</v>
      </c>
      <c r="AC9" s="8">
        <f t="shared" si="3"/>
        <v>1215281705.7410548</v>
      </c>
      <c r="AD9" s="8">
        <f t="shared" si="4"/>
        <v>494871469.36482602</v>
      </c>
      <c r="AE9" s="8">
        <f t="shared" si="5"/>
        <v>32115552.584148001</v>
      </c>
      <c r="AF9" s="8">
        <f t="shared" si="6"/>
        <v>2488955179.2916856</v>
      </c>
      <c r="AG9" s="8">
        <f t="shared" si="7"/>
        <v>247435734.68241301</v>
      </c>
      <c r="AH9" s="8">
        <f t="shared" si="8"/>
        <v>3649494.6118350001</v>
      </c>
      <c r="AI9" s="8">
        <f t="shared" si="9"/>
        <v>0</v>
      </c>
    </row>
    <row r="10" spans="1:38" x14ac:dyDescent="0.55000000000000004">
      <c r="A10" s="1">
        <v>8</v>
      </c>
      <c r="B10" s="1" t="s">
        <v>20</v>
      </c>
      <c r="C10" s="1">
        <v>1</v>
      </c>
      <c r="D10" s="1">
        <v>1</v>
      </c>
      <c r="E10" s="1" t="s">
        <v>21</v>
      </c>
      <c r="F10" s="1" t="s">
        <v>22</v>
      </c>
      <c r="G10" s="1">
        <v>20</v>
      </c>
      <c r="H10" s="1">
        <v>2</v>
      </c>
      <c r="I10" s="1">
        <v>20010000</v>
      </c>
      <c r="J10" s="1">
        <v>694</v>
      </c>
      <c r="K10" s="1">
        <v>0</v>
      </c>
      <c r="L10" s="1">
        <v>13621</v>
      </c>
      <c r="M10" s="1">
        <v>13.284592</v>
      </c>
      <c r="N10" s="1">
        <v>101.10615</v>
      </c>
      <c r="O10" s="1">
        <v>0.01</v>
      </c>
      <c r="P10" s="1">
        <v>27.23</v>
      </c>
      <c r="Q10" s="1">
        <v>2.86</v>
      </c>
      <c r="R10" s="1">
        <v>1.07</v>
      </c>
      <c r="S10" s="1">
        <v>0</v>
      </c>
      <c r="T10" s="1">
        <v>25.360001</v>
      </c>
      <c r="U10" s="1">
        <v>1.22</v>
      </c>
      <c r="V10" s="1">
        <v>0.03</v>
      </c>
      <c r="W10" s="1">
        <v>0</v>
      </c>
      <c r="X10" s="1">
        <v>10020.996198999999</v>
      </c>
      <c r="Y10" s="1">
        <v>3033125.3253799998</v>
      </c>
      <c r="Z10" t="str">
        <f>VLOOKUP(G10,'Code Pro'!$A$2:$B$9,2,FALSE)</f>
        <v>จ.ชลบุรี</v>
      </c>
      <c r="AA10" s="8">
        <f t="shared" si="1"/>
        <v>30331.253253799998</v>
      </c>
      <c r="AB10" s="8">
        <f t="shared" si="2"/>
        <v>82592002.610097393</v>
      </c>
      <c r="AC10" s="8">
        <f t="shared" si="3"/>
        <v>8674738.4305868</v>
      </c>
      <c r="AD10" s="8">
        <f t="shared" si="4"/>
        <v>3245444.0981565998</v>
      </c>
      <c r="AE10" s="8">
        <f t="shared" si="5"/>
        <v>0</v>
      </c>
      <c r="AF10" s="8">
        <f t="shared" si="6"/>
        <v>76920061.284762129</v>
      </c>
      <c r="AG10" s="8">
        <f t="shared" si="7"/>
        <v>3700412.8969635996</v>
      </c>
      <c r="AH10" s="8">
        <f t="shared" si="8"/>
        <v>90993.759761399997</v>
      </c>
      <c r="AI10" s="8">
        <f t="shared" si="9"/>
        <v>0</v>
      </c>
    </row>
    <row r="11" spans="1:38" x14ac:dyDescent="0.55000000000000004">
      <c r="A11" s="1">
        <v>9</v>
      </c>
      <c r="B11" s="1" t="s">
        <v>20</v>
      </c>
      <c r="C11" s="1">
        <v>1</v>
      </c>
      <c r="D11" s="1">
        <v>1</v>
      </c>
      <c r="E11" s="1" t="s">
        <v>21</v>
      </c>
      <c r="F11" s="1" t="s">
        <v>22</v>
      </c>
      <c r="G11" s="1">
        <v>20</v>
      </c>
      <c r="H11" s="1">
        <v>2</v>
      </c>
      <c r="I11" s="1">
        <v>20010000</v>
      </c>
      <c r="J11" s="1">
        <v>695</v>
      </c>
      <c r="K11" s="1">
        <v>0</v>
      </c>
      <c r="L11" s="1">
        <v>13620</v>
      </c>
      <c r="M11" s="1">
        <v>13.284592</v>
      </c>
      <c r="N11" s="1">
        <v>101.02302</v>
      </c>
      <c r="O11" s="1">
        <v>2.91</v>
      </c>
      <c r="P11" s="1">
        <v>8.7100000000000009</v>
      </c>
      <c r="Q11" s="1">
        <v>1.0900000000000001</v>
      </c>
      <c r="R11" s="1">
        <v>0.09</v>
      </c>
      <c r="S11" s="1">
        <v>0.45</v>
      </c>
      <c r="T11" s="1">
        <v>35.630001</v>
      </c>
      <c r="U11" s="1">
        <v>1.78</v>
      </c>
      <c r="V11" s="1">
        <v>0.02</v>
      </c>
      <c r="W11" s="1">
        <v>0</v>
      </c>
      <c r="X11" s="1">
        <v>31810.656763999999</v>
      </c>
      <c r="Y11" s="1">
        <v>51942791.685099997</v>
      </c>
      <c r="Z11" t="str">
        <f>VLOOKUP(G11,'Code Pro'!$A$2:$B$9,2,FALSE)</f>
        <v>จ.ชลบุรี</v>
      </c>
      <c r="AA11" s="8">
        <f t="shared" si="1"/>
        <v>151153523.80364099</v>
      </c>
      <c r="AB11" s="8">
        <f t="shared" si="2"/>
        <v>452421715.57722104</v>
      </c>
      <c r="AC11" s="8">
        <f t="shared" si="3"/>
        <v>56617642.936759003</v>
      </c>
      <c r="AD11" s="8">
        <f t="shared" si="4"/>
        <v>4674851.2516589994</v>
      </c>
      <c r="AE11" s="8">
        <f t="shared" si="5"/>
        <v>23374256.258295</v>
      </c>
      <c r="AF11" s="8">
        <f t="shared" si="6"/>
        <v>1850721719.6829045</v>
      </c>
      <c r="AG11" s="8">
        <f t="shared" si="7"/>
        <v>92458169.199478</v>
      </c>
      <c r="AH11" s="8">
        <f t="shared" si="8"/>
        <v>1038855.833702</v>
      </c>
      <c r="AI11" s="8">
        <f t="shared" si="9"/>
        <v>0</v>
      </c>
    </row>
    <row r="12" spans="1:38" x14ac:dyDescent="0.55000000000000004">
      <c r="A12" s="1">
        <v>10</v>
      </c>
      <c r="B12" s="1" t="s">
        <v>20</v>
      </c>
      <c r="C12" s="1">
        <v>1</v>
      </c>
      <c r="D12" s="1">
        <v>1</v>
      </c>
      <c r="E12" s="1" t="s">
        <v>21</v>
      </c>
      <c r="F12" s="1" t="s">
        <v>22</v>
      </c>
      <c r="G12" s="1">
        <v>20</v>
      </c>
      <c r="H12" s="1">
        <v>2</v>
      </c>
      <c r="I12" s="1">
        <v>20010000</v>
      </c>
      <c r="J12" s="1">
        <v>719</v>
      </c>
      <c r="K12" s="1">
        <v>0</v>
      </c>
      <c r="L12" s="1">
        <v>13861</v>
      </c>
      <c r="M12" s="1">
        <v>13.446358</v>
      </c>
      <c r="N12" s="1">
        <v>101.10615</v>
      </c>
      <c r="O12" s="1">
        <v>2.2999999999999998</v>
      </c>
      <c r="P12" s="1">
        <v>43.209999000000003</v>
      </c>
      <c r="Q12" s="1">
        <v>21.57</v>
      </c>
      <c r="R12" s="1">
        <v>5.38</v>
      </c>
      <c r="S12" s="1">
        <v>0.03</v>
      </c>
      <c r="T12" s="1">
        <v>60.759998000000003</v>
      </c>
      <c r="U12" s="1">
        <v>1.86</v>
      </c>
      <c r="V12" s="1">
        <v>0</v>
      </c>
      <c r="W12" s="1">
        <v>0</v>
      </c>
      <c r="X12" s="1">
        <v>3706.4838490000002</v>
      </c>
      <c r="Y12" s="1">
        <v>715966.14457500004</v>
      </c>
      <c r="Z12" t="str">
        <f>VLOOKUP(G12,'Code Pro'!$A$2:$B$9,2,FALSE)</f>
        <v>จ.ชลบุรี</v>
      </c>
      <c r="AA12" s="8">
        <f t="shared" si="1"/>
        <v>1646722.1325224999</v>
      </c>
      <c r="AB12" s="8">
        <f t="shared" si="2"/>
        <v>30936896.391119611</v>
      </c>
      <c r="AC12" s="8">
        <f t="shared" si="3"/>
        <v>15443389.738482751</v>
      </c>
      <c r="AD12" s="8">
        <f t="shared" si="4"/>
        <v>3851897.8578135003</v>
      </c>
      <c r="AE12" s="8">
        <f t="shared" si="5"/>
        <v>21478.98433725</v>
      </c>
      <c r="AF12" s="8">
        <f t="shared" si="6"/>
        <v>43502101.512444712</v>
      </c>
      <c r="AG12" s="8">
        <f t="shared" si="7"/>
        <v>1331697.0289095002</v>
      </c>
      <c r="AH12" s="8">
        <f t="shared" si="8"/>
        <v>0</v>
      </c>
      <c r="AI12" s="8">
        <f t="shared" si="9"/>
        <v>0</v>
      </c>
    </row>
    <row r="13" spans="1:38" x14ac:dyDescent="0.55000000000000004">
      <c r="A13" s="1">
        <v>11</v>
      </c>
      <c r="B13" s="1" t="s">
        <v>20</v>
      </c>
      <c r="C13" s="1">
        <v>2</v>
      </c>
      <c r="D13" s="1">
        <v>2</v>
      </c>
      <c r="E13" s="1" t="s">
        <v>23</v>
      </c>
      <c r="F13" s="1" t="s">
        <v>24</v>
      </c>
      <c r="G13" s="1">
        <v>20</v>
      </c>
      <c r="H13" s="1">
        <v>2</v>
      </c>
      <c r="I13" s="1">
        <v>20020000</v>
      </c>
      <c r="J13" s="1">
        <v>683</v>
      </c>
      <c r="K13" s="1">
        <v>0</v>
      </c>
      <c r="L13" s="1">
        <v>13741</v>
      </c>
      <c r="M13" s="1">
        <v>13.365479000000001</v>
      </c>
      <c r="N13" s="1">
        <v>101.10615</v>
      </c>
      <c r="O13" s="1">
        <v>0.38</v>
      </c>
      <c r="P13" s="1">
        <v>15.7</v>
      </c>
      <c r="Q13" s="1">
        <v>7.94</v>
      </c>
      <c r="R13" s="1">
        <v>2.33</v>
      </c>
      <c r="S13" s="1">
        <v>0.05</v>
      </c>
      <c r="T13" s="1">
        <v>52.740001999999997</v>
      </c>
      <c r="U13" s="1">
        <v>1.25</v>
      </c>
      <c r="V13" s="1">
        <v>0</v>
      </c>
      <c r="W13" s="1">
        <v>0</v>
      </c>
      <c r="X13" s="1">
        <v>40208.174705999998</v>
      </c>
      <c r="Y13" s="1">
        <v>50752081.336199999</v>
      </c>
      <c r="Z13" t="str">
        <f>VLOOKUP(G13,'Code Pro'!$A$2:$B$9,2,FALSE)</f>
        <v>จ.ชลบุรี</v>
      </c>
      <c r="AA13" s="8">
        <f t="shared" si="1"/>
        <v>19285790.907756001</v>
      </c>
      <c r="AB13" s="8">
        <f t="shared" si="2"/>
        <v>796807676.97833991</v>
      </c>
      <c r="AC13" s="8">
        <f t="shared" si="3"/>
        <v>402971525.80942804</v>
      </c>
      <c r="AD13" s="8">
        <f t="shared" si="4"/>
        <v>118252349.513346</v>
      </c>
      <c r="AE13" s="8">
        <f t="shared" si="5"/>
        <v>2537604.0668100002</v>
      </c>
      <c r="AF13" s="8">
        <f t="shared" si="6"/>
        <v>2676664871.1753507</v>
      </c>
      <c r="AG13" s="8">
        <f t="shared" si="7"/>
        <v>63440101.670249999</v>
      </c>
      <c r="AH13" s="8">
        <f t="shared" si="8"/>
        <v>0</v>
      </c>
      <c r="AI13" s="8">
        <f t="shared" si="9"/>
        <v>0</v>
      </c>
    </row>
    <row r="14" spans="1:38" x14ac:dyDescent="0.55000000000000004">
      <c r="A14" s="1">
        <v>12</v>
      </c>
      <c r="B14" s="1" t="s">
        <v>20</v>
      </c>
      <c r="C14" s="1">
        <v>2</v>
      </c>
      <c r="D14" s="1">
        <v>2</v>
      </c>
      <c r="E14" s="1" t="s">
        <v>23</v>
      </c>
      <c r="F14" s="1" t="s">
        <v>24</v>
      </c>
      <c r="G14" s="1">
        <v>20</v>
      </c>
      <c r="H14" s="1">
        <v>2</v>
      </c>
      <c r="I14" s="1">
        <v>20020000</v>
      </c>
      <c r="J14" s="1">
        <v>687</v>
      </c>
      <c r="K14" s="1">
        <v>0</v>
      </c>
      <c r="L14" s="1">
        <v>13500</v>
      </c>
      <c r="M14" s="1">
        <v>13.203666999999999</v>
      </c>
      <c r="N14" s="1">
        <v>101.02302</v>
      </c>
      <c r="O14" s="1">
        <v>0.22</v>
      </c>
      <c r="P14" s="1">
        <v>1.97</v>
      </c>
      <c r="Q14" s="1">
        <v>2.52</v>
      </c>
      <c r="R14" s="1">
        <v>1.0900000000000001</v>
      </c>
      <c r="S14" s="1">
        <v>0</v>
      </c>
      <c r="T14" s="1">
        <v>33.169998</v>
      </c>
      <c r="U14" s="1">
        <v>1.42</v>
      </c>
      <c r="V14" s="1">
        <v>7.0000000000000007E-2</v>
      </c>
      <c r="W14" s="1">
        <v>0</v>
      </c>
      <c r="X14" s="1">
        <v>6046.9664979999998</v>
      </c>
      <c r="Y14" s="1">
        <v>862605.18203200004</v>
      </c>
      <c r="Z14" t="str">
        <f>VLOOKUP(G14,'Code Pro'!$A$2:$B$9,2,FALSE)</f>
        <v>จ.ชลบุรี</v>
      </c>
      <c r="AA14" s="8">
        <f t="shared" si="1"/>
        <v>189773.14004704001</v>
      </c>
      <c r="AB14" s="8">
        <f t="shared" si="2"/>
        <v>1699332.2086030401</v>
      </c>
      <c r="AC14" s="8">
        <f t="shared" si="3"/>
        <v>2173765.0587206399</v>
      </c>
      <c r="AD14" s="8">
        <f t="shared" si="4"/>
        <v>940239.64841488015</v>
      </c>
      <c r="AE14" s="8">
        <f t="shared" si="5"/>
        <v>0</v>
      </c>
      <c r="AF14" s="8">
        <f t="shared" si="6"/>
        <v>28612612.162791077</v>
      </c>
      <c r="AG14" s="8">
        <f t="shared" si="7"/>
        <v>1224899.35848544</v>
      </c>
      <c r="AH14" s="8">
        <f t="shared" si="8"/>
        <v>60382.36274224001</v>
      </c>
      <c r="AI14" s="8">
        <f t="shared" si="9"/>
        <v>0</v>
      </c>
    </row>
    <row r="15" spans="1:38" x14ac:dyDescent="0.55000000000000004">
      <c r="A15" s="1">
        <v>13</v>
      </c>
      <c r="B15" s="1" t="s">
        <v>20</v>
      </c>
      <c r="C15" s="1">
        <v>2</v>
      </c>
      <c r="D15" s="1">
        <v>2</v>
      </c>
      <c r="E15" s="1" t="s">
        <v>23</v>
      </c>
      <c r="F15" s="1" t="s">
        <v>24</v>
      </c>
      <c r="G15" s="1">
        <v>20</v>
      </c>
      <c r="H15" s="1">
        <v>2</v>
      </c>
      <c r="I15" s="1">
        <v>20020000</v>
      </c>
      <c r="J15" s="1">
        <v>688</v>
      </c>
      <c r="K15" s="1">
        <v>0</v>
      </c>
      <c r="L15" s="1">
        <v>13381</v>
      </c>
      <c r="M15" s="1">
        <v>13.122719</v>
      </c>
      <c r="N15" s="1">
        <v>101.10615</v>
      </c>
      <c r="O15" s="1">
        <v>2.12</v>
      </c>
      <c r="P15" s="1">
        <v>0.11</v>
      </c>
      <c r="Q15" s="1">
        <v>8.19</v>
      </c>
      <c r="R15" s="1">
        <v>1.79</v>
      </c>
      <c r="S15" s="1">
        <v>0.17</v>
      </c>
      <c r="T15" s="1">
        <v>91.879997000000003</v>
      </c>
      <c r="U15" s="1">
        <v>2.96</v>
      </c>
      <c r="V15" s="1">
        <v>0.2</v>
      </c>
      <c r="W15" s="1">
        <v>0</v>
      </c>
      <c r="X15" s="1">
        <v>5197.0415380000004</v>
      </c>
      <c r="Y15" s="1">
        <v>781012.65754100005</v>
      </c>
      <c r="Z15" t="str">
        <f>VLOOKUP(G15,'Code Pro'!$A$2:$B$9,2,FALSE)</f>
        <v>จ.ชลบุรี</v>
      </c>
      <c r="AA15" s="8">
        <f t="shared" si="1"/>
        <v>1655746.8339869203</v>
      </c>
      <c r="AB15" s="8">
        <f t="shared" si="2"/>
        <v>85911.39232951001</v>
      </c>
      <c r="AC15" s="8">
        <f t="shared" si="3"/>
        <v>6396493.6652607899</v>
      </c>
      <c r="AD15" s="8">
        <f t="shared" si="4"/>
        <v>1398012.6569983901</v>
      </c>
      <c r="AE15" s="8">
        <f t="shared" si="5"/>
        <v>132772.15178197002</v>
      </c>
      <c r="AF15" s="8">
        <f t="shared" si="6"/>
        <v>71759440.631829113</v>
      </c>
      <c r="AG15" s="8">
        <f t="shared" si="7"/>
        <v>2311797.4663213603</v>
      </c>
      <c r="AH15" s="8">
        <f t="shared" si="8"/>
        <v>156202.53150820002</v>
      </c>
      <c r="AI15" s="8">
        <f t="shared" si="9"/>
        <v>0</v>
      </c>
    </row>
    <row r="16" spans="1:38" x14ac:dyDescent="0.55000000000000004">
      <c r="A16" s="1">
        <v>14</v>
      </c>
      <c r="B16" s="1" t="s">
        <v>20</v>
      </c>
      <c r="C16" s="1">
        <v>2</v>
      </c>
      <c r="D16" s="1">
        <v>2</v>
      </c>
      <c r="E16" s="1" t="s">
        <v>23</v>
      </c>
      <c r="F16" s="1" t="s">
        <v>24</v>
      </c>
      <c r="G16" s="1">
        <v>20</v>
      </c>
      <c r="H16" s="1">
        <v>2</v>
      </c>
      <c r="I16" s="1">
        <v>20020000</v>
      </c>
      <c r="J16" s="1">
        <v>689</v>
      </c>
      <c r="K16" s="1">
        <v>0</v>
      </c>
      <c r="L16" s="1">
        <v>13502</v>
      </c>
      <c r="M16" s="1">
        <v>13.203666999999999</v>
      </c>
      <c r="N16" s="1">
        <v>101.189285</v>
      </c>
      <c r="O16" s="1">
        <v>0.09</v>
      </c>
      <c r="P16" s="1">
        <v>3.11</v>
      </c>
      <c r="Q16" s="1">
        <v>14.83</v>
      </c>
      <c r="R16" s="1">
        <v>24.59</v>
      </c>
      <c r="S16" s="1">
        <v>0</v>
      </c>
      <c r="T16" s="1">
        <v>78.010002</v>
      </c>
      <c r="U16" s="1">
        <v>2.37</v>
      </c>
      <c r="V16" s="1">
        <v>0.9</v>
      </c>
      <c r="W16" s="1">
        <v>0</v>
      </c>
      <c r="X16" s="1">
        <v>35941.963222999999</v>
      </c>
      <c r="Y16" s="1">
        <v>80738223.140100002</v>
      </c>
      <c r="Z16" t="str">
        <f>VLOOKUP(G16,'Code Pro'!$A$2:$B$9,2,FALSE)</f>
        <v>จ.ชลบุรี</v>
      </c>
      <c r="AA16" s="8">
        <f t="shared" si="1"/>
        <v>7266440.0826089997</v>
      </c>
      <c r="AB16" s="8">
        <f t="shared" si="2"/>
        <v>251095873.965711</v>
      </c>
      <c r="AC16" s="8">
        <f t="shared" si="3"/>
        <v>1197347849.1676831</v>
      </c>
      <c r="AD16" s="8">
        <f t="shared" si="4"/>
        <v>1985352907.015059</v>
      </c>
      <c r="AE16" s="8">
        <f t="shared" si="5"/>
        <v>0</v>
      </c>
      <c r="AF16" s="8">
        <f t="shared" si="6"/>
        <v>6298388948.6356478</v>
      </c>
      <c r="AG16" s="8">
        <f t="shared" si="7"/>
        <v>191349588.84203702</v>
      </c>
      <c r="AH16" s="8">
        <f t="shared" si="8"/>
        <v>72664400.826090008</v>
      </c>
      <c r="AI16" s="8">
        <f t="shared" si="9"/>
        <v>0</v>
      </c>
    </row>
    <row r="17" spans="1:35" x14ac:dyDescent="0.55000000000000004">
      <c r="A17" s="1">
        <v>15</v>
      </c>
      <c r="B17" s="1" t="s">
        <v>20</v>
      </c>
      <c r="C17" s="1">
        <v>2</v>
      </c>
      <c r="D17" s="1">
        <v>2</v>
      </c>
      <c r="E17" s="1" t="s">
        <v>23</v>
      </c>
      <c r="F17" s="1" t="s">
        <v>24</v>
      </c>
      <c r="G17" s="1">
        <v>20</v>
      </c>
      <c r="H17" s="1">
        <v>2</v>
      </c>
      <c r="I17" s="1">
        <v>20020000</v>
      </c>
      <c r="J17" s="1">
        <v>690</v>
      </c>
      <c r="K17" s="1">
        <v>0</v>
      </c>
      <c r="L17" s="1">
        <v>13501</v>
      </c>
      <c r="M17" s="1">
        <v>13.203666999999999</v>
      </c>
      <c r="N17" s="1">
        <v>101.10615</v>
      </c>
      <c r="O17" s="1">
        <v>2.27</v>
      </c>
      <c r="P17" s="1">
        <v>0</v>
      </c>
      <c r="Q17" s="1">
        <v>32.360000999999997</v>
      </c>
      <c r="R17" s="1">
        <v>7.44</v>
      </c>
      <c r="S17" s="1">
        <v>0</v>
      </c>
      <c r="T17" s="1">
        <v>71.300003000000004</v>
      </c>
      <c r="U17" s="1">
        <v>0.67</v>
      </c>
      <c r="V17" s="1">
        <v>0.01</v>
      </c>
      <c r="W17" s="1">
        <v>0</v>
      </c>
      <c r="X17" s="1">
        <v>34328.916538999998</v>
      </c>
      <c r="Y17" s="1">
        <v>59513869.592600003</v>
      </c>
      <c r="Z17" t="str">
        <f>VLOOKUP(G17,'Code Pro'!$A$2:$B$9,2,FALSE)</f>
        <v>จ.ชลบุรี</v>
      </c>
      <c r="AA17" s="8">
        <f t="shared" si="1"/>
        <v>135096483.97520199</v>
      </c>
      <c r="AB17" s="8">
        <f t="shared" si="2"/>
        <v>0</v>
      </c>
      <c r="AC17" s="8">
        <f t="shared" si="3"/>
        <v>1925868879.5304055</v>
      </c>
      <c r="AD17" s="8">
        <f t="shared" si="4"/>
        <v>442783189.76894403</v>
      </c>
      <c r="AE17" s="8">
        <f t="shared" si="5"/>
        <v>0</v>
      </c>
      <c r="AF17" s="8">
        <f t="shared" si="6"/>
        <v>4243339080.493989</v>
      </c>
      <c r="AG17" s="8">
        <f t="shared" si="7"/>
        <v>39874292.627042003</v>
      </c>
      <c r="AH17" s="8">
        <f t="shared" si="8"/>
        <v>595138.69592600001</v>
      </c>
      <c r="AI17" s="8">
        <f t="shared" si="9"/>
        <v>0</v>
      </c>
    </row>
    <row r="18" spans="1:35" x14ac:dyDescent="0.55000000000000004">
      <c r="A18" s="1">
        <v>16</v>
      </c>
      <c r="B18" s="1" t="s">
        <v>20</v>
      </c>
      <c r="C18" s="1">
        <v>2</v>
      </c>
      <c r="D18" s="1">
        <v>2</v>
      </c>
      <c r="E18" s="1" t="s">
        <v>23</v>
      </c>
      <c r="F18" s="1" t="s">
        <v>24</v>
      </c>
      <c r="G18" s="1">
        <v>20</v>
      </c>
      <c r="H18" s="1">
        <v>2</v>
      </c>
      <c r="I18" s="1">
        <v>20020000</v>
      </c>
      <c r="J18" s="1">
        <v>691</v>
      </c>
      <c r="K18" s="1">
        <v>0</v>
      </c>
      <c r="L18" s="1">
        <v>13382</v>
      </c>
      <c r="M18" s="1">
        <v>13.122719</v>
      </c>
      <c r="N18" s="1">
        <v>101.189285</v>
      </c>
      <c r="O18" s="1">
        <v>3.57</v>
      </c>
      <c r="P18" s="1">
        <v>0</v>
      </c>
      <c r="Q18" s="1">
        <v>3.4</v>
      </c>
      <c r="R18" s="1">
        <v>1.1299999999999999</v>
      </c>
      <c r="S18" s="1">
        <v>0</v>
      </c>
      <c r="T18" s="1">
        <v>92.800003000000004</v>
      </c>
      <c r="U18" s="1">
        <v>2.93</v>
      </c>
      <c r="V18" s="1">
        <v>8.3699999999999992</v>
      </c>
      <c r="W18" s="1">
        <v>0</v>
      </c>
      <c r="X18" s="1">
        <v>31613.413950999999</v>
      </c>
      <c r="Y18" s="1">
        <v>52013607.299800001</v>
      </c>
      <c r="Z18" t="str">
        <f>VLOOKUP(G18,'Code Pro'!$A$2:$B$9,2,FALSE)</f>
        <v>จ.ชลบุรี</v>
      </c>
      <c r="AA18" s="8">
        <f t="shared" si="1"/>
        <v>185688578.06028599</v>
      </c>
      <c r="AB18" s="8">
        <f t="shared" si="2"/>
        <v>0</v>
      </c>
      <c r="AC18" s="8">
        <f t="shared" si="3"/>
        <v>176846264.81931999</v>
      </c>
      <c r="AD18" s="8">
        <f t="shared" si="4"/>
        <v>58775376.248773992</v>
      </c>
      <c r="AE18" s="8">
        <f t="shared" si="5"/>
        <v>0</v>
      </c>
      <c r="AF18" s="8">
        <f t="shared" si="6"/>
        <v>4826862913.4622622</v>
      </c>
      <c r="AG18" s="8">
        <f t="shared" si="7"/>
        <v>152399869.38841403</v>
      </c>
      <c r="AH18" s="8">
        <f t="shared" si="8"/>
        <v>435353893.09932595</v>
      </c>
      <c r="AI18" s="8">
        <f t="shared" si="9"/>
        <v>0</v>
      </c>
    </row>
    <row r="19" spans="1:35" x14ac:dyDescent="0.55000000000000004">
      <c r="A19" s="1">
        <v>17</v>
      </c>
      <c r="B19" s="1" t="s">
        <v>20</v>
      </c>
      <c r="C19" s="1">
        <v>2</v>
      </c>
      <c r="D19" s="1">
        <v>2</v>
      </c>
      <c r="E19" s="1" t="s">
        <v>23</v>
      </c>
      <c r="F19" s="1" t="s">
        <v>24</v>
      </c>
      <c r="G19" s="1">
        <v>20</v>
      </c>
      <c r="H19" s="1">
        <v>2</v>
      </c>
      <c r="I19" s="1">
        <v>20020000</v>
      </c>
      <c r="J19" s="1">
        <v>693</v>
      </c>
      <c r="K19" s="1">
        <v>0</v>
      </c>
      <c r="L19" s="1">
        <v>13740</v>
      </c>
      <c r="M19" s="1">
        <v>13.365479000000001</v>
      </c>
      <c r="N19" s="1">
        <v>101.02302</v>
      </c>
      <c r="O19" s="1">
        <v>1.94</v>
      </c>
      <c r="P19" s="1">
        <v>16.649999999999999</v>
      </c>
      <c r="Q19" s="1">
        <v>16.649999999999999</v>
      </c>
      <c r="R19" s="1">
        <v>6.78</v>
      </c>
      <c r="S19" s="1">
        <v>0.44</v>
      </c>
      <c r="T19" s="1">
        <v>34.099997999999999</v>
      </c>
      <c r="U19" s="1">
        <v>3.39</v>
      </c>
      <c r="V19" s="1">
        <v>0.05</v>
      </c>
      <c r="W19" s="1">
        <v>0</v>
      </c>
      <c r="X19" s="1">
        <v>16894.057323000001</v>
      </c>
      <c r="Y19" s="1">
        <v>5674352.5573000005</v>
      </c>
      <c r="Z19" t="str">
        <f>VLOOKUP(G19,'Code Pro'!$A$2:$B$9,2,FALSE)</f>
        <v>จ.ชลบุรี</v>
      </c>
      <c r="AA19" s="8">
        <f t="shared" si="1"/>
        <v>11008243.961162001</v>
      </c>
      <c r="AB19" s="8">
        <f t="shared" si="2"/>
        <v>94477970.079044998</v>
      </c>
      <c r="AC19" s="8">
        <f t="shared" si="3"/>
        <v>94477970.079044998</v>
      </c>
      <c r="AD19" s="8">
        <f t="shared" si="4"/>
        <v>38472110.338494003</v>
      </c>
      <c r="AE19" s="8">
        <f t="shared" si="5"/>
        <v>2496715.1252120002</v>
      </c>
      <c r="AF19" s="8">
        <f t="shared" si="6"/>
        <v>193495410.85522491</v>
      </c>
      <c r="AG19" s="8">
        <f t="shared" si="7"/>
        <v>19236055.169247001</v>
      </c>
      <c r="AH19" s="8">
        <f t="shared" si="8"/>
        <v>283717.62786500005</v>
      </c>
      <c r="AI19" s="8">
        <f t="shared" si="9"/>
        <v>0</v>
      </c>
    </row>
    <row r="20" spans="1:35" x14ac:dyDescent="0.55000000000000004">
      <c r="A20" s="1">
        <v>18</v>
      </c>
      <c r="B20" s="1" t="s">
        <v>20</v>
      </c>
      <c r="C20" s="1">
        <v>2</v>
      </c>
      <c r="D20" s="1">
        <v>2</v>
      </c>
      <c r="E20" s="1" t="s">
        <v>23</v>
      </c>
      <c r="F20" s="1" t="s">
        <v>24</v>
      </c>
      <c r="G20" s="1">
        <v>20</v>
      </c>
      <c r="H20" s="1">
        <v>2</v>
      </c>
      <c r="I20" s="1">
        <v>20020000</v>
      </c>
      <c r="J20" s="1">
        <v>694</v>
      </c>
      <c r="K20" s="1">
        <v>0</v>
      </c>
      <c r="L20" s="1">
        <v>13621</v>
      </c>
      <c r="M20" s="1">
        <v>13.284592</v>
      </c>
      <c r="N20" s="1">
        <v>101.10615</v>
      </c>
      <c r="O20" s="1">
        <v>0.01</v>
      </c>
      <c r="P20" s="1">
        <v>27.23</v>
      </c>
      <c r="Q20" s="1">
        <v>2.86</v>
      </c>
      <c r="R20" s="1">
        <v>1.07</v>
      </c>
      <c r="S20" s="1">
        <v>0</v>
      </c>
      <c r="T20" s="1">
        <v>25.360001</v>
      </c>
      <c r="U20" s="1">
        <v>1.22</v>
      </c>
      <c r="V20" s="1">
        <v>0.03</v>
      </c>
      <c r="W20" s="1">
        <v>0</v>
      </c>
      <c r="X20" s="1">
        <v>36279.727752999999</v>
      </c>
      <c r="Y20" s="1">
        <v>77637659.508200005</v>
      </c>
      <c r="Z20" t="str">
        <f>VLOOKUP(G20,'Code Pro'!$A$2:$B$9,2,FALSE)</f>
        <v>จ.ชลบุรี</v>
      </c>
      <c r="AA20" s="8">
        <f t="shared" si="1"/>
        <v>776376.59508200001</v>
      </c>
      <c r="AB20" s="8">
        <f t="shared" si="2"/>
        <v>2114073468.4082861</v>
      </c>
      <c r="AC20" s="8">
        <f t="shared" si="3"/>
        <v>222043706.193452</v>
      </c>
      <c r="AD20" s="8">
        <f t="shared" si="4"/>
        <v>83072295.673774004</v>
      </c>
      <c r="AE20" s="8">
        <f t="shared" si="5"/>
        <v>0</v>
      </c>
      <c r="AF20" s="8">
        <f t="shared" si="6"/>
        <v>1968891122.7656116</v>
      </c>
      <c r="AG20" s="8">
        <f t="shared" si="7"/>
        <v>94717944.600004002</v>
      </c>
      <c r="AH20" s="8">
        <f t="shared" si="8"/>
        <v>2329129.7852460002</v>
      </c>
      <c r="AI20" s="8">
        <f t="shared" si="9"/>
        <v>0</v>
      </c>
    </row>
    <row r="21" spans="1:35" x14ac:dyDescent="0.55000000000000004">
      <c r="A21" s="1">
        <v>19</v>
      </c>
      <c r="B21" s="1" t="s">
        <v>20</v>
      </c>
      <c r="C21" s="1">
        <v>2</v>
      </c>
      <c r="D21" s="1">
        <v>2</v>
      </c>
      <c r="E21" s="1" t="s">
        <v>23</v>
      </c>
      <c r="F21" s="1" t="s">
        <v>24</v>
      </c>
      <c r="G21" s="1">
        <v>20</v>
      </c>
      <c r="H21" s="1">
        <v>2</v>
      </c>
      <c r="I21" s="1">
        <v>20020000</v>
      </c>
      <c r="J21" s="1">
        <v>695</v>
      </c>
      <c r="K21" s="1">
        <v>0</v>
      </c>
      <c r="L21" s="1">
        <v>13620</v>
      </c>
      <c r="M21" s="1">
        <v>13.284592</v>
      </c>
      <c r="N21" s="1">
        <v>101.02302</v>
      </c>
      <c r="O21" s="1">
        <v>2.91</v>
      </c>
      <c r="P21" s="1">
        <v>8.7100000000000009</v>
      </c>
      <c r="Q21" s="1">
        <v>1.0900000000000001</v>
      </c>
      <c r="R21" s="1">
        <v>0.09</v>
      </c>
      <c r="S21" s="1">
        <v>0.45</v>
      </c>
      <c r="T21" s="1">
        <v>35.630001</v>
      </c>
      <c r="U21" s="1">
        <v>1.78</v>
      </c>
      <c r="V21" s="1">
        <v>0.02</v>
      </c>
      <c r="W21" s="1">
        <v>0</v>
      </c>
      <c r="X21" s="1">
        <v>10840.955751</v>
      </c>
      <c r="Y21" s="1">
        <v>3148376.94331</v>
      </c>
      <c r="Z21" t="str">
        <f>VLOOKUP(G21,'Code Pro'!$A$2:$B$9,2,FALSE)</f>
        <v>จ.ชลบุรี</v>
      </c>
      <c r="AA21" s="8">
        <f t="shared" si="1"/>
        <v>9161776.9050321002</v>
      </c>
      <c r="AB21" s="8">
        <f t="shared" si="2"/>
        <v>27422363.176230103</v>
      </c>
      <c r="AC21" s="8">
        <f t="shared" si="3"/>
        <v>3431730.8682079003</v>
      </c>
      <c r="AD21" s="8">
        <f t="shared" si="4"/>
        <v>283353.92489789997</v>
      </c>
      <c r="AE21" s="8">
        <f t="shared" si="5"/>
        <v>1416769.6244895</v>
      </c>
      <c r="AF21" s="8">
        <f t="shared" si="6"/>
        <v>112176673.63851224</v>
      </c>
      <c r="AG21" s="8">
        <f t="shared" si="7"/>
        <v>5604110.9590918003</v>
      </c>
      <c r="AH21" s="8">
        <f t="shared" si="8"/>
        <v>62967.538866200004</v>
      </c>
      <c r="AI21" s="8">
        <f t="shared" si="9"/>
        <v>0</v>
      </c>
    </row>
    <row r="22" spans="1:35" x14ac:dyDescent="0.55000000000000004">
      <c r="A22" s="1">
        <v>20</v>
      </c>
      <c r="B22" s="1" t="s">
        <v>20</v>
      </c>
      <c r="C22" s="1">
        <v>2</v>
      </c>
      <c r="D22" s="1">
        <v>2</v>
      </c>
      <c r="E22" s="1" t="s">
        <v>23</v>
      </c>
      <c r="F22" s="1" t="s">
        <v>24</v>
      </c>
      <c r="G22" s="1">
        <v>20</v>
      </c>
      <c r="H22" s="1">
        <v>2</v>
      </c>
      <c r="I22" s="1">
        <v>20020000</v>
      </c>
      <c r="J22" s="1">
        <v>696</v>
      </c>
      <c r="K22" s="1">
        <v>0</v>
      </c>
      <c r="L22" s="1">
        <v>13622</v>
      </c>
      <c r="M22" s="1">
        <v>13.284592</v>
      </c>
      <c r="N22" s="1">
        <v>101.189285</v>
      </c>
      <c r="O22" s="1">
        <v>0</v>
      </c>
      <c r="P22" s="1">
        <v>0.56000000000000005</v>
      </c>
      <c r="Q22" s="1">
        <v>1.0900000000000001</v>
      </c>
      <c r="R22" s="1">
        <v>3.93</v>
      </c>
      <c r="S22" s="1">
        <v>0</v>
      </c>
      <c r="T22" s="1">
        <v>34.340000000000003</v>
      </c>
      <c r="U22" s="1">
        <v>7.23</v>
      </c>
      <c r="V22" s="1">
        <v>0.01</v>
      </c>
      <c r="W22" s="1">
        <v>0</v>
      </c>
      <c r="X22" s="1">
        <v>35929.355449000002</v>
      </c>
      <c r="Y22" s="1">
        <v>80681579.727599993</v>
      </c>
      <c r="Z22" t="str">
        <f>VLOOKUP(G22,'Code Pro'!$A$2:$B$9,2,FALSE)</f>
        <v>จ.ชลบุรี</v>
      </c>
      <c r="AA22" s="8">
        <f t="shared" si="1"/>
        <v>0</v>
      </c>
      <c r="AB22" s="8">
        <f t="shared" si="2"/>
        <v>45181684.647455998</v>
      </c>
      <c r="AC22" s="8">
        <f t="shared" si="3"/>
        <v>87942921.903083995</v>
      </c>
      <c r="AD22" s="8">
        <f t="shared" si="4"/>
        <v>317078608.32946801</v>
      </c>
      <c r="AE22" s="8">
        <f t="shared" si="5"/>
        <v>0</v>
      </c>
      <c r="AF22" s="8">
        <f t="shared" si="6"/>
        <v>2770605447.8457842</v>
      </c>
      <c r="AG22" s="8">
        <f t="shared" si="7"/>
        <v>583327821.43054795</v>
      </c>
      <c r="AH22" s="8">
        <f t="shared" si="8"/>
        <v>806815.79727599991</v>
      </c>
      <c r="AI22" s="8">
        <f t="shared" si="9"/>
        <v>0</v>
      </c>
    </row>
    <row r="23" spans="1:35" x14ac:dyDescent="0.55000000000000004">
      <c r="A23" s="1">
        <v>21</v>
      </c>
      <c r="B23" s="1" t="s">
        <v>20</v>
      </c>
      <c r="C23" s="1">
        <v>2</v>
      </c>
      <c r="D23" s="1">
        <v>2</v>
      </c>
      <c r="E23" s="1" t="s">
        <v>23</v>
      </c>
      <c r="F23" s="1" t="s">
        <v>24</v>
      </c>
      <c r="G23" s="1">
        <v>20</v>
      </c>
      <c r="H23" s="1">
        <v>2</v>
      </c>
      <c r="I23" s="1">
        <v>20020000</v>
      </c>
      <c r="J23" s="1">
        <v>721</v>
      </c>
      <c r="K23" s="1">
        <v>0</v>
      </c>
      <c r="L23" s="1">
        <v>13742</v>
      </c>
      <c r="M23" s="1">
        <v>13.365479000000001</v>
      </c>
      <c r="N23" s="1">
        <v>101.189285</v>
      </c>
      <c r="O23" s="1">
        <v>0.63</v>
      </c>
      <c r="P23" s="1">
        <v>0.32</v>
      </c>
      <c r="Q23" s="1">
        <v>0.33</v>
      </c>
      <c r="R23" s="1">
        <v>1.3</v>
      </c>
      <c r="S23" s="1">
        <v>0</v>
      </c>
      <c r="T23" s="1">
        <v>40.090000000000003</v>
      </c>
      <c r="U23" s="1">
        <v>2.78</v>
      </c>
      <c r="V23" s="1">
        <v>0</v>
      </c>
      <c r="W23" s="1">
        <v>0</v>
      </c>
      <c r="X23" s="1">
        <v>31367.177658000001</v>
      </c>
      <c r="Y23" s="1">
        <v>35343288.309</v>
      </c>
      <c r="Z23" t="str">
        <f>VLOOKUP(G23,'Code Pro'!$A$2:$B$9,2,FALSE)</f>
        <v>จ.ชลบุรี</v>
      </c>
      <c r="AA23" s="8">
        <f t="shared" si="1"/>
        <v>22266271.634670001</v>
      </c>
      <c r="AB23" s="8">
        <f t="shared" si="2"/>
        <v>11309852.258880001</v>
      </c>
      <c r="AC23" s="8">
        <f t="shared" si="3"/>
        <v>11663285.141970001</v>
      </c>
      <c r="AD23" s="8">
        <f t="shared" si="4"/>
        <v>45946274.801700003</v>
      </c>
      <c r="AE23" s="8">
        <f t="shared" si="5"/>
        <v>0</v>
      </c>
      <c r="AF23" s="8">
        <f t="shared" si="6"/>
        <v>1416912428.3078101</v>
      </c>
      <c r="AG23" s="8">
        <f t="shared" si="7"/>
        <v>98254341.499019995</v>
      </c>
      <c r="AH23" s="8">
        <f t="shared" si="8"/>
        <v>0</v>
      </c>
      <c r="AI23" s="8">
        <f t="shared" si="9"/>
        <v>0</v>
      </c>
    </row>
    <row r="24" spans="1:35" x14ac:dyDescent="0.55000000000000004">
      <c r="A24" s="1">
        <v>22</v>
      </c>
      <c r="B24" s="1" t="s">
        <v>20</v>
      </c>
      <c r="C24" s="1">
        <v>2</v>
      </c>
      <c r="D24" s="1">
        <v>2</v>
      </c>
      <c r="E24" s="1" t="s">
        <v>23</v>
      </c>
      <c r="F24" s="1" t="s">
        <v>24</v>
      </c>
      <c r="G24" s="1">
        <v>20</v>
      </c>
      <c r="H24" s="1">
        <v>2</v>
      </c>
      <c r="I24" s="1">
        <v>20020000</v>
      </c>
      <c r="J24" s="1">
        <v>734</v>
      </c>
      <c r="K24" s="1">
        <v>0</v>
      </c>
      <c r="L24" s="1">
        <v>13383</v>
      </c>
      <c r="M24" s="1">
        <v>13.122719</v>
      </c>
      <c r="N24" s="1">
        <v>101.27242</v>
      </c>
      <c r="O24" s="1">
        <v>3.83</v>
      </c>
      <c r="P24" s="1">
        <v>0</v>
      </c>
      <c r="Q24" s="1">
        <v>0.14000000000000001</v>
      </c>
      <c r="R24" s="1">
        <v>2.57</v>
      </c>
      <c r="S24" s="1">
        <v>0</v>
      </c>
      <c r="T24" s="1">
        <v>45.52</v>
      </c>
      <c r="U24" s="1">
        <v>4.59</v>
      </c>
      <c r="V24" s="1">
        <v>3.34</v>
      </c>
      <c r="W24" s="1">
        <v>0</v>
      </c>
      <c r="X24" s="1">
        <v>21059.517190999999</v>
      </c>
      <c r="Y24" s="1">
        <v>16513613.932600001</v>
      </c>
      <c r="Z24" t="str">
        <f>VLOOKUP(G24,'Code Pro'!$A$2:$B$9,2,FALSE)</f>
        <v>จ.ชลบุรี</v>
      </c>
      <c r="AA24" s="8">
        <f t="shared" si="1"/>
        <v>63247141.361858003</v>
      </c>
      <c r="AB24" s="8">
        <f t="shared" si="2"/>
        <v>0</v>
      </c>
      <c r="AC24" s="8">
        <f t="shared" si="3"/>
        <v>2311905.9505640003</v>
      </c>
      <c r="AD24" s="8">
        <f t="shared" si="4"/>
        <v>42439987.806782</v>
      </c>
      <c r="AE24" s="8">
        <f t="shared" si="5"/>
        <v>0</v>
      </c>
      <c r="AF24" s="8">
        <f t="shared" si="6"/>
        <v>751699706.21195209</v>
      </c>
      <c r="AG24" s="8">
        <f t="shared" si="7"/>
        <v>75797487.950634003</v>
      </c>
      <c r="AH24" s="8">
        <f t="shared" si="8"/>
        <v>55155470.534883998</v>
      </c>
      <c r="AI24" s="8">
        <f t="shared" si="9"/>
        <v>0</v>
      </c>
    </row>
    <row r="25" spans="1:35" x14ac:dyDescent="0.55000000000000004">
      <c r="A25" s="1">
        <v>23</v>
      </c>
      <c r="B25" s="1" t="s">
        <v>20</v>
      </c>
      <c r="C25" s="1">
        <v>2</v>
      </c>
      <c r="D25" s="1">
        <v>2</v>
      </c>
      <c r="E25" s="1" t="s">
        <v>23</v>
      </c>
      <c r="F25" s="1" t="s">
        <v>24</v>
      </c>
      <c r="G25" s="1">
        <v>20</v>
      </c>
      <c r="H25" s="1">
        <v>2</v>
      </c>
      <c r="I25" s="1">
        <v>20020000</v>
      </c>
      <c r="J25" s="1">
        <v>736</v>
      </c>
      <c r="K25" s="1">
        <v>0</v>
      </c>
      <c r="L25" s="1">
        <v>13624</v>
      </c>
      <c r="M25" s="1">
        <v>13.284592</v>
      </c>
      <c r="N25" s="1">
        <v>101.35556</v>
      </c>
      <c r="O25" s="1">
        <v>1.54</v>
      </c>
      <c r="P25" s="1">
        <v>0.14000000000000001</v>
      </c>
      <c r="Q25" s="1">
        <v>9.5299999999999994</v>
      </c>
      <c r="R25" s="1">
        <v>3.86</v>
      </c>
      <c r="S25" s="1">
        <v>0.2</v>
      </c>
      <c r="T25" s="1">
        <v>42.799999</v>
      </c>
      <c r="U25" s="1">
        <v>4.95</v>
      </c>
      <c r="V25" s="1">
        <v>3.98</v>
      </c>
      <c r="W25" s="1">
        <v>0</v>
      </c>
      <c r="X25" s="1">
        <v>7138.2365769999997</v>
      </c>
      <c r="Y25" s="1">
        <v>973348.398101</v>
      </c>
      <c r="Z25" t="str">
        <f>VLOOKUP(G25,'Code Pro'!$A$2:$B$9,2,FALSE)</f>
        <v>จ.ชลบุรี</v>
      </c>
      <c r="AA25" s="8">
        <f t="shared" si="1"/>
        <v>1498956.5330755401</v>
      </c>
      <c r="AB25" s="8">
        <f t="shared" si="2"/>
        <v>136268.77573414001</v>
      </c>
      <c r="AC25" s="8">
        <f t="shared" si="3"/>
        <v>9276010.2339025289</v>
      </c>
      <c r="AD25" s="8">
        <f t="shared" si="4"/>
        <v>3757124.8166698599</v>
      </c>
      <c r="AE25" s="8">
        <f t="shared" si="5"/>
        <v>194669.67962020001</v>
      </c>
      <c r="AF25" s="8">
        <f t="shared" si="6"/>
        <v>41659310.465374403</v>
      </c>
      <c r="AG25" s="8">
        <f t="shared" si="7"/>
        <v>4818074.5705999499</v>
      </c>
      <c r="AH25" s="8">
        <f t="shared" si="8"/>
        <v>3873926.6244419799</v>
      </c>
      <c r="AI25" s="8">
        <f t="shared" si="9"/>
        <v>0</v>
      </c>
    </row>
    <row r="26" spans="1:35" x14ac:dyDescent="0.55000000000000004">
      <c r="A26" s="1">
        <v>24</v>
      </c>
      <c r="B26" s="1" t="s">
        <v>20</v>
      </c>
      <c r="C26" s="1">
        <v>2</v>
      </c>
      <c r="D26" s="1">
        <v>2</v>
      </c>
      <c r="E26" s="1" t="s">
        <v>23</v>
      </c>
      <c r="F26" s="1" t="s">
        <v>24</v>
      </c>
      <c r="G26" s="1">
        <v>20</v>
      </c>
      <c r="H26" s="1">
        <v>2</v>
      </c>
      <c r="I26" s="1">
        <v>20020000</v>
      </c>
      <c r="J26" s="1">
        <v>737</v>
      </c>
      <c r="K26" s="1">
        <v>0</v>
      </c>
      <c r="L26" s="1">
        <v>13503</v>
      </c>
      <c r="M26" s="1">
        <v>13.203666999999999</v>
      </c>
      <c r="N26" s="1">
        <v>101.27242</v>
      </c>
      <c r="O26" s="1">
        <v>0.64</v>
      </c>
      <c r="P26" s="1">
        <v>0.32</v>
      </c>
      <c r="Q26" s="1">
        <v>1.55</v>
      </c>
      <c r="R26" s="1">
        <v>3.9</v>
      </c>
      <c r="S26" s="1">
        <v>0</v>
      </c>
      <c r="T26" s="1">
        <v>65.569999999999993</v>
      </c>
      <c r="U26" s="1">
        <v>11.08</v>
      </c>
      <c r="V26" s="1">
        <v>5.77</v>
      </c>
      <c r="W26" s="1">
        <v>0</v>
      </c>
      <c r="X26" s="1">
        <v>38916.097486999999</v>
      </c>
      <c r="Y26" s="1">
        <v>61287593.944600001</v>
      </c>
      <c r="Z26" t="str">
        <f>VLOOKUP(G26,'Code Pro'!$A$2:$B$9,2,FALSE)</f>
        <v>จ.ชลบุรี</v>
      </c>
      <c r="AA26" s="8">
        <f t="shared" si="1"/>
        <v>39224060.124544002</v>
      </c>
      <c r="AB26" s="8">
        <f t="shared" si="2"/>
        <v>19612030.062272001</v>
      </c>
      <c r="AC26" s="8">
        <f t="shared" si="3"/>
        <v>94995770.614130005</v>
      </c>
      <c r="AD26" s="8">
        <f t="shared" si="4"/>
        <v>239021616.38394001</v>
      </c>
      <c r="AE26" s="8">
        <f t="shared" si="5"/>
        <v>0</v>
      </c>
      <c r="AF26" s="8">
        <f t="shared" si="6"/>
        <v>4018627534.9474216</v>
      </c>
      <c r="AG26" s="8">
        <f t="shared" si="7"/>
        <v>679066540.90616798</v>
      </c>
      <c r="AH26" s="8">
        <f t="shared" si="8"/>
        <v>353629417.06034195</v>
      </c>
      <c r="AI26" s="8">
        <f t="shared" si="9"/>
        <v>0</v>
      </c>
    </row>
    <row r="27" spans="1:35" x14ac:dyDescent="0.55000000000000004">
      <c r="A27" s="1">
        <v>25</v>
      </c>
      <c r="B27" s="1" t="s">
        <v>20</v>
      </c>
      <c r="C27" s="1">
        <v>2</v>
      </c>
      <c r="D27" s="1">
        <v>2</v>
      </c>
      <c r="E27" s="1" t="s">
        <v>23</v>
      </c>
      <c r="F27" s="1" t="s">
        <v>24</v>
      </c>
      <c r="G27" s="1">
        <v>20</v>
      </c>
      <c r="H27" s="1">
        <v>2</v>
      </c>
      <c r="I27" s="1">
        <v>20020000</v>
      </c>
      <c r="J27" s="1">
        <v>738</v>
      </c>
      <c r="K27" s="1">
        <v>0</v>
      </c>
      <c r="L27" s="1">
        <v>13504</v>
      </c>
      <c r="M27" s="1">
        <v>13.203666999999999</v>
      </c>
      <c r="N27" s="1">
        <v>101.35556</v>
      </c>
      <c r="O27" s="1">
        <v>0.34</v>
      </c>
      <c r="P27" s="1">
        <v>0.34</v>
      </c>
      <c r="Q27" s="1">
        <v>1.1299999999999999</v>
      </c>
      <c r="R27" s="1">
        <v>2.7</v>
      </c>
      <c r="S27" s="1">
        <v>0.02</v>
      </c>
      <c r="T27" s="1">
        <v>43.509998000000003</v>
      </c>
      <c r="U27" s="1">
        <v>7.4</v>
      </c>
      <c r="V27" s="1">
        <v>12.8</v>
      </c>
      <c r="W27" s="1">
        <v>0</v>
      </c>
      <c r="X27" s="1">
        <v>1705.6573089999999</v>
      </c>
      <c r="Y27" s="1">
        <v>65542.469253999996</v>
      </c>
      <c r="Z27" t="str">
        <f>VLOOKUP(G27,'Code Pro'!$A$2:$B$9,2,FALSE)</f>
        <v>จ.ชลบุรี</v>
      </c>
      <c r="AA27" s="8">
        <f t="shared" si="1"/>
        <v>22284.439546360001</v>
      </c>
      <c r="AB27" s="8">
        <f t="shared" si="2"/>
        <v>22284.439546360001</v>
      </c>
      <c r="AC27" s="8">
        <f t="shared" si="3"/>
        <v>74062.990257019992</v>
      </c>
      <c r="AD27" s="8">
        <f t="shared" si="4"/>
        <v>176964.6669858</v>
      </c>
      <c r="AE27" s="8">
        <f t="shared" si="5"/>
        <v>1310.84938508</v>
      </c>
      <c r="AF27" s="8">
        <f t="shared" si="6"/>
        <v>2851752.7061566017</v>
      </c>
      <c r="AG27" s="8">
        <f t="shared" si="7"/>
        <v>485014.27247959998</v>
      </c>
      <c r="AH27" s="8">
        <f t="shared" si="8"/>
        <v>838943.60645119997</v>
      </c>
      <c r="AI27" s="8">
        <f t="shared" si="9"/>
        <v>0</v>
      </c>
    </row>
    <row r="28" spans="1:35" x14ac:dyDescent="0.55000000000000004">
      <c r="A28" s="1">
        <v>26</v>
      </c>
      <c r="B28" s="1" t="s">
        <v>20</v>
      </c>
      <c r="C28" s="1">
        <v>2</v>
      </c>
      <c r="D28" s="1">
        <v>2</v>
      </c>
      <c r="E28" s="1" t="s">
        <v>23</v>
      </c>
      <c r="F28" s="1" t="s">
        <v>24</v>
      </c>
      <c r="G28" s="1">
        <v>20</v>
      </c>
      <c r="H28" s="1">
        <v>2</v>
      </c>
      <c r="I28" s="1">
        <v>20020000</v>
      </c>
      <c r="J28" s="1">
        <v>740</v>
      </c>
      <c r="K28" s="1">
        <v>0</v>
      </c>
      <c r="L28" s="1">
        <v>13623</v>
      </c>
      <c r="M28" s="1">
        <v>13.284592</v>
      </c>
      <c r="N28" s="1">
        <v>101.27242</v>
      </c>
      <c r="O28" s="1">
        <v>7.0000000000000007E-2</v>
      </c>
      <c r="P28" s="1">
        <v>4.38</v>
      </c>
      <c r="Q28" s="1">
        <v>0.7</v>
      </c>
      <c r="R28" s="1">
        <v>9.3699999999999992</v>
      </c>
      <c r="S28" s="1">
        <v>2.34</v>
      </c>
      <c r="T28" s="1">
        <v>47.98</v>
      </c>
      <c r="U28" s="1">
        <v>8.1300000000000008</v>
      </c>
      <c r="V28" s="1">
        <v>0.08</v>
      </c>
      <c r="W28" s="1">
        <v>0</v>
      </c>
      <c r="X28" s="1">
        <v>34277.738344999998</v>
      </c>
      <c r="Y28" s="1">
        <v>66434524.860699996</v>
      </c>
      <c r="Z28" t="str">
        <f>VLOOKUP(G28,'Code Pro'!$A$2:$B$9,2,FALSE)</f>
        <v>จ.ชลบุรี</v>
      </c>
      <c r="AA28" s="8">
        <f t="shared" si="1"/>
        <v>4650416.7402490005</v>
      </c>
      <c r="AB28" s="8">
        <f t="shared" si="2"/>
        <v>290983218.88986599</v>
      </c>
      <c r="AC28" s="8">
        <f t="shared" si="3"/>
        <v>46504167.402489997</v>
      </c>
      <c r="AD28" s="8">
        <f t="shared" si="4"/>
        <v>622491497.94475889</v>
      </c>
      <c r="AE28" s="8">
        <f t="shared" si="5"/>
        <v>155456788.17403799</v>
      </c>
      <c r="AF28" s="8">
        <f t="shared" si="6"/>
        <v>3187528502.8163857</v>
      </c>
      <c r="AG28" s="8">
        <f t="shared" si="7"/>
        <v>540112687.11749101</v>
      </c>
      <c r="AH28" s="8">
        <f t="shared" si="8"/>
        <v>5314761.9888559999</v>
      </c>
      <c r="AI28" s="8">
        <f t="shared" si="9"/>
        <v>0</v>
      </c>
    </row>
    <row r="29" spans="1:35" x14ac:dyDescent="0.55000000000000004">
      <c r="A29" s="1">
        <v>27</v>
      </c>
      <c r="B29" s="1" t="s">
        <v>20</v>
      </c>
      <c r="C29" s="1">
        <v>2</v>
      </c>
      <c r="D29" s="1">
        <v>2</v>
      </c>
      <c r="E29" s="1" t="s">
        <v>23</v>
      </c>
      <c r="F29" s="1" t="s">
        <v>24</v>
      </c>
      <c r="G29" s="1">
        <v>20</v>
      </c>
      <c r="H29" s="1">
        <v>2</v>
      </c>
      <c r="I29" s="1">
        <v>20020000</v>
      </c>
      <c r="J29" s="1">
        <v>741</v>
      </c>
      <c r="K29" s="1">
        <v>0</v>
      </c>
      <c r="L29" s="1">
        <v>13743</v>
      </c>
      <c r="M29" s="1">
        <v>13.365479000000001</v>
      </c>
      <c r="N29" s="1">
        <v>101.27242</v>
      </c>
      <c r="O29" s="1">
        <v>0.32</v>
      </c>
      <c r="P29" s="1">
        <v>0.06</v>
      </c>
      <c r="Q29" s="1">
        <v>0.02</v>
      </c>
      <c r="R29" s="1">
        <v>2.44</v>
      </c>
      <c r="S29" s="1">
        <v>0.02</v>
      </c>
      <c r="T29" s="1">
        <v>11.6</v>
      </c>
      <c r="U29" s="1">
        <v>4.04</v>
      </c>
      <c r="V29" s="1">
        <v>0</v>
      </c>
      <c r="W29" s="1">
        <v>0</v>
      </c>
      <c r="X29" s="1">
        <v>5280.9719240000004</v>
      </c>
      <c r="Y29" s="1">
        <v>989306.92753800005</v>
      </c>
      <c r="Z29" t="str">
        <f>VLOOKUP(G29,'Code Pro'!$A$2:$B$9,2,FALSE)</f>
        <v>จ.ชลบุรี</v>
      </c>
      <c r="AA29" s="8">
        <f t="shared" si="1"/>
        <v>316578.21681216004</v>
      </c>
      <c r="AB29" s="8">
        <f t="shared" si="2"/>
        <v>59358.415652280004</v>
      </c>
      <c r="AC29" s="8">
        <f t="shared" si="3"/>
        <v>19786.138550760003</v>
      </c>
      <c r="AD29" s="8">
        <f t="shared" si="4"/>
        <v>2413908.9031927199</v>
      </c>
      <c r="AE29" s="8">
        <f t="shared" si="5"/>
        <v>19786.138550760003</v>
      </c>
      <c r="AF29" s="8">
        <f t="shared" si="6"/>
        <v>11475960.3594408</v>
      </c>
      <c r="AG29" s="8">
        <f t="shared" si="7"/>
        <v>3996799.9872535202</v>
      </c>
      <c r="AH29" s="8">
        <f t="shared" si="8"/>
        <v>0</v>
      </c>
      <c r="AI29" s="8">
        <f t="shared" si="9"/>
        <v>0</v>
      </c>
    </row>
    <row r="30" spans="1:35" x14ac:dyDescent="0.55000000000000004">
      <c r="A30" s="1">
        <v>28</v>
      </c>
      <c r="B30" s="1" t="s">
        <v>20</v>
      </c>
      <c r="C30" s="1">
        <v>3</v>
      </c>
      <c r="D30" s="1">
        <v>3</v>
      </c>
      <c r="E30" s="1" t="s">
        <v>25</v>
      </c>
      <c r="F30" s="1" t="s">
        <v>26</v>
      </c>
      <c r="G30" s="1">
        <v>20</v>
      </c>
      <c r="H30" s="1">
        <v>2</v>
      </c>
      <c r="I30" s="1">
        <v>20030000</v>
      </c>
      <c r="J30" s="1">
        <v>277</v>
      </c>
      <c r="K30" s="1">
        <v>0</v>
      </c>
      <c r="L30" s="1">
        <v>13263</v>
      </c>
      <c r="M30" s="1">
        <v>13.041733000000001</v>
      </c>
      <c r="N30" s="1">
        <v>101.27242</v>
      </c>
      <c r="O30" s="1">
        <v>1.27</v>
      </c>
      <c r="P30" s="1">
        <v>0</v>
      </c>
      <c r="Q30" s="1">
        <v>0.98</v>
      </c>
      <c r="R30" s="1">
        <v>3.08</v>
      </c>
      <c r="S30" s="1">
        <v>1.43</v>
      </c>
      <c r="T30" s="1">
        <v>63.950001</v>
      </c>
      <c r="U30" s="1">
        <v>5.75</v>
      </c>
      <c r="V30" s="1">
        <v>22.07</v>
      </c>
      <c r="W30" s="1">
        <v>0.79</v>
      </c>
      <c r="X30" s="1">
        <v>23366.041347999999</v>
      </c>
      <c r="Y30" s="1">
        <v>14941297.771</v>
      </c>
      <c r="Z30" t="str">
        <f>VLOOKUP(G30,'Code Pro'!$A$2:$B$9,2,FALSE)</f>
        <v>จ.ชลบุรี</v>
      </c>
      <c r="AA30" s="8">
        <f t="shared" si="1"/>
        <v>18975448.16917</v>
      </c>
      <c r="AB30" s="8">
        <f t="shared" si="2"/>
        <v>0</v>
      </c>
      <c r="AC30" s="8">
        <f t="shared" si="3"/>
        <v>14642471.815579999</v>
      </c>
      <c r="AD30" s="8">
        <f t="shared" si="4"/>
        <v>46019197.134680003</v>
      </c>
      <c r="AE30" s="8">
        <f t="shared" si="5"/>
        <v>21366055.81253</v>
      </c>
      <c r="AF30" s="8">
        <f t="shared" si="6"/>
        <v>955496007.39674771</v>
      </c>
      <c r="AG30" s="8">
        <f t="shared" si="7"/>
        <v>85912462.183249995</v>
      </c>
      <c r="AH30" s="8">
        <f t="shared" si="8"/>
        <v>329754441.80597001</v>
      </c>
      <c r="AI30" s="8">
        <f t="shared" si="9"/>
        <v>11803625.239090001</v>
      </c>
    </row>
    <row r="31" spans="1:35" x14ac:dyDescent="0.55000000000000004">
      <c r="A31" s="1">
        <v>29</v>
      </c>
      <c r="B31" s="1" t="s">
        <v>20</v>
      </c>
      <c r="C31" s="1">
        <v>3</v>
      </c>
      <c r="D31" s="1">
        <v>3</v>
      </c>
      <c r="E31" s="1" t="s">
        <v>25</v>
      </c>
      <c r="F31" s="1" t="s">
        <v>26</v>
      </c>
      <c r="G31" s="1">
        <v>20</v>
      </c>
      <c r="H31" s="1">
        <v>2</v>
      </c>
      <c r="I31" s="1">
        <v>20030000</v>
      </c>
      <c r="J31" s="1">
        <v>278</v>
      </c>
      <c r="K31" s="1">
        <v>0</v>
      </c>
      <c r="L31" s="1">
        <v>13262</v>
      </c>
      <c r="M31" s="1">
        <v>13.041733000000001</v>
      </c>
      <c r="N31" s="1">
        <v>101.189285</v>
      </c>
      <c r="O31" s="1">
        <v>2.85</v>
      </c>
      <c r="P31" s="1">
        <v>0.01</v>
      </c>
      <c r="Q31" s="1">
        <v>0.88</v>
      </c>
      <c r="R31" s="1">
        <v>0.12</v>
      </c>
      <c r="S31" s="1">
        <v>2.9</v>
      </c>
      <c r="T31" s="1">
        <v>42.27</v>
      </c>
      <c r="U31" s="1">
        <v>4.16</v>
      </c>
      <c r="V31" s="1">
        <v>21.74</v>
      </c>
      <c r="W31" s="1">
        <v>0.01</v>
      </c>
      <c r="X31" s="1">
        <v>4490.1420129999997</v>
      </c>
      <c r="Y31" s="1">
        <v>1041015.66152</v>
      </c>
      <c r="Z31" t="str">
        <f>VLOOKUP(G31,'Code Pro'!$A$2:$B$9,2,FALSE)</f>
        <v>จ.ชลบุรี</v>
      </c>
      <c r="AA31" s="8">
        <f t="shared" si="1"/>
        <v>2966894.635332</v>
      </c>
      <c r="AB31" s="8">
        <f t="shared" si="2"/>
        <v>10410.1566152</v>
      </c>
      <c r="AC31" s="8">
        <f t="shared" si="3"/>
        <v>916093.78213760001</v>
      </c>
      <c r="AD31" s="8">
        <f t="shared" si="4"/>
        <v>124921.87938239999</v>
      </c>
      <c r="AE31" s="8">
        <f t="shared" si="5"/>
        <v>3018945.4184079999</v>
      </c>
      <c r="AF31" s="8">
        <f t="shared" si="6"/>
        <v>44003732.012450404</v>
      </c>
      <c r="AG31" s="8">
        <f t="shared" si="7"/>
        <v>4330625.1519232001</v>
      </c>
      <c r="AH31" s="8">
        <f t="shared" si="8"/>
        <v>22631680.481444798</v>
      </c>
      <c r="AI31" s="8">
        <f t="shared" si="9"/>
        <v>10410.1566152</v>
      </c>
    </row>
    <row r="32" spans="1:35" x14ac:dyDescent="0.55000000000000004">
      <c r="A32" s="1">
        <v>30</v>
      </c>
      <c r="B32" s="1" t="s">
        <v>20</v>
      </c>
      <c r="C32" s="1">
        <v>3</v>
      </c>
      <c r="D32" s="1">
        <v>3</v>
      </c>
      <c r="E32" s="1" t="s">
        <v>25</v>
      </c>
      <c r="F32" s="1" t="s">
        <v>26</v>
      </c>
      <c r="G32" s="1">
        <v>20</v>
      </c>
      <c r="H32" s="1">
        <v>2</v>
      </c>
      <c r="I32" s="1">
        <v>20030000</v>
      </c>
      <c r="J32" s="1">
        <v>289</v>
      </c>
      <c r="K32" s="1">
        <v>0</v>
      </c>
      <c r="L32" s="1">
        <v>13265</v>
      </c>
      <c r="M32" s="1">
        <v>13.041733000000001</v>
      </c>
      <c r="N32" s="1">
        <v>101.4387</v>
      </c>
      <c r="O32" s="1">
        <v>0.31</v>
      </c>
      <c r="P32" s="1">
        <v>0.03</v>
      </c>
      <c r="Q32" s="1">
        <v>0.69</v>
      </c>
      <c r="R32" s="1">
        <v>0.01</v>
      </c>
      <c r="S32" s="1">
        <v>34.330002</v>
      </c>
      <c r="T32" s="1">
        <v>6.61</v>
      </c>
      <c r="U32" s="1">
        <v>3.3</v>
      </c>
      <c r="V32" s="1">
        <v>11.41</v>
      </c>
      <c r="W32" s="1">
        <v>0.14000000000000001</v>
      </c>
      <c r="X32" s="1">
        <v>35406.774944999997</v>
      </c>
      <c r="Y32" s="1">
        <v>44484911.422600001</v>
      </c>
      <c r="Z32" t="str">
        <f>VLOOKUP(G32,'Code Pro'!$A$2:$B$9,2,FALSE)</f>
        <v>จ.ชลบุรี</v>
      </c>
      <c r="AA32" s="8">
        <f t="shared" si="1"/>
        <v>13790322.541006001</v>
      </c>
      <c r="AB32" s="8">
        <f t="shared" si="2"/>
        <v>1334547.342678</v>
      </c>
      <c r="AC32" s="8">
        <f t="shared" si="3"/>
        <v>30694588.881593999</v>
      </c>
      <c r="AD32" s="8">
        <f t="shared" si="4"/>
        <v>444849.11422600003</v>
      </c>
      <c r="AE32" s="8">
        <f t="shared" si="5"/>
        <v>1527167098.1076808</v>
      </c>
      <c r="AF32" s="8">
        <f t="shared" si="6"/>
        <v>294045264.50338602</v>
      </c>
      <c r="AG32" s="8">
        <f t="shared" si="7"/>
        <v>146800207.69457999</v>
      </c>
      <c r="AH32" s="8">
        <f t="shared" si="8"/>
        <v>507572839.33186603</v>
      </c>
      <c r="AI32" s="8">
        <f t="shared" si="9"/>
        <v>6227887.5991640007</v>
      </c>
    </row>
    <row r="33" spans="1:35" x14ac:dyDescent="0.55000000000000004">
      <c r="A33" s="1">
        <v>31</v>
      </c>
      <c r="B33" s="1" t="s">
        <v>20</v>
      </c>
      <c r="C33" s="1">
        <v>3</v>
      </c>
      <c r="D33" s="1">
        <v>3</v>
      </c>
      <c r="E33" s="1" t="s">
        <v>25</v>
      </c>
      <c r="F33" s="1" t="s">
        <v>26</v>
      </c>
      <c r="G33" s="1">
        <v>20</v>
      </c>
      <c r="H33" s="1">
        <v>2</v>
      </c>
      <c r="I33" s="1">
        <v>20030000</v>
      </c>
      <c r="J33" s="1">
        <v>290</v>
      </c>
      <c r="K33" s="1">
        <v>0</v>
      </c>
      <c r="L33" s="1">
        <v>13264</v>
      </c>
      <c r="M33" s="1">
        <v>13.041733000000001</v>
      </c>
      <c r="N33" s="1">
        <v>101.35556</v>
      </c>
      <c r="O33" s="1">
        <v>0.9</v>
      </c>
      <c r="P33" s="1">
        <v>1.3</v>
      </c>
      <c r="Q33" s="1">
        <v>0.12</v>
      </c>
      <c r="R33" s="1">
        <v>0.22</v>
      </c>
      <c r="S33" s="1">
        <v>7.49</v>
      </c>
      <c r="T33" s="1">
        <v>10.43</v>
      </c>
      <c r="U33" s="1">
        <v>7.26</v>
      </c>
      <c r="V33" s="1">
        <v>6.97</v>
      </c>
      <c r="W33" s="1">
        <v>0.05</v>
      </c>
      <c r="X33" s="1">
        <v>26246.72797</v>
      </c>
      <c r="Y33" s="1">
        <v>25261815.326499999</v>
      </c>
      <c r="Z33" t="str">
        <f>VLOOKUP(G33,'Code Pro'!$A$2:$B$9,2,FALSE)</f>
        <v>จ.ชลบุรี</v>
      </c>
      <c r="AA33" s="8">
        <f t="shared" si="1"/>
        <v>22735633.793850001</v>
      </c>
      <c r="AB33" s="8">
        <f t="shared" si="2"/>
        <v>32840359.924449999</v>
      </c>
      <c r="AC33" s="8">
        <f t="shared" si="3"/>
        <v>3031417.8391799997</v>
      </c>
      <c r="AD33" s="8">
        <f t="shared" si="4"/>
        <v>5557599.3718299996</v>
      </c>
      <c r="AE33" s="8">
        <f t="shared" si="5"/>
        <v>189210996.79548499</v>
      </c>
      <c r="AF33" s="8">
        <f t="shared" si="6"/>
        <v>263480733.85539499</v>
      </c>
      <c r="AG33" s="8">
        <f t="shared" si="7"/>
        <v>183400779.27038997</v>
      </c>
      <c r="AH33" s="8">
        <f t="shared" si="8"/>
        <v>176074852.82570499</v>
      </c>
      <c r="AI33" s="8">
        <f t="shared" si="9"/>
        <v>1263090.766325</v>
      </c>
    </row>
    <row r="34" spans="1:35" x14ac:dyDescent="0.55000000000000004">
      <c r="A34" s="1">
        <v>32</v>
      </c>
      <c r="B34" s="1" t="s">
        <v>20</v>
      </c>
      <c r="C34" s="1">
        <v>3</v>
      </c>
      <c r="D34" s="1">
        <v>3</v>
      </c>
      <c r="E34" s="1" t="s">
        <v>25</v>
      </c>
      <c r="F34" s="1" t="s">
        <v>26</v>
      </c>
      <c r="G34" s="1">
        <v>20</v>
      </c>
      <c r="H34" s="1">
        <v>2</v>
      </c>
      <c r="I34" s="1">
        <v>20030000</v>
      </c>
      <c r="J34" s="1">
        <v>304</v>
      </c>
      <c r="K34" s="1">
        <v>0</v>
      </c>
      <c r="L34" s="1">
        <v>13266</v>
      </c>
      <c r="M34" s="1">
        <v>13.041733000000001</v>
      </c>
      <c r="N34" s="1">
        <v>101.52182999999999</v>
      </c>
      <c r="O34" s="1">
        <v>1.22</v>
      </c>
      <c r="P34" s="1">
        <v>0.01</v>
      </c>
      <c r="Q34" s="1">
        <v>6.37</v>
      </c>
      <c r="R34" s="1">
        <v>7.0000000000000007E-2</v>
      </c>
      <c r="S34" s="1">
        <v>11.69</v>
      </c>
      <c r="T34" s="1">
        <v>6.71</v>
      </c>
      <c r="U34" s="1">
        <v>8.59</v>
      </c>
      <c r="V34" s="1">
        <v>4.3</v>
      </c>
      <c r="W34" s="1">
        <v>0.2</v>
      </c>
      <c r="X34" s="1">
        <v>22779.458835000001</v>
      </c>
      <c r="Y34" s="1">
        <v>14266979.807700001</v>
      </c>
      <c r="Z34" t="str">
        <f>VLOOKUP(G34,'Code Pro'!$A$2:$B$9,2,FALSE)</f>
        <v>จ.ชลบุรี</v>
      </c>
      <c r="AA34" s="8">
        <f t="shared" si="1"/>
        <v>17405715.365394</v>
      </c>
      <c r="AB34" s="8">
        <f t="shared" si="2"/>
        <v>142669.79807700001</v>
      </c>
      <c r="AC34" s="8">
        <f t="shared" si="3"/>
        <v>90880661.37504901</v>
      </c>
      <c r="AD34" s="8">
        <f t="shared" si="4"/>
        <v>998688.58653900016</v>
      </c>
      <c r="AE34" s="8">
        <f t="shared" si="5"/>
        <v>166780993.95201302</v>
      </c>
      <c r="AF34" s="8">
        <f t="shared" si="6"/>
        <v>95731434.509667009</v>
      </c>
      <c r="AG34" s="8">
        <f t="shared" si="7"/>
        <v>122553356.548143</v>
      </c>
      <c r="AH34" s="8">
        <f t="shared" si="8"/>
        <v>61348013.173110001</v>
      </c>
      <c r="AI34" s="8">
        <f t="shared" si="9"/>
        <v>2853395.9615400005</v>
      </c>
    </row>
    <row r="35" spans="1:35" x14ac:dyDescent="0.55000000000000004">
      <c r="A35" s="1">
        <v>33</v>
      </c>
      <c r="B35" s="1" t="s">
        <v>20</v>
      </c>
      <c r="C35" s="1">
        <v>3</v>
      </c>
      <c r="D35" s="1">
        <v>3</v>
      </c>
      <c r="E35" s="1" t="s">
        <v>25</v>
      </c>
      <c r="F35" s="1" t="s">
        <v>26</v>
      </c>
      <c r="G35" s="1">
        <v>20</v>
      </c>
      <c r="H35" s="1">
        <v>2</v>
      </c>
      <c r="I35" s="1">
        <v>20030000</v>
      </c>
      <c r="J35" s="1">
        <v>691</v>
      </c>
      <c r="K35" s="1">
        <v>0</v>
      </c>
      <c r="L35" s="1">
        <v>13382</v>
      </c>
      <c r="M35" s="1">
        <v>13.122719</v>
      </c>
      <c r="N35" s="1">
        <v>101.189285</v>
      </c>
      <c r="O35" s="1">
        <v>3.57</v>
      </c>
      <c r="P35" s="1">
        <v>0</v>
      </c>
      <c r="Q35" s="1">
        <v>3.4</v>
      </c>
      <c r="R35" s="1">
        <v>1.1299999999999999</v>
      </c>
      <c r="S35" s="1">
        <v>0</v>
      </c>
      <c r="T35" s="1">
        <v>92.800003000000004</v>
      </c>
      <c r="U35" s="1">
        <v>2.93</v>
      </c>
      <c r="V35" s="1">
        <v>8.3699999999999992</v>
      </c>
      <c r="W35" s="1">
        <v>0</v>
      </c>
      <c r="X35" s="1">
        <v>4551.9093249999996</v>
      </c>
      <c r="Y35" s="1">
        <v>1286389.32427</v>
      </c>
      <c r="Z35" t="str">
        <f>VLOOKUP(G35,'Code Pro'!$A$2:$B$9,2,FALSE)</f>
        <v>จ.ชลบุรี</v>
      </c>
      <c r="AA35" s="8">
        <f t="shared" si="1"/>
        <v>4592409.8876438998</v>
      </c>
      <c r="AB35" s="8">
        <f t="shared" si="2"/>
        <v>0</v>
      </c>
      <c r="AC35" s="8">
        <f t="shared" si="3"/>
        <v>4373723.7025180003</v>
      </c>
      <c r="AD35" s="8">
        <f t="shared" si="4"/>
        <v>1453619.9364250998</v>
      </c>
      <c r="AE35" s="8">
        <f t="shared" si="5"/>
        <v>0</v>
      </c>
      <c r="AF35" s="8">
        <f t="shared" si="6"/>
        <v>119376933.15142398</v>
      </c>
      <c r="AG35" s="8">
        <f t="shared" si="7"/>
        <v>3769120.7201111</v>
      </c>
      <c r="AH35" s="8">
        <f t="shared" si="8"/>
        <v>10767078.644139899</v>
      </c>
      <c r="AI35" s="8">
        <f t="shared" si="9"/>
        <v>0</v>
      </c>
    </row>
    <row r="36" spans="1:35" x14ac:dyDescent="0.55000000000000004">
      <c r="A36" s="1">
        <v>34</v>
      </c>
      <c r="B36" s="1" t="s">
        <v>20</v>
      </c>
      <c r="C36" s="1">
        <v>3</v>
      </c>
      <c r="D36" s="1">
        <v>3</v>
      </c>
      <c r="E36" s="1" t="s">
        <v>25</v>
      </c>
      <c r="F36" s="1" t="s">
        <v>26</v>
      </c>
      <c r="G36" s="1">
        <v>20</v>
      </c>
      <c r="H36" s="1">
        <v>2</v>
      </c>
      <c r="I36" s="1">
        <v>20030000</v>
      </c>
      <c r="J36" s="1">
        <v>734</v>
      </c>
      <c r="K36" s="1">
        <v>0</v>
      </c>
      <c r="L36" s="1">
        <v>13383</v>
      </c>
      <c r="M36" s="1">
        <v>13.122719</v>
      </c>
      <c r="N36" s="1">
        <v>101.27242</v>
      </c>
      <c r="O36" s="1">
        <v>3.83</v>
      </c>
      <c r="P36" s="1">
        <v>0</v>
      </c>
      <c r="Q36" s="1">
        <v>0.14000000000000001</v>
      </c>
      <c r="R36" s="1">
        <v>2.57</v>
      </c>
      <c r="S36" s="1">
        <v>0</v>
      </c>
      <c r="T36" s="1">
        <v>45.52</v>
      </c>
      <c r="U36" s="1">
        <v>4.59</v>
      </c>
      <c r="V36" s="1">
        <v>3.34</v>
      </c>
      <c r="W36" s="1">
        <v>0</v>
      </c>
      <c r="X36" s="1">
        <v>37071.712599999999</v>
      </c>
      <c r="Y36" s="1">
        <v>64292272.173100002</v>
      </c>
      <c r="Z36" t="str">
        <f>VLOOKUP(G36,'Code Pro'!$A$2:$B$9,2,FALSE)</f>
        <v>จ.ชลบุรี</v>
      </c>
      <c r="AA36" s="8">
        <f t="shared" si="1"/>
        <v>246239402.42297301</v>
      </c>
      <c r="AB36" s="8">
        <f t="shared" si="2"/>
        <v>0</v>
      </c>
      <c r="AC36" s="8">
        <f t="shared" si="3"/>
        <v>9000918.1042340007</v>
      </c>
      <c r="AD36" s="8">
        <f t="shared" si="4"/>
        <v>165231139.48486701</v>
      </c>
      <c r="AE36" s="8">
        <f t="shared" si="5"/>
        <v>0</v>
      </c>
      <c r="AF36" s="8">
        <f t="shared" si="6"/>
        <v>2926584229.3195124</v>
      </c>
      <c r="AG36" s="8">
        <f t="shared" si="7"/>
        <v>295101529.27452898</v>
      </c>
      <c r="AH36" s="8">
        <f t="shared" si="8"/>
        <v>214736189.05815399</v>
      </c>
      <c r="AI36" s="8">
        <f t="shared" si="9"/>
        <v>0</v>
      </c>
    </row>
    <row r="37" spans="1:35" x14ac:dyDescent="0.55000000000000004">
      <c r="A37" s="1">
        <v>35</v>
      </c>
      <c r="B37" s="1" t="s">
        <v>20</v>
      </c>
      <c r="C37" s="1">
        <v>3</v>
      </c>
      <c r="D37" s="1">
        <v>3</v>
      </c>
      <c r="E37" s="1" t="s">
        <v>25</v>
      </c>
      <c r="F37" s="1" t="s">
        <v>26</v>
      </c>
      <c r="G37" s="1">
        <v>20</v>
      </c>
      <c r="H37" s="1">
        <v>2</v>
      </c>
      <c r="I37" s="1">
        <v>20030000</v>
      </c>
      <c r="J37" s="1">
        <v>735</v>
      </c>
      <c r="K37" s="1">
        <v>0</v>
      </c>
      <c r="L37" s="1">
        <v>13384</v>
      </c>
      <c r="M37" s="1">
        <v>13.122719</v>
      </c>
      <c r="N37" s="1">
        <v>101.35556</v>
      </c>
      <c r="O37" s="1">
        <v>0.4</v>
      </c>
      <c r="P37" s="1">
        <v>7.0000000000000007E-2</v>
      </c>
      <c r="Q37" s="1">
        <v>0.02</v>
      </c>
      <c r="R37" s="1">
        <v>0.97</v>
      </c>
      <c r="S37" s="1">
        <v>0.06</v>
      </c>
      <c r="T37" s="1">
        <v>24.940000999999999</v>
      </c>
      <c r="U37" s="1">
        <v>4.46</v>
      </c>
      <c r="V37" s="1">
        <v>4.47</v>
      </c>
      <c r="W37" s="1">
        <v>0</v>
      </c>
      <c r="X37" s="1">
        <v>36370.934427</v>
      </c>
      <c r="Y37" s="1">
        <v>80693975.955799997</v>
      </c>
      <c r="Z37" t="str">
        <f>VLOOKUP(G37,'Code Pro'!$A$2:$B$9,2,FALSE)</f>
        <v>จ.ชลบุรี</v>
      </c>
      <c r="AA37" s="8">
        <f t="shared" si="1"/>
        <v>32277590.382320002</v>
      </c>
      <c r="AB37" s="8">
        <f t="shared" si="2"/>
        <v>5648578.3169060005</v>
      </c>
      <c r="AC37" s="8">
        <f t="shared" si="3"/>
        <v>1613879.519116</v>
      </c>
      <c r="AD37" s="8">
        <f t="shared" si="4"/>
        <v>78273156.67712599</v>
      </c>
      <c r="AE37" s="8">
        <f t="shared" si="5"/>
        <v>4841638.5573479999</v>
      </c>
      <c r="AF37" s="8">
        <f t="shared" si="6"/>
        <v>2012507841.0316279</v>
      </c>
      <c r="AG37" s="8">
        <f t="shared" si="7"/>
        <v>359895132.76286799</v>
      </c>
      <c r="AH37" s="8">
        <f t="shared" si="8"/>
        <v>360702072.52242595</v>
      </c>
      <c r="AI37" s="8">
        <f t="shared" si="9"/>
        <v>0</v>
      </c>
    </row>
    <row r="38" spans="1:35" x14ac:dyDescent="0.55000000000000004">
      <c r="A38" s="1">
        <v>36</v>
      </c>
      <c r="B38" s="1" t="s">
        <v>20</v>
      </c>
      <c r="C38" s="1">
        <v>3</v>
      </c>
      <c r="D38" s="1">
        <v>3</v>
      </c>
      <c r="E38" s="1" t="s">
        <v>25</v>
      </c>
      <c r="F38" s="1" t="s">
        <v>26</v>
      </c>
      <c r="G38" s="1">
        <v>20</v>
      </c>
      <c r="H38" s="1">
        <v>2</v>
      </c>
      <c r="I38" s="1">
        <v>20030000</v>
      </c>
      <c r="J38" s="1">
        <v>736</v>
      </c>
      <c r="K38" s="1">
        <v>0</v>
      </c>
      <c r="L38" s="1">
        <v>13624</v>
      </c>
      <c r="M38" s="1">
        <v>13.284592</v>
      </c>
      <c r="N38" s="1">
        <v>101.35556</v>
      </c>
      <c r="O38" s="1">
        <v>1.54</v>
      </c>
      <c r="P38" s="1">
        <v>0.14000000000000001</v>
      </c>
      <c r="Q38" s="1">
        <v>9.5299999999999994</v>
      </c>
      <c r="R38" s="1">
        <v>3.86</v>
      </c>
      <c r="S38" s="1">
        <v>0.2</v>
      </c>
      <c r="T38" s="1">
        <v>42.799999</v>
      </c>
      <c r="U38" s="1">
        <v>4.95</v>
      </c>
      <c r="V38" s="1">
        <v>3.98</v>
      </c>
      <c r="W38" s="1">
        <v>0</v>
      </c>
      <c r="X38" s="1">
        <v>16575.799856000001</v>
      </c>
      <c r="Y38" s="1">
        <v>10969452.7523</v>
      </c>
      <c r="Z38" t="str">
        <f>VLOOKUP(G38,'Code Pro'!$A$2:$B$9,2,FALSE)</f>
        <v>จ.ชลบุรี</v>
      </c>
      <c r="AA38" s="8">
        <f t="shared" si="1"/>
        <v>16892957.238542002</v>
      </c>
      <c r="AB38" s="8">
        <f t="shared" si="2"/>
        <v>1535723.3853220001</v>
      </c>
      <c r="AC38" s="8">
        <f t="shared" si="3"/>
        <v>104538884.72941899</v>
      </c>
      <c r="AD38" s="8">
        <f t="shared" si="4"/>
        <v>42342087.623877995</v>
      </c>
      <c r="AE38" s="8">
        <f t="shared" si="5"/>
        <v>2193890.5504600001</v>
      </c>
      <c r="AF38" s="8">
        <f t="shared" si="6"/>
        <v>469492566.82898724</v>
      </c>
      <c r="AG38" s="8">
        <f t="shared" si="7"/>
        <v>54298791.123884998</v>
      </c>
      <c r="AH38" s="8">
        <f t="shared" si="8"/>
        <v>43658421.954154</v>
      </c>
      <c r="AI38" s="8">
        <f t="shared" si="9"/>
        <v>0</v>
      </c>
    </row>
    <row r="39" spans="1:35" x14ac:dyDescent="0.55000000000000004">
      <c r="A39" s="1">
        <v>37</v>
      </c>
      <c r="B39" s="1" t="s">
        <v>20</v>
      </c>
      <c r="C39" s="1">
        <v>3</v>
      </c>
      <c r="D39" s="1">
        <v>3</v>
      </c>
      <c r="E39" s="1" t="s">
        <v>25</v>
      </c>
      <c r="F39" s="1" t="s">
        <v>26</v>
      </c>
      <c r="G39" s="1">
        <v>20</v>
      </c>
      <c r="H39" s="1">
        <v>2</v>
      </c>
      <c r="I39" s="1">
        <v>20030000</v>
      </c>
      <c r="J39" s="1">
        <v>737</v>
      </c>
      <c r="K39" s="1">
        <v>0</v>
      </c>
      <c r="L39" s="1">
        <v>13503</v>
      </c>
      <c r="M39" s="1">
        <v>13.203666999999999</v>
      </c>
      <c r="N39" s="1">
        <v>101.27242</v>
      </c>
      <c r="O39" s="1">
        <v>0.64</v>
      </c>
      <c r="P39" s="1">
        <v>0.32</v>
      </c>
      <c r="Q39" s="1">
        <v>1.55</v>
      </c>
      <c r="R39" s="1">
        <v>3.9</v>
      </c>
      <c r="S39" s="1">
        <v>0</v>
      </c>
      <c r="T39" s="1">
        <v>65.569999999999993</v>
      </c>
      <c r="U39" s="1">
        <v>11.08</v>
      </c>
      <c r="V39" s="1">
        <v>5.77</v>
      </c>
      <c r="W39" s="1">
        <v>0</v>
      </c>
      <c r="X39" s="1">
        <v>33887.897637000002</v>
      </c>
      <c r="Y39" s="1">
        <v>19461763.646600001</v>
      </c>
      <c r="Z39" t="str">
        <f>VLOOKUP(G39,'Code Pro'!$A$2:$B$9,2,FALSE)</f>
        <v>จ.ชลบุรี</v>
      </c>
      <c r="AA39" s="8">
        <f t="shared" si="1"/>
        <v>12455528.733824</v>
      </c>
      <c r="AB39" s="8">
        <f t="shared" si="2"/>
        <v>6227764.3669119999</v>
      </c>
      <c r="AC39" s="8">
        <f t="shared" si="3"/>
        <v>30165733.652230002</v>
      </c>
      <c r="AD39" s="8">
        <f t="shared" si="4"/>
        <v>75900878.221740007</v>
      </c>
      <c r="AE39" s="8">
        <f t="shared" si="5"/>
        <v>0</v>
      </c>
      <c r="AF39" s="8">
        <f t="shared" si="6"/>
        <v>1276107842.3075619</v>
      </c>
      <c r="AG39" s="8">
        <f t="shared" si="7"/>
        <v>215636341.204328</v>
      </c>
      <c r="AH39" s="8">
        <f t="shared" si="8"/>
        <v>112294376.24088199</v>
      </c>
      <c r="AI39" s="8">
        <f t="shared" si="9"/>
        <v>0</v>
      </c>
    </row>
    <row r="40" spans="1:35" x14ac:dyDescent="0.55000000000000004">
      <c r="A40" s="1">
        <v>38</v>
      </c>
      <c r="B40" s="1" t="s">
        <v>20</v>
      </c>
      <c r="C40" s="1">
        <v>3</v>
      </c>
      <c r="D40" s="1">
        <v>3</v>
      </c>
      <c r="E40" s="1" t="s">
        <v>25</v>
      </c>
      <c r="F40" s="1" t="s">
        <v>26</v>
      </c>
      <c r="G40" s="1">
        <v>20</v>
      </c>
      <c r="H40" s="1">
        <v>2</v>
      </c>
      <c r="I40" s="1">
        <v>20030000</v>
      </c>
      <c r="J40" s="1">
        <v>738</v>
      </c>
      <c r="K40" s="1">
        <v>0</v>
      </c>
      <c r="L40" s="1">
        <v>13504</v>
      </c>
      <c r="M40" s="1">
        <v>13.203666999999999</v>
      </c>
      <c r="N40" s="1">
        <v>101.35556</v>
      </c>
      <c r="O40" s="1">
        <v>0.34</v>
      </c>
      <c r="P40" s="1">
        <v>0.34</v>
      </c>
      <c r="Q40" s="1">
        <v>1.1299999999999999</v>
      </c>
      <c r="R40" s="1">
        <v>2.7</v>
      </c>
      <c r="S40" s="1">
        <v>0.02</v>
      </c>
      <c r="T40" s="1">
        <v>43.509998000000003</v>
      </c>
      <c r="U40" s="1">
        <v>7.4</v>
      </c>
      <c r="V40" s="1">
        <v>12.8</v>
      </c>
      <c r="W40" s="1">
        <v>0</v>
      </c>
      <c r="X40" s="1">
        <v>33824.041000999998</v>
      </c>
      <c r="Y40" s="1">
        <v>68974066.861300007</v>
      </c>
      <c r="Z40" t="str">
        <f>VLOOKUP(G40,'Code Pro'!$A$2:$B$9,2,FALSE)</f>
        <v>จ.ชลบุรี</v>
      </c>
      <c r="AA40" s="8">
        <f t="shared" si="1"/>
        <v>23451182.732842002</v>
      </c>
      <c r="AB40" s="8">
        <f t="shared" si="2"/>
        <v>23451182.732842002</v>
      </c>
      <c r="AC40" s="8">
        <f t="shared" si="3"/>
        <v>77940695.553268999</v>
      </c>
      <c r="AD40" s="8">
        <f t="shared" si="4"/>
        <v>186229980.52551004</v>
      </c>
      <c r="AE40" s="8">
        <f t="shared" si="5"/>
        <v>1379481.3372260001</v>
      </c>
      <c r="AF40" s="8">
        <f t="shared" si="6"/>
        <v>3001061511.1870298</v>
      </c>
      <c r="AG40" s="8">
        <f t="shared" si="7"/>
        <v>510408094.77362007</v>
      </c>
      <c r="AH40" s="8">
        <f t="shared" si="8"/>
        <v>882868055.82464015</v>
      </c>
      <c r="AI40" s="8">
        <f t="shared" si="9"/>
        <v>0</v>
      </c>
    </row>
    <row r="41" spans="1:35" x14ac:dyDescent="0.55000000000000004">
      <c r="A41" s="1">
        <v>39</v>
      </c>
      <c r="B41" s="1" t="s">
        <v>20</v>
      </c>
      <c r="C41" s="1">
        <v>3</v>
      </c>
      <c r="D41" s="1">
        <v>3</v>
      </c>
      <c r="E41" s="1" t="s">
        <v>25</v>
      </c>
      <c r="F41" s="1" t="s">
        <v>26</v>
      </c>
      <c r="G41" s="1">
        <v>20</v>
      </c>
      <c r="H41" s="1">
        <v>2</v>
      </c>
      <c r="I41" s="1">
        <v>20030000</v>
      </c>
      <c r="J41" s="1">
        <v>740</v>
      </c>
      <c r="K41" s="1">
        <v>0</v>
      </c>
      <c r="L41" s="1">
        <v>13623</v>
      </c>
      <c r="M41" s="1">
        <v>13.284592</v>
      </c>
      <c r="N41" s="1">
        <v>101.27242</v>
      </c>
      <c r="O41" s="1">
        <v>7.0000000000000007E-2</v>
      </c>
      <c r="P41" s="1">
        <v>4.38</v>
      </c>
      <c r="Q41" s="1">
        <v>0.7</v>
      </c>
      <c r="R41" s="1">
        <v>9.3699999999999992</v>
      </c>
      <c r="S41" s="1">
        <v>2.34</v>
      </c>
      <c r="T41" s="1">
        <v>47.98</v>
      </c>
      <c r="U41" s="1">
        <v>8.1300000000000008</v>
      </c>
      <c r="V41" s="1">
        <v>0.08</v>
      </c>
      <c r="W41" s="1">
        <v>0</v>
      </c>
      <c r="X41" s="1">
        <v>4242.8811889999997</v>
      </c>
      <c r="Y41" s="1">
        <v>763919.59398899996</v>
      </c>
      <c r="Z41" t="str">
        <f>VLOOKUP(G41,'Code Pro'!$A$2:$B$9,2,FALSE)</f>
        <v>จ.ชลบุรี</v>
      </c>
      <c r="AA41" s="8">
        <f t="shared" si="1"/>
        <v>53474.371579229999</v>
      </c>
      <c r="AB41" s="8">
        <f t="shared" si="2"/>
        <v>3345967.8216718198</v>
      </c>
      <c r="AC41" s="8">
        <f t="shared" si="3"/>
        <v>534743.71579229995</v>
      </c>
      <c r="AD41" s="8">
        <f t="shared" si="4"/>
        <v>7157926.5956769288</v>
      </c>
      <c r="AE41" s="8">
        <f t="shared" si="5"/>
        <v>1787571.8499342599</v>
      </c>
      <c r="AF41" s="8">
        <f t="shared" si="6"/>
        <v>36652862.119592212</v>
      </c>
      <c r="AG41" s="8">
        <f t="shared" si="7"/>
        <v>6210666.2991305701</v>
      </c>
      <c r="AH41" s="8">
        <f t="shared" si="8"/>
        <v>61113.567519119999</v>
      </c>
      <c r="AI41" s="8">
        <f t="shared" si="9"/>
        <v>0</v>
      </c>
    </row>
    <row r="42" spans="1:35" x14ac:dyDescent="0.55000000000000004">
      <c r="A42" s="1">
        <v>40</v>
      </c>
      <c r="B42" s="1" t="s">
        <v>20</v>
      </c>
      <c r="C42" s="1">
        <v>3</v>
      </c>
      <c r="D42" s="1">
        <v>3</v>
      </c>
      <c r="E42" s="1" t="s">
        <v>25</v>
      </c>
      <c r="F42" s="1" t="s">
        <v>26</v>
      </c>
      <c r="G42" s="1">
        <v>20</v>
      </c>
      <c r="H42" s="1">
        <v>2</v>
      </c>
      <c r="I42" s="1">
        <v>20030000</v>
      </c>
      <c r="J42" s="1">
        <v>744</v>
      </c>
      <c r="K42" s="1">
        <v>0</v>
      </c>
      <c r="L42" s="1">
        <v>13385</v>
      </c>
      <c r="M42" s="1">
        <v>13.122719</v>
      </c>
      <c r="N42" s="1">
        <v>101.4387</v>
      </c>
      <c r="O42" s="1">
        <v>0.02</v>
      </c>
      <c r="P42" s="1">
        <v>8.1999999999999993</v>
      </c>
      <c r="Q42" s="1">
        <v>0.01</v>
      </c>
      <c r="R42" s="1">
        <v>0.35</v>
      </c>
      <c r="S42" s="1">
        <v>9.27</v>
      </c>
      <c r="T42" s="1">
        <v>8.6999999999999993</v>
      </c>
      <c r="U42" s="1">
        <v>6.24</v>
      </c>
      <c r="V42" s="1">
        <v>0.41</v>
      </c>
      <c r="W42" s="1">
        <v>0.02</v>
      </c>
      <c r="X42" s="1">
        <v>37912.748378999997</v>
      </c>
      <c r="Y42" s="1">
        <v>68523676.922499999</v>
      </c>
      <c r="Z42" t="str">
        <f>VLOOKUP(G42,'Code Pro'!$A$2:$B$9,2,FALSE)</f>
        <v>จ.ชลบุรี</v>
      </c>
      <c r="AA42" s="8">
        <f t="shared" si="1"/>
        <v>1370473.5384500001</v>
      </c>
      <c r="AB42" s="8">
        <f t="shared" si="2"/>
        <v>561894150.7644999</v>
      </c>
      <c r="AC42" s="8">
        <f t="shared" si="3"/>
        <v>685236.76922500005</v>
      </c>
      <c r="AD42" s="8">
        <f t="shared" si="4"/>
        <v>23983286.922874998</v>
      </c>
      <c r="AE42" s="8">
        <f t="shared" si="5"/>
        <v>635214485.07157493</v>
      </c>
      <c r="AF42" s="8">
        <f t="shared" si="6"/>
        <v>596155989.22574997</v>
      </c>
      <c r="AG42" s="8">
        <f t="shared" si="7"/>
        <v>427587743.9964</v>
      </c>
      <c r="AH42" s="8">
        <f t="shared" si="8"/>
        <v>28094707.538224999</v>
      </c>
      <c r="AI42" s="8">
        <f t="shared" si="9"/>
        <v>1370473.5384500001</v>
      </c>
    </row>
    <row r="43" spans="1:35" x14ac:dyDescent="0.55000000000000004">
      <c r="A43" s="1">
        <v>41</v>
      </c>
      <c r="B43" s="1" t="s">
        <v>20</v>
      </c>
      <c r="C43" s="1">
        <v>3</v>
      </c>
      <c r="D43" s="1">
        <v>3</v>
      </c>
      <c r="E43" s="1" t="s">
        <v>25</v>
      </c>
      <c r="F43" s="1" t="s">
        <v>26</v>
      </c>
      <c r="G43" s="1">
        <v>20</v>
      </c>
      <c r="H43" s="1">
        <v>2</v>
      </c>
      <c r="I43" s="1">
        <v>20030000</v>
      </c>
      <c r="J43" s="1">
        <v>745</v>
      </c>
      <c r="K43" s="1">
        <v>0</v>
      </c>
      <c r="L43" s="1">
        <v>13386</v>
      </c>
      <c r="M43" s="1">
        <v>13.122719</v>
      </c>
      <c r="N43" s="1">
        <v>101.52182999999999</v>
      </c>
      <c r="O43" s="1">
        <v>0.87</v>
      </c>
      <c r="P43" s="1">
        <v>0.16</v>
      </c>
      <c r="Q43" s="1">
        <v>0.3</v>
      </c>
      <c r="R43" s="1">
        <v>0.68</v>
      </c>
      <c r="S43" s="1">
        <v>5.83</v>
      </c>
      <c r="T43" s="1">
        <v>4.1100000000000003</v>
      </c>
      <c r="U43" s="1">
        <v>9.27</v>
      </c>
      <c r="V43" s="1">
        <v>0.76</v>
      </c>
      <c r="W43" s="1">
        <v>0.14000000000000001</v>
      </c>
      <c r="X43" s="1">
        <v>26869.324815</v>
      </c>
      <c r="Y43" s="1">
        <v>36598442.163199998</v>
      </c>
      <c r="Z43" t="str">
        <f>VLOOKUP(G43,'Code Pro'!$A$2:$B$9,2,FALSE)</f>
        <v>จ.ชลบุรี</v>
      </c>
      <c r="AA43" s="8">
        <f t="shared" si="1"/>
        <v>31840644.681984</v>
      </c>
      <c r="AB43" s="8">
        <f t="shared" si="2"/>
        <v>5855750.7461120002</v>
      </c>
      <c r="AC43" s="8">
        <f t="shared" si="3"/>
        <v>10979532.64896</v>
      </c>
      <c r="AD43" s="8">
        <f t="shared" si="4"/>
        <v>24886940.670976002</v>
      </c>
      <c r="AE43" s="8">
        <f t="shared" si="5"/>
        <v>213368917.81145599</v>
      </c>
      <c r="AF43" s="8">
        <f t="shared" si="6"/>
        <v>150419597.29075199</v>
      </c>
      <c r="AG43" s="8">
        <f t="shared" si="7"/>
        <v>339267558.85286397</v>
      </c>
      <c r="AH43" s="8">
        <f t="shared" si="8"/>
        <v>27814816.044032</v>
      </c>
      <c r="AI43" s="8">
        <f t="shared" si="9"/>
        <v>5123781.9028480006</v>
      </c>
    </row>
    <row r="44" spans="1:35" x14ac:dyDescent="0.55000000000000004">
      <c r="A44" s="1">
        <v>42</v>
      </c>
      <c r="B44" s="1" t="s">
        <v>20</v>
      </c>
      <c r="C44" s="1">
        <v>3</v>
      </c>
      <c r="D44" s="1">
        <v>3</v>
      </c>
      <c r="E44" s="1" t="s">
        <v>25</v>
      </c>
      <c r="F44" s="1" t="s">
        <v>26</v>
      </c>
      <c r="G44" s="1">
        <v>20</v>
      </c>
      <c r="H44" s="1">
        <v>2</v>
      </c>
      <c r="I44" s="1">
        <v>20030000</v>
      </c>
      <c r="J44" s="1">
        <v>747</v>
      </c>
      <c r="K44" s="1">
        <v>0</v>
      </c>
      <c r="L44" s="1">
        <v>13505</v>
      </c>
      <c r="M44" s="1">
        <v>13.203666999999999</v>
      </c>
      <c r="N44" s="1">
        <v>101.4387</v>
      </c>
      <c r="O44" s="1">
        <v>0.26</v>
      </c>
      <c r="P44" s="1">
        <v>0.2</v>
      </c>
      <c r="Q44" s="1">
        <v>0.82</v>
      </c>
      <c r="R44" s="1">
        <v>4.0999999999999996</v>
      </c>
      <c r="S44" s="1">
        <v>0.01</v>
      </c>
      <c r="T44" s="1">
        <v>31.610001</v>
      </c>
      <c r="U44" s="1">
        <v>12</v>
      </c>
      <c r="V44" s="1">
        <v>6.41</v>
      </c>
      <c r="W44" s="1">
        <v>0</v>
      </c>
      <c r="X44" s="1">
        <v>9949.5405129999999</v>
      </c>
      <c r="Y44" s="1">
        <v>4445485.3074899996</v>
      </c>
      <c r="Z44" t="str">
        <f>VLOOKUP(G44,'Code Pro'!$A$2:$B$9,2,FALSE)</f>
        <v>จ.ชลบุรี</v>
      </c>
      <c r="AA44" s="8">
        <f t="shared" si="1"/>
        <v>1155826.1799474</v>
      </c>
      <c r="AB44" s="8">
        <f t="shared" si="2"/>
        <v>889097.06149799994</v>
      </c>
      <c r="AC44" s="8">
        <f t="shared" si="3"/>
        <v>3645297.9521417995</v>
      </c>
      <c r="AD44" s="8">
        <f t="shared" si="4"/>
        <v>18226489.760708995</v>
      </c>
      <c r="AE44" s="8">
        <f t="shared" si="5"/>
        <v>44454.853074899998</v>
      </c>
      <c r="AF44" s="8">
        <f t="shared" si="6"/>
        <v>140521795.01524419</v>
      </c>
      <c r="AG44" s="8">
        <f t="shared" si="7"/>
        <v>53345823.689879999</v>
      </c>
      <c r="AH44" s="8">
        <f t="shared" si="8"/>
        <v>28495560.821010899</v>
      </c>
      <c r="AI44" s="8">
        <f t="shared" si="9"/>
        <v>0</v>
      </c>
    </row>
    <row r="45" spans="1:35" x14ac:dyDescent="0.55000000000000004">
      <c r="A45" s="1">
        <v>43</v>
      </c>
      <c r="B45" s="1" t="s">
        <v>20</v>
      </c>
      <c r="C45" s="1">
        <v>4</v>
      </c>
      <c r="D45" s="1">
        <v>4</v>
      </c>
      <c r="E45" s="1" t="s">
        <v>27</v>
      </c>
      <c r="F45" s="1" t="s">
        <v>28</v>
      </c>
      <c r="G45" s="1">
        <v>20</v>
      </c>
      <c r="H45" s="1">
        <v>2</v>
      </c>
      <c r="I45" s="1">
        <v>20040000</v>
      </c>
      <c r="J45" s="1">
        <v>213</v>
      </c>
      <c r="K45" s="1">
        <v>0</v>
      </c>
      <c r="L45" s="1">
        <v>12899</v>
      </c>
      <c r="M45" s="1">
        <v>12.798636999999999</v>
      </c>
      <c r="N45" s="1">
        <v>100.93988</v>
      </c>
      <c r="O45" s="1">
        <v>0.02</v>
      </c>
      <c r="P45" s="1">
        <v>8.75</v>
      </c>
      <c r="Q45" s="1">
        <v>1.63</v>
      </c>
      <c r="R45" s="1">
        <v>0</v>
      </c>
      <c r="S45" s="1">
        <v>0.08</v>
      </c>
      <c r="T45" s="1">
        <v>6.06</v>
      </c>
      <c r="U45" s="1">
        <v>16.32</v>
      </c>
      <c r="V45" s="1">
        <v>14.81</v>
      </c>
      <c r="W45" s="1">
        <v>13.74</v>
      </c>
      <c r="X45" s="1">
        <v>27006.483231999999</v>
      </c>
      <c r="Y45" s="1">
        <v>36021856.594499998</v>
      </c>
      <c r="Z45" t="str">
        <f>VLOOKUP(G45,'Code Pro'!$A$2:$B$9,2,FALSE)</f>
        <v>จ.ชลบุรี</v>
      </c>
      <c r="AA45" s="8">
        <f t="shared" si="1"/>
        <v>720437.13188999996</v>
      </c>
      <c r="AB45" s="8">
        <f t="shared" si="2"/>
        <v>315191245.20187497</v>
      </c>
      <c r="AC45" s="8">
        <f t="shared" si="3"/>
        <v>58715626.249034993</v>
      </c>
      <c r="AD45" s="8">
        <f t="shared" si="4"/>
        <v>0</v>
      </c>
      <c r="AE45" s="8">
        <f t="shared" si="5"/>
        <v>2881748.5275599998</v>
      </c>
      <c r="AF45" s="8">
        <f t="shared" si="6"/>
        <v>218292450.96266997</v>
      </c>
      <c r="AG45" s="8">
        <f t="shared" si="7"/>
        <v>587876699.62223995</v>
      </c>
      <c r="AH45" s="8">
        <f t="shared" si="8"/>
        <v>533483696.164545</v>
      </c>
      <c r="AI45" s="8">
        <f t="shared" si="9"/>
        <v>494940309.60842997</v>
      </c>
    </row>
    <row r="46" spans="1:35" x14ac:dyDescent="0.55000000000000004">
      <c r="A46" s="1">
        <v>44</v>
      </c>
      <c r="B46" s="1" t="s">
        <v>20</v>
      </c>
      <c r="C46" s="1">
        <v>4</v>
      </c>
      <c r="D46" s="1">
        <v>4</v>
      </c>
      <c r="E46" s="1" t="s">
        <v>27</v>
      </c>
      <c r="F46" s="1" t="s">
        <v>28</v>
      </c>
      <c r="G46" s="1">
        <v>20</v>
      </c>
      <c r="H46" s="1">
        <v>2</v>
      </c>
      <c r="I46" s="1">
        <v>20040000</v>
      </c>
      <c r="J46" s="1">
        <v>217</v>
      </c>
      <c r="K46" s="1">
        <v>0</v>
      </c>
      <c r="L46" s="1">
        <v>13019</v>
      </c>
      <c r="M46" s="1">
        <v>12.8797</v>
      </c>
      <c r="N46" s="1">
        <v>100.93988</v>
      </c>
      <c r="O46" s="1">
        <v>0.05</v>
      </c>
      <c r="P46" s="1">
        <v>3.2</v>
      </c>
      <c r="Q46" s="1">
        <v>1.32</v>
      </c>
      <c r="R46" s="1">
        <v>0.17</v>
      </c>
      <c r="S46" s="1">
        <v>4.05</v>
      </c>
      <c r="T46" s="1">
        <v>15.27</v>
      </c>
      <c r="U46" s="1">
        <v>5.31</v>
      </c>
      <c r="V46" s="1">
        <v>29.57</v>
      </c>
      <c r="W46" s="1">
        <v>2.63</v>
      </c>
      <c r="X46" s="1">
        <v>33242.052430000003</v>
      </c>
      <c r="Y46" s="1">
        <v>70186846.298500001</v>
      </c>
      <c r="Z46" t="str">
        <f>VLOOKUP(G46,'Code Pro'!$A$2:$B$9,2,FALSE)</f>
        <v>จ.ชลบุรี</v>
      </c>
      <c r="AA46" s="8">
        <f t="shared" si="1"/>
        <v>3509342.3149250001</v>
      </c>
      <c r="AB46" s="8">
        <f t="shared" si="2"/>
        <v>224597908.1552</v>
      </c>
      <c r="AC46" s="8">
        <f t="shared" si="3"/>
        <v>92646637.114020005</v>
      </c>
      <c r="AD46" s="8">
        <f t="shared" si="4"/>
        <v>11931763.870745001</v>
      </c>
      <c r="AE46" s="8">
        <f t="shared" si="5"/>
        <v>284256727.50892502</v>
      </c>
      <c r="AF46" s="8">
        <f t="shared" si="6"/>
        <v>1071753142.9780949</v>
      </c>
      <c r="AG46" s="8">
        <f t="shared" si="7"/>
        <v>372692153.84503496</v>
      </c>
      <c r="AH46" s="8">
        <f t="shared" si="8"/>
        <v>2075425045.0466452</v>
      </c>
      <c r="AI46" s="8">
        <f t="shared" si="9"/>
        <v>184591405.765055</v>
      </c>
    </row>
    <row r="47" spans="1:35" x14ac:dyDescent="0.55000000000000004">
      <c r="A47" s="1">
        <v>45</v>
      </c>
      <c r="B47" s="1" t="s">
        <v>20</v>
      </c>
      <c r="C47" s="1">
        <v>4</v>
      </c>
      <c r="D47" s="1">
        <v>4</v>
      </c>
      <c r="E47" s="1" t="s">
        <v>27</v>
      </c>
      <c r="F47" s="1" t="s">
        <v>28</v>
      </c>
      <c r="G47" s="1">
        <v>20</v>
      </c>
      <c r="H47" s="1">
        <v>2</v>
      </c>
      <c r="I47" s="1">
        <v>20040000</v>
      </c>
      <c r="J47" s="1">
        <v>218</v>
      </c>
      <c r="K47" s="1">
        <v>0</v>
      </c>
      <c r="L47" s="1">
        <v>12900</v>
      </c>
      <c r="M47" s="1">
        <v>12.798636999999999</v>
      </c>
      <c r="N47" s="1">
        <v>101.02302</v>
      </c>
      <c r="O47" s="1">
        <v>0</v>
      </c>
      <c r="P47" s="1">
        <v>7.98</v>
      </c>
      <c r="Q47" s="1">
        <v>0.14000000000000001</v>
      </c>
      <c r="R47" s="1">
        <v>0.01</v>
      </c>
      <c r="S47" s="1">
        <v>1.87</v>
      </c>
      <c r="T47" s="1">
        <v>88.580001999999993</v>
      </c>
      <c r="U47" s="1">
        <v>14.2</v>
      </c>
      <c r="V47" s="1">
        <v>21.92</v>
      </c>
      <c r="W47" s="1">
        <v>7.95</v>
      </c>
      <c r="X47" s="1">
        <v>32893.734645999997</v>
      </c>
      <c r="Y47" s="1">
        <v>44062246.273100004</v>
      </c>
      <c r="Z47" t="str">
        <f>VLOOKUP(G47,'Code Pro'!$A$2:$B$9,2,FALSE)</f>
        <v>จ.ชลบุรี</v>
      </c>
      <c r="AA47" s="8">
        <f t="shared" si="1"/>
        <v>0</v>
      </c>
      <c r="AB47" s="8">
        <f t="shared" si="2"/>
        <v>351616725.25933802</v>
      </c>
      <c r="AC47" s="8">
        <f t="shared" si="3"/>
        <v>6168714.4782340014</v>
      </c>
      <c r="AD47" s="8">
        <f t="shared" si="4"/>
        <v>440622.46273100004</v>
      </c>
      <c r="AE47" s="8">
        <f t="shared" si="5"/>
        <v>82396400.530697018</v>
      </c>
      <c r="AF47" s="8">
        <f t="shared" si="6"/>
        <v>3903033862.9956903</v>
      </c>
      <c r="AG47" s="8">
        <f t="shared" si="7"/>
        <v>625683897.07801998</v>
      </c>
      <c r="AH47" s="8">
        <f t="shared" si="8"/>
        <v>965844438.30635214</v>
      </c>
      <c r="AI47" s="8">
        <f t="shared" si="9"/>
        <v>350294857.87114501</v>
      </c>
    </row>
    <row r="48" spans="1:35" x14ac:dyDescent="0.55000000000000004">
      <c r="A48" s="1">
        <v>46</v>
      </c>
      <c r="B48" s="1" t="s">
        <v>20</v>
      </c>
      <c r="C48" s="1">
        <v>4</v>
      </c>
      <c r="D48" s="1">
        <v>4</v>
      </c>
      <c r="E48" s="1" t="s">
        <v>27</v>
      </c>
      <c r="F48" s="1" t="s">
        <v>28</v>
      </c>
      <c r="G48" s="1">
        <v>20</v>
      </c>
      <c r="H48" s="1">
        <v>2</v>
      </c>
      <c r="I48" s="1">
        <v>20040000</v>
      </c>
      <c r="J48" s="1">
        <v>219</v>
      </c>
      <c r="K48" s="1">
        <v>0</v>
      </c>
      <c r="L48" s="1">
        <v>13139</v>
      </c>
      <c r="M48" s="1">
        <v>12.960724000000001</v>
      </c>
      <c r="N48" s="1">
        <v>100.93988</v>
      </c>
      <c r="O48" s="1">
        <v>2.61</v>
      </c>
      <c r="P48" s="1">
        <v>6.89</v>
      </c>
      <c r="Q48" s="1">
        <v>5.4</v>
      </c>
      <c r="R48" s="1">
        <v>0.12</v>
      </c>
      <c r="S48" s="1">
        <v>13.99</v>
      </c>
      <c r="T48" s="1">
        <v>18.899999999999999</v>
      </c>
      <c r="U48" s="1">
        <v>6.12</v>
      </c>
      <c r="V48" s="1">
        <v>33.659999999999997</v>
      </c>
      <c r="W48" s="1">
        <v>0</v>
      </c>
      <c r="X48" s="1">
        <v>35244.428</v>
      </c>
      <c r="Y48" s="1">
        <v>72433305.733899996</v>
      </c>
      <c r="Z48" t="str">
        <f>VLOOKUP(G48,'Code Pro'!$A$2:$B$9,2,FALSE)</f>
        <v>จ.ชลบุรี</v>
      </c>
      <c r="AA48" s="8">
        <f t="shared" si="1"/>
        <v>189050927.96547899</v>
      </c>
      <c r="AB48" s="8">
        <f t="shared" si="2"/>
        <v>499065476.50657094</v>
      </c>
      <c r="AC48" s="8">
        <f t="shared" si="3"/>
        <v>391139850.96306002</v>
      </c>
      <c r="AD48" s="8">
        <f t="shared" si="4"/>
        <v>8691996.6880679987</v>
      </c>
      <c r="AE48" s="8">
        <f t="shared" si="5"/>
        <v>1013341947.217261</v>
      </c>
      <c r="AF48" s="8">
        <f t="shared" si="6"/>
        <v>1368989478.3707099</v>
      </c>
      <c r="AG48" s="8">
        <f t="shared" si="7"/>
        <v>443291831.09146798</v>
      </c>
      <c r="AH48" s="8">
        <f t="shared" si="8"/>
        <v>2438105071.0030737</v>
      </c>
      <c r="AI48" s="8">
        <f t="shared" si="9"/>
        <v>0</v>
      </c>
    </row>
    <row r="49" spans="1:35" x14ac:dyDescent="0.55000000000000004">
      <c r="A49" s="1">
        <v>47</v>
      </c>
      <c r="B49" s="1" t="s">
        <v>20</v>
      </c>
      <c r="C49" s="1">
        <v>4</v>
      </c>
      <c r="D49" s="1">
        <v>4</v>
      </c>
      <c r="E49" s="1" t="s">
        <v>27</v>
      </c>
      <c r="F49" s="1" t="s">
        <v>28</v>
      </c>
      <c r="G49" s="1">
        <v>20</v>
      </c>
      <c r="H49" s="1">
        <v>2</v>
      </c>
      <c r="I49" s="1">
        <v>20040000</v>
      </c>
      <c r="J49" s="1">
        <v>220</v>
      </c>
      <c r="K49" s="1">
        <v>0</v>
      </c>
      <c r="L49" s="1">
        <v>13138</v>
      </c>
      <c r="M49" s="1">
        <v>12.960724000000001</v>
      </c>
      <c r="N49" s="1">
        <v>100.85674</v>
      </c>
      <c r="O49" s="1">
        <v>9.16</v>
      </c>
      <c r="P49" s="1">
        <v>0.34</v>
      </c>
      <c r="Q49" s="1">
        <v>1.53</v>
      </c>
      <c r="R49" s="1">
        <v>0.56000000000000005</v>
      </c>
      <c r="S49" s="1">
        <v>8.58</v>
      </c>
      <c r="T49" s="1">
        <v>13.63</v>
      </c>
      <c r="U49" s="1">
        <v>4.38</v>
      </c>
      <c r="V49" s="1">
        <v>9.85</v>
      </c>
      <c r="W49" s="1">
        <v>0</v>
      </c>
      <c r="X49" s="1">
        <v>9219.9078100000006</v>
      </c>
      <c r="Y49" s="1">
        <v>3872733.5957200001</v>
      </c>
      <c r="Z49" t="str">
        <f>VLOOKUP(G49,'Code Pro'!$A$2:$B$9,2,FALSE)</f>
        <v>จ.ชลบุรี</v>
      </c>
      <c r="AA49" s="8">
        <f t="shared" si="1"/>
        <v>35474239.736795202</v>
      </c>
      <c r="AB49" s="8">
        <f t="shared" si="2"/>
        <v>1316729.4225448002</v>
      </c>
      <c r="AC49" s="8">
        <f t="shared" si="3"/>
        <v>5925282.4014516007</v>
      </c>
      <c r="AD49" s="8">
        <f t="shared" si="4"/>
        <v>2168730.8136032005</v>
      </c>
      <c r="AE49" s="8">
        <f t="shared" si="5"/>
        <v>33228054.251277599</v>
      </c>
      <c r="AF49" s="8">
        <f t="shared" si="6"/>
        <v>52785358.909663603</v>
      </c>
      <c r="AG49" s="8">
        <f t="shared" si="7"/>
        <v>16962573.149253599</v>
      </c>
      <c r="AH49" s="8">
        <f t="shared" si="8"/>
        <v>38146425.917842001</v>
      </c>
      <c r="AI49" s="8">
        <f t="shared" si="9"/>
        <v>0</v>
      </c>
    </row>
    <row r="50" spans="1:35" x14ac:dyDescent="0.55000000000000004">
      <c r="A50" s="1">
        <v>48</v>
      </c>
      <c r="B50" s="1" t="s">
        <v>20</v>
      </c>
      <c r="C50" s="1">
        <v>4</v>
      </c>
      <c r="D50" s="1">
        <v>4</v>
      </c>
      <c r="E50" s="1" t="s">
        <v>27</v>
      </c>
      <c r="F50" s="1" t="s">
        <v>28</v>
      </c>
      <c r="G50" s="1">
        <v>20</v>
      </c>
      <c r="H50" s="1">
        <v>2</v>
      </c>
      <c r="I50" s="1">
        <v>20040000</v>
      </c>
      <c r="J50" s="1">
        <v>221</v>
      </c>
      <c r="K50" s="1">
        <v>0</v>
      </c>
      <c r="L50" s="1">
        <v>13259</v>
      </c>
      <c r="M50" s="1">
        <v>13.041733000000001</v>
      </c>
      <c r="N50" s="1">
        <v>100.93988</v>
      </c>
      <c r="O50" s="1">
        <v>0.84</v>
      </c>
      <c r="P50" s="1">
        <v>0.74</v>
      </c>
      <c r="Q50" s="1">
        <v>4.41</v>
      </c>
      <c r="R50" s="1">
        <v>1.42</v>
      </c>
      <c r="S50" s="1">
        <v>0.23</v>
      </c>
      <c r="T50" s="1">
        <v>25.049999</v>
      </c>
      <c r="U50" s="1">
        <v>7.62</v>
      </c>
      <c r="V50" s="1">
        <v>4.5</v>
      </c>
      <c r="W50" s="1">
        <v>0</v>
      </c>
      <c r="X50" s="1">
        <v>31935.959232000001</v>
      </c>
      <c r="Y50" s="1">
        <v>46548403.804700002</v>
      </c>
      <c r="Z50" t="str">
        <f>VLOOKUP(G50,'Code Pro'!$A$2:$B$9,2,FALSE)</f>
        <v>จ.ชลบุรี</v>
      </c>
      <c r="AA50" s="8">
        <f t="shared" si="1"/>
        <v>39100659.195947997</v>
      </c>
      <c r="AB50" s="8">
        <f t="shared" si="2"/>
        <v>34445818.815478005</v>
      </c>
      <c r="AC50" s="8">
        <f t="shared" si="3"/>
        <v>205278460.77872702</v>
      </c>
      <c r="AD50" s="8">
        <f t="shared" si="4"/>
        <v>66098733.402673997</v>
      </c>
      <c r="AE50" s="8">
        <f t="shared" si="5"/>
        <v>10706132.875081001</v>
      </c>
      <c r="AF50" s="8">
        <f t="shared" si="6"/>
        <v>1166037468.7593312</v>
      </c>
      <c r="AG50" s="8">
        <f t="shared" si="7"/>
        <v>354698836.99181402</v>
      </c>
      <c r="AH50" s="8">
        <f t="shared" si="8"/>
        <v>209467817.12115002</v>
      </c>
      <c r="AI50" s="8">
        <f t="shared" si="9"/>
        <v>0</v>
      </c>
    </row>
    <row r="51" spans="1:35" x14ac:dyDescent="0.55000000000000004">
      <c r="A51" s="1">
        <v>49</v>
      </c>
      <c r="B51" s="1" t="s">
        <v>20</v>
      </c>
      <c r="C51" s="1">
        <v>4</v>
      </c>
      <c r="D51" s="1">
        <v>4</v>
      </c>
      <c r="E51" s="1" t="s">
        <v>27</v>
      </c>
      <c r="F51" s="1" t="s">
        <v>28</v>
      </c>
      <c r="G51" s="1">
        <v>20</v>
      </c>
      <c r="H51" s="1">
        <v>2</v>
      </c>
      <c r="I51" s="1">
        <v>20040000</v>
      </c>
      <c r="J51" s="1">
        <v>223</v>
      </c>
      <c r="K51" s="1">
        <v>0</v>
      </c>
      <c r="L51" s="1">
        <v>13020</v>
      </c>
      <c r="M51" s="1">
        <v>12.8797</v>
      </c>
      <c r="N51" s="1">
        <v>101.02302</v>
      </c>
      <c r="O51" s="1">
        <v>0.05</v>
      </c>
      <c r="P51" s="1">
        <v>0.23</v>
      </c>
      <c r="Q51" s="1">
        <v>0.15</v>
      </c>
      <c r="R51" s="1">
        <v>0.04</v>
      </c>
      <c r="S51" s="1">
        <v>3.58</v>
      </c>
      <c r="T51" s="1">
        <v>27.25</v>
      </c>
      <c r="U51" s="1">
        <v>8.32</v>
      </c>
      <c r="V51" s="1">
        <v>24.030000999999999</v>
      </c>
      <c r="W51" s="1">
        <v>8.8800000000000008</v>
      </c>
      <c r="X51" s="1">
        <v>36239.39258</v>
      </c>
      <c r="Y51" s="1">
        <v>80551492.554800004</v>
      </c>
      <c r="Z51" t="str">
        <f>VLOOKUP(G51,'Code Pro'!$A$2:$B$9,2,FALSE)</f>
        <v>จ.ชลบุรี</v>
      </c>
      <c r="AA51" s="8">
        <f t="shared" si="1"/>
        <v>4027574.6277400004</v>
      </c>
      <c r="AB51" s="8">
        <f t="shared" si="2"/>
        <v>18526843.287604</v>
      </c>
      <c r="AC51" s="8">
        <f t="shared" si="3"/>
        <v>12082723.88322</v>
      </c>
      <c r="AD51" s="8">
        <f t="shared" si="4"/>
        <v>3222059.7021920001</v>
      </c>
      <c r="AE51" s="8">
        <f t="shared" si="5"/>
        <v>288374343.34618402</v>
      </c>
      <c r="AF51" s="8">
        <f t="shared" si="6"/>
        <v>2195028172.1183</v>
      </c>
      <c r="AG51" s="8">
        <f t="shared" si="7"/>
        <v>670188418.0559361</v>
      </c>
      <c r="AH51" s="8">
        <f t="shared" si="8"/>
        <v>1935652446.6433365</v>
      </c>
      <c r="AI51" s="8">
        <f t="shared" si="9"/>
        <v>715297253.8866241</v>
      </c>
    </row>
    <row r="52" spans="1:35" x14ac:dyDescent="0.55000000000000004">
      <c r="A52" s="1">
        <v>50</v>
      </c>
      <c r="B52" s="1" t="s">
        <v>20</v>
      </c>
      <c r="C52" s="1">
        <v>4</v>
      </c>
      <c r="D52" s="1">
        <v>4</v>
      </c>
      <c r="E52" s="1" t="s">
        <v>27</v>
      </c>
      <c r="F52" s="1" t="s">
        <v>28</v>
      </c>
      <c r="G52" s="1">
        <v>20</v>
      </c>
      <c r="H52" s="1">
        <v>2</v>
      </c>
      <c r="I52" s="1">
        <v>20040000</v>
      </c>
      <c r="J52" s="1">
        <v>224</v>
      </c>
      <c r="K52" s="1">
        <v>0</v>
      </c>
      <c r="L52" s="1">
        <v>13141</v>
      </c>
      <c r="M52" s="1">
        <v>12.960724000000001</v>
      </c>
      <c r="N52" s="1">
        <v>101.10615</v>
      </c>
      <c r="O52" s="1">
        <v>0.11</v>
      </c>
      <c r="P52" s="1">
        <v>0.09</v>
      </c>
      <c r="Q52" s="1">
        <v>0.11</v>
      </c>
      <c r="R52" s="1">
        <v>0.02</v>
      </c>
      <c r="S52" s="1">
        <v>0.24</v>
      </c>
      <c r="T52" s="1">
        <v>46.040000999999997</v>
      </c>
      <c r="U52" s="1">
        <v>3.41</v>
      </c>
      <c r="V52" s="1">
        <v>28.25</v>
      </c>
      <c r="W52" s="1">
        <v>2.17</v>
      </c>
      <c r="X52" s="1">
        <v>25082.100724</v>
      </c>
      <c r="Y52" s="1">
        <v>26973862.948800001</v>
      </c>
      <c r="Z52" t="str">
        <f>VLOOKUP(G52,'Code Pro'!$A$2:$B$9,2,FALSE)</f>
        <v>จ.ชลบุรี</v>
      </c>
      <c r="AA52" s="8">
        <f t="shared" si="1"/>
        <v>2967124.9243680001</v>
      </c>
      <c r="AB52" s="8">
        <f t="shared" si="2"/>
        <v>2427647.6653920002</v>
      </c>
      <c r="AC52" s="8">
        <f t="shared" si="3"/>
        <v>2967124.9243680001</v>
      </c>
      <c r="AD52" s="8">
        <f t="shared" si="4"/>
        <v>539477.25897600001</v>
      </c>
      <c r="AE52" s="8">
        <f t="shared" si="5"/>
        <v>6473727.1077119997</v>
      </c>
      <c r="AF52" s="8">
        <f t="shared" si="6"/>
        <v>1241876677.1366148</v>
      </c>
      <c r="AG52" s="8">
        <f t="shared" si="7"/>
        <v>91980872.65540801</v>
      </c>
      <c r="AH52" s="8">
        <f t="shared" si="8"/>
        <v>762011628.30360007</v>
      </c>
      <c r="AI52" s="8">
        <f t="shared" si="9"/>
        <v>58533282.598896004</v>
      </c>
    </row>
    <row r="53" spans="1:35" x14ac:dyDescent="0.55000000000000004">
      <c r="A53" s="1">
        <v>51</v>
      </c>
      <c r="B53" s="1" t="s">
        <v>20</v>
      </c>
      <c r="C53" s="1">
        <v>4</v>
      </c>
      <c r="D53" s="1">
        <v>4</v>
      </c>
      <c r="E53" s="1" t="s">
        <v>27</v>
      </c>
      <c r="F53" s="1" t="s">
        <v>28</v>
      </c>
      <c r="G53" s="1">
        <v>20</v>
      </c>
      <c r="H53" s="1">
        <v>2</v>
      </c>
      <c r="I53" s="1">
        <v>20040000</v>
      </c>
      <c r="J53" s="1">
        <v>225</v>
      </c>
      <c r="K53" s="1">
        <v>0</v>
      </c>
      <c r="L53" s="1">
        <v>13140</v>
      </c>
      <c r="M53" s="1">
        <v>12.960724000000001</v>
      </c>
      <c r="N53" s="1">
        <v>101.02302</v>
      </c>
      <c r="O53" s="1">
        <v>0.15</v>
      </c>
      <c r="P53" s="1">
        <v>0.46</v>
      </c>
      <c r="Q53" s="1">
        <v>1.63</v>
      </c>
      <c r="R53" s="1">
        <v>0</v>
      </c>
      <c r="S53" s="1">
        <v>0.26</v>
      </c>
      <c r="T53" s="1">
        <v>21.16</v>
      </c>
      <c r="U53" s="1">
        <v>10.96</v>
      </c>
      <c r="V53" s="1">
        <v>43.52</v>
      </c>
      <c r="W53" s="1">
        <v>0</v>
      </c>
      <c r="X53" s="1">
        <v>35973.372769000001</v>
      </c>
      <c r="Y53" s="1">
        <v>80879395.948500007</v>
      </c>
      <c r="Z53" t="str">
        <f>VLOOKUP(G53,'Code Pro'!$A$2:$B$9,2,FALSE)</f>
        <v>จ.ชลบุรี</v>
      </c>
      <c r="AA53" s="8">
        <f t="shared" si="1"/>
        <v>12131909.392275</v>
      </c>
      <c r="AB53" s="8">
        <f t="shared" si="2"/>
        <v>37204522.136310004</v>
      </c>
      <c r="AC53" s="8">
        <f t="shared" si="3"/>
        <v>131833415.396055</v>
      </c>
      <c r="AD53" s="8">
        <f t="shared" si="4"/>
        <v>0</v>
      </c>
      <c r="AE53" s="8">
        <f t="shared" si="5"/>
        <v>21028642.946610004</v>
      </c>
      <c r="AF53" s="8">
        <f t="shared" si="6"/>
        <v>1711408018.2702601</v>
      </c>
      <c r="AG53" s="8">
        <f t="shared" si="7"/>
        <v>886438179.59556019</v>
      </c>
      <c r="AH53" s="8">
        <f t="shared" si="8"/>
        <v>3519871311.6787205</v>
      </c>
      <c r="AI53" s="8">
        <f t="shared" si="9"/>
        <v>0</v>
      </c>
    </row>
    <row r="54" spans="1:35" x14ac:dyDescent="0.55000000000000004">
      <c r="A54" s="1">
        <v>52</v>
      </c>
      <c r="B54" s="1" t="s">
        <v>20</v>
      </c>
      <c r="C54" s="1">
        <v>4</v>
      </c>
      <c r="D54" s="1">
        <v>4</v>
      </c>
      <c r="E54" s="1" t="s">
        <v>27</v>
      </c>
      <c r="F54" s="1" t="s">
        <v>28</v>
      </c>
      <c r="G54" s="1">
        <v>20</v>
      </c>
      <c r="H54" s="1">
        <v>2</v>
      </c>
      <c r="I54" s="1">
        <v>20040000</v>
      </c>
      <c r="J54" s="1">
        <v>226</v>
      </c>
      <c r="K54" s="1">
        <v>0</v>
      </c>
      <c r="L54" s="1">
        <v>13021</v>
      </c>
      <c r="M54" s="1">
        <v>12.8797</v>
      </c>
      <c r="N54" s="1">
        <v>101.10615</v>
      </c>
      <c r="O54" s="1">
        <v>7.0000000000000007E-2</v>
      </c>
      <c r="P54" s="1">
        <v>0.01</v>
      </c>
      <c r="Q54" s="1">
        <v>0</v>
      </c>
      <c r="R54" s="1">
        <v>1.1000000000000001</v>
      </c>
      <c r="S54" s="1">
        <v>3.27</v>
      </c>
      <c r="T54" s="1">
        <v>24.68</v>
      </c>
      <c r="U54" s="1">
        <v>36.240001999999997</v>
      </c>
      <c r="V54" s="1">
        <v>10.33</v>
      </c>
      <c r="W54" s="1">
        <v>5.99</v>
      </c>
      <c r="X54" s="1">
        <v>17674.371975999999</v>
      </c>
      <c r="Y54" s="1">
        <v>8152784.4751199996</v>
      </c>
      <c r="Z54" t="str">
        <f>VLOOKUP(G54,'Code Pro'!$A$2:$B$9,2,FALSE)</f>
        <v>จ.ชลบุรี</v>
      </c>
      <c r="AA54" s="8">
        <f t="shared" si="1"/>
        <v>570694.91325840005</v>
      </c>
      <c r="AB54" s="8">
        <f t="shared" si="2"/>
        <v>81527.844751199998</v>
      </c>
      <c r="AC54" s="8">
        <f t="shared" si="3"/>
        <v>0</v>
      </c>
      <c r="AD54" s="8">
        <f t="shared" si="4"/>
        <v>8968062.9226319995</v>
      </c>
      <c r="AE54" s="8">
        <f t="shared" si="5"/>
        <v>26659605.233642399</v>
      </c>
      <c r="AF54" s="8">
        <f t="shared" si="6"/>
        <v>201210720.8459616</v>
      </c>
      <c r="AG54" s="8">
        <f t="shared" si="7"/>
        <v>295456925.6839177</v>
      </c>
      <c r="AH54" s="8">
        <f t="shared" si="8"/>
        <v>84218263.62798959</v>
      </c>
      <c r="AI54" s="8">
        <f t="shared" si="9"/>
        <v>48835179.005968802</v>
      </c>
    </row>
    <row r="55" spans="1:35" x14ac:dyDescent="0.55000000000000004">
      <c r="A55" s="1">
        <v>53</v>
      </c>
      <c r="B55" s="1" t="s">
        <v>20</v>
      </c>
      <c r="C55" s="1">
        <v>4</v>
      </c>
      <c r="D55" s="1">
        <v>4</v>
      </c>
      <c r="E55" s="1" t="s">
        <v>27</v>
      </c>
      <c r="F55" s="1" t="s">
        <v>28</v>
      </c>
      <c r="G55" s="1">
        <v>20</v>
      </c>
      <c r="H55" s="1">
        <v>2</v>
      </c>
      <c r="I55" s="1">
        <v>20040000</v>
      </c>
      <c r="J55" s="1">
        <v>227</v>
      </c>
      <c r="K55" s="1">
        <v>0</v>
      </c>
      <c r="L55" s="1">
        <v>13261</v>
      </c>
      <c r="M55" s="1">
        <v>13.041733000000001</v>
      </c>
      <c r="N55" s="1">
        <v>101.10615</v>
      </c>
      <c r="O55" s="1">
        <v>6.42</v>
      </c>
      <c r="P55" s="1">
        <v>0.24</v>
      </c>
      <c r="Q55" s="1">
        <v>0.51</v>
      </c>
      <c r="R55" s="1">
        <v>2.87</v>
      </c>
      <c r="S55" s="1">
        <v>2.2599999999999998</v>
      </c>
      <c r="T55" s="1">
        <v>45.639999000000003</v>
      </c>
      <c r="U55" s="1">
        <v>5.42</v>
      </c>
      <c r="V55" s="1">
        <v>25.700001</v>
      </c>
      <c r="W55" s="1">
        <v>0</v>
      </c>
      <c r="X55" s="1">
        <v>6565.6802019999996</v>
      </c>
      <c r="Y55" s="1">
        <v>910358.72929199995</v>
      </c>
      <c r="Z55" t="str">
        <f>VLOOKUP(G55,'Code Pro'!$A$2:$B$9,2,FALSE)</f>
        <v>จ.ชลบุรี</v>
      </c>
      <c r="AA55" s="8">
        <f t="shared" si="1"/>
        <v>5844503.0420546392</v>
      </c>
      <c r="AB55" s="8">
        <f t="shared" si="2"/>
        <v>218486.09503007997</v>
      </c>
      <c r="AC55" s="8">
        <f t="shared" si="3"/>
        <v>464282.95193891996</v>
      </c>
      <c r="AD55" s="8">
        <f t="shared" si="4"/>
        <v>2612729.5530680399</v>
      </c>
      <c r="AE55" s="8">
        <f t="shared" si="5"/>
        <v>2057410.7281999197</v>
      </c>
      <c r="AF55" s="8">
        <f t="shared" si="6"/>
        <v>41548771.494528152</v>
      </c>
      <c r="AG55" s="8">
        <f t="shared" si="7"/>
        <v>4934144.3127626395</v>
      </c>
      <c r="AH55" s="8">
        <f t="shared" si="8"/>
        <v>23396220.253163129</v>
      </c>
      <c r="AI55" s="8">
        <f t="shared" si="9"/>
        <v>0</v>
      </c>
    </row>
    <row r="56" spans="1:35" x14ac:dyDescent="0.55000000000000004">
      <c r="A56" s="1">
        <v>54</v>
      </c>
      <c r="B56" s="1" t="s">
        <v>20</v>
      </c>
      <c r="C56" s="1">
        <v>4</v>
      </c>
      <c r="D56" s="1">
        <v>4</v>
      </c>
      <c r="E56" s="1" t="s">
        <v>27</v>
      </c>
      <c r="F56" s="1" t="s">
        <v>28</v>
      </c>
      <c r="G56" s="1">
        <v>20</v>
      </c>
      <c r="H56" s="1">
        <v>2</v>
      </c>
      <c r="I56" s="1">
        <v>20040000</v>
      </c>
      <c r="J56" s="1">
        <v>228</v>
      </c>
      <c r="K56" s="1">
        <v>0</v>
      </c>
      <c r="L56" s="1">
        <v>13260</v>
      </c>
      <c r="M56" s="1">
        <v>13.041733000000001</v>
      </c>
      <c r="N56" s="1">
        <v>101.02302</v>
      </c>
      <c r="O56" s="1">
        <v>0.05</v>
      </c>
      <c r="P56" s="1">
        <v>0.5</v>
      </c>
      <c r="Q56" s="1">
        <v>2.56</v>
      </c>
      <c r="R56" s="1">
        <v>0.33</v>
      </c>
      <c r="S56" s="1">
        <v>0</v>
      </c>
      <c r="T56" s="1">
        <v>33.659999999999997</v>
      </c>
      <c r="U56" s="1">
        <v>1.95</v>
      </c>
      <c r="V56" s="1">
        <v>9.98</v>
      </c>
      <c r="W56" s="1">
        <v>0</v>
      </c>
      <c r="X56" s="1">
        <v>27928.082608000001</v>
      </c>
      <c r="Y56" s="1">
        <v>28640667.3684</v>
      </c>
      <c r="Z56" t="str">
        <f>VLOOKUP(G56,'Code Pro'!$A$2:$B$9,2,FALSE)</f>
        <v>จ.ชลบุรี</v>
      </c>
      <c r="AA56" s="8">
        <f t="shared" si="1"/>
        <v>1432033.3684200002</v>
      </c>
      <c r="AB56" s="8">
        <f t="shared" si="2"/>
        <v>14320333.6842</v>
      </c>
      <c r="AC56" s="8">
        <f t="shared" si="3"/>
        <v>73320108.463103995</v>
      </c>
      <c r="AD56" s="8">
        <f t="shared" si="4"/>
        <v>9451420.2315720003</v>
      </c>
      <c r="AE56" s="8">
        <f t="shared" si="5"/>
        <v>0</v>
      </c>
      <c r="AF56" s="8">
        <f t="shared" si="6"/>
        <v>964044863.62034392</v>
      </c>
      <c r="AG56" s="8">
        <f t="shared" si="7"/>
        <v>55849301.368379995</v>
      </c>
      <c r="AH56" s="8">
        <f t="shared" si="8"/>
        <v>285833860.33663201</v>
      </c>
      <c r="AI56" s="8">
        <f t="shared" si="9"/>
        <v>0</v>
      </c>
    </row>
    <row r="57" spans="1:35" x14ac:dyDescent="0.55000000000000004">
      <c r="A57" s="1">
        <v>55</v>
      </c>
      <c r="B57" s="1" t="s">
        <v>20</v>
      </c>
      <c r="C57" s="1">
        <v>4</v>
      </c>
      <c r="D57" s="1">
        <v>4</v>
      </c>
      <c r="E57" s="1" t="s">
        <v>27</v>
      </c>
      <c r="F57" s="1" t="s">
        <v>28</v>
      </c>
      <c r="G57" s="1">
        <v>20</v>
      </c>
      <c r="H57" s="1">
        <v>2</v>
      </c>
      <c r="I57" s="1">
        <v>20040000</v>
      </c>
      <c r="J57" s="1">
        <v>676</v>
      </c>
      <c r="K57" s="1">
        <v>0</v>
      </c>
      <c r="L57" s="1">
        <v>13379</v>
      </c>
      <c r="M57" s="1">
        <v>13.122719</v>
      </c>
      <c r="N57" s="1">
        <v>100.93988</v>
      </c>
      <c r="O57" s="1">
        <v>1.1000000000000001</v>
      </c>
      <c r="P57" s="1">
        <v>0.18</v>
      </c>
      <c r="Q57" s="1">
        <v>33.950001</v>
      </c>
      <c r="R57" s="1">
        <v>1.19</v>
      </c>
      <c r="S57" s="1">
        <v>0.03</v>
      </c>
      <c r="T57" s="1">
        <v>22.01</v>
      </c>
      <c r="U57" s="1">
        <v>9.7100000000000009</v>
      </c>
      <c r="V57" s="1">
        <v>5.91</v>
      </c>
      <c r="W57" s="1">
        <v>0</v>
      </c>
      <c r="X57" s="1">
        <v>1780.322128</v>
      </c>
      <c r="Y57" s="1">
        <v>128853.896838</v>
      </c>
      <c r="Z57" t="str">
        <f>VLOOKUP(G57,'Code Pro'!$A$2:$B$9,2,FALSE)</f>
        <v>จ.ชลบุรี</v>
      </c>
      <c r="AA57" s="8">
        <f t="shared" si="1"/>
        <v>141739.28652180001</v>
      </c>
      <c r="AB57" s="8">
        <f t="shared" si="2"/>
        <v>23193.701430839999</v>
      </c>
      <c r="AC57" s="8">
        <f t="shared" si="3"/>
        <v>4374589.9265039973</v>
      </c>
      <c r="AD57" s="8">
        <f t="shared" si="4"/>
        <v>153336.13723721998</v>
      </c>
      <c r="AE57" s="8">
        <f t="shared" si="5"/>
        <v>3865.6169051399997</v>
      </c>
      <c r="AF57" s="8">
        <f t="shared" si="6"/>
        <v>2836074.2694043801</v>
      </c>
      <c r="AG57" s="8">
        <f t="shared" si="7"/>
        <v>1251171.3382969801</v>
      </c>
      <c r="AH57" s="8">
        <f t="shared" si="8"/>
        <v>761526.53031258006</v>
      </c>
      <c r="AI57" s="8">
        <f t="shared" si="9"/>
        <v>0</v>
      </c>
    </row>
    <row r="58" spans="1:35" x14ac:dyDescent="0.55000000000000004">
      <c r="A58" s="1">
        <v>56</v>
      </c>
      <c r="B58" s="1" t="s">
        <v>20</v>
      </c>
      <c r="C58" s="1">
        <v>5</v>
      </c>
      <c r="D58" s="1">
        <v>5</v>
      </c>
      <c r="E58" s="1" t="s">
        <v>29</v>
      </c>
      <c r="F58" s="1" t="s">
        <v>30</v>
      </c>
      <c r="G58" s="1">
        <v>20</v>
      </c>
      <c r="H58" s="1">
        <v>2</v>
      </c>
      <c r="I58" s="1">
        <v>20050000</v>
      </c>
      <c r="J58" s="1">
        <v>683</v>
      </c>
      <c r="K58" s="1">
        <v>0</v>
      </c>
      <c r="L58" s="1">
        <v>13741</v>
      </c>
      <c r="M58" s="1">
        <v>13.365479000000001</v>
      </c>
      <c r="N58" s="1">
        <v>101.10615</v>
      </c>
      <c r="O58" s="1">
        <v>0.38</v>
      </c>
      <c r="P58" s="1">
        <v>15.7</v>
      </c>
      <c r="Q58" s="1">
        <v>7.94</v>
      </c>
      <c r="R58" s="1">
        <v>2.33</v>
      </c>
      <c r="S58" s="1">
        <v>0.05</v>
      </c>
      <c r="T58" s="1">
        <v>52.740001999999997</v>
      </c>
      <c r="U58" s="1">
        <v>1.25</v>
      </c>
      <c r="V58" s="1">
        <v>0</v>
      </c>
      <c r="W58" s="1">
        <v>0</v>
      </c>
      <c r="X58" s="1">
        <v>27737.412262999998</v>
      </c>
      <c r="Y58" s="1">
        <v>22735708.004500002</v>
      </c>
      <c r="Z58" t="str">
        <f>VLOOKUP(G58,'Code Pro'!$A$2:$B$9,2,FALSE)</f>
        <v>จ.ชลบุรี</v>
      </c>
      <c r="AA58" s="8">
        <f t="shared" si="1"/>
        <v>8639569.0417100005</v>
      </c>
      <c r="AB58" s="8">
        <f t="shared" si="2"/>
        <v>356950615.67065001</v>
      </c>
      <c r="AC58" s="8">
        <f t="shared" si="3"/>
        <v>180521521.55573002</v>
      </c>
      <c r="AD58" s="8">
        <f t="shared" si="4"/>
        <v>52974199.650485009</v>
      </c>
      <c r="AE58" s="8">
        <f t="shared" si="5"/>
        <v>1136785.4002250002</v>
      </c>
      <c r="AF58" s="8">
        <f t="shared" si="6"/>
        <v>1199081285.628746</v>
      </c>
      <c r="AG58" s="8">
        <f t="shared" si="7"/>
        <v>28419635.005625002</v>
      </c>
      <c r="AH58" s="8">
        <f t="shared" si="8"/>
        <v>0</v>
      </c>
      <c r="AI58" s="8">
        <f t="shared" si="9"/>
        <v>0</v>
      </c>
    </row>
    <row r="59" spans="1:35" x14ac:dyDescent="0.55000000000000004">
      <c r="A59" s="1">
        <v>57</v>
      </c>
      <c r="B59" s="1" t="s">
        <v>20</v>
      </c>
      <c r="C59" s="1">
        <v>5</v>
      </c>
      <c r="D59" s="1">
        <v>5</v>
      </c>
      <c r="E59" s="1" t="s">
        <v>29</v>
      </c>
      <c r="F59" s="1" t="s">
        <v>30</v>
      </c>
      <c r="G59" s="1">
        <v>20</v>
      </c>
      <c r="H59" s="1">
        <v>2</v>
      </c>
      <c r="I59" s="1">
        <v>20050000</v>
      </c>
      <c r="J59" s="1">
        <v>692</v>
      </c>
      <c r="K59" s="1">
        <v>0</v>
      </c>
      <c r="L59" s="1">
        <v>13860</v>
      </c>
      <c r="M59" s="1">
        <v>13.446358</v>
      </c>
      <c r="N59" s="1">
        <v>101.02302</v>
      </c>
      <c r="O59" s="1">
        <v>0.03</v>
      </c>
      <c r="P59" s="1">
        <v>41.380001</v>
      </c>
      <c r="Q59" s="1">
        <v>4.1100000000000003</v>
      </c>
      <c r="R59" s="1">
        <v>3.2</v>
      </c>
      <c r="S59" s="1">
        <v>0.97</v>
      </c>
      <c r="T59" s="1">
        <v>44.740001999999997</v>
      </c>
      <c r="U59" s="1">
        <v>5.44</v>
      </c>
      <c r="V59" s="1">
        <v>0</v>
      </c>
      <c r="W59" s="1">
        <v>0</v>
      </c>
      <c r="X59" s="1">
        <v>29233.739612000001</v>
      </c>
      <c r="Y59" s="1">
        <v>27902164.635200001</v>
      </c>
      <c r="Z59" t="str">
        <f>VLOOKUP(G59,'Code Pro'!$A$2:$B$9,2,FALSE)</f>
        <v>จ.ชลบุรี</v>
      </c>
      <c r="AA59" s="8">
        <f t="shared" si="1"/>
        <v>837064.93905599997</v>
      </c>
      <c r="AB59" s="8">
        <f t="shared" si="2"/>
        <v>1154591600.5067408</v>
      </c>
      <c r="AC59" s="8">
        <f t="shared" si="3"/>
        <v>114677896.65067202</v>
      </c>
      <c r="AD59" s="8">
        <f t="shared" si="4"/>
        <v>89286926.832640007</v>
      </c>
      <c r="AE59" s="8">
        <f t="shared" si="5"/>
        <v>27065099.696144</v>
      </c>
      <c r="AF59" s="8">
        <f t="shared" si="6"/>
        <v>1248342901.5831773</v>
      </c>
      <c r="AG59" s="8">
        <f t="shared" si="7"/>
        <v>151787775.61548802</v>
      </c>
      <c r="AH59" s="8">
        <f t="shared" si="8"/>
        <v>0</v>
      </c>
      <c r="AI59" s="8">
        <f t="shared" si="9"/>
        <v>0</v>
      </c>
    </row>
    <row r="60" spans="1:35" x14ac:dyDescent="0.55000000000000004">
      <c r="A60" s="1">
        <v>58</v>
      </c>
      <c r="B60" s="1" t="s">
        <v>20</v>
      </c>
      <c r="C60" s="1">
        <v>5</v>
      </c>
      <c r="D60" s="1">
        <v>5</v>
      </c>
      <c r="E60" s="1" t="s">
        <v>29</v>
      </c>
      <c r="F60" s="1" t="s">
        <v>30</v>
      </c>
      <c r="G60" s="1">
        <v>20</v>
      </c>
      <c r="H60" s="1">
        <v>2</v>
      </c>
      <c r="I60" s="1">
        <v>20050000</v>
      </c>
      <c r="J60" s="1">
        <v>693</v>
      </c>
      <c r="K60" s="1">
        <v>0</v>
      </c>
      <c r="L60" s="1">
        <v>13740</v>
      </c>
      <c r="M60" s="1">
        <v>13.365479000000001</v>
      </c>
      <c r="N60" s="1">
        <v>101.02302</v>
      </c>
      <c r="O60" s="1">
        <v>1.94</v>
      </c>
      <c r="P60" s="1">
        <v>16.649999999999999</v>
      </c>
      <c r="Q60" s="1">
        <v>16.649999999999999</v>
      </c>
      <c r="R60" s="1">
        <v>6.78</v>
      </c>
      <c r="S60" s="1">
        <v>0.44</v>
      </c>
      <c r="T60" s="1">
        <v>34.099997999999999</v>
      </c>
      <c r="U60" s="1">
        <v>3.39</v>
      </c>
      <c r="V60" s="1">
        <v>0.05</v>
      </c>
      <c r="W60" s="1">
        <v>0</v>
      </c>
      <c r="X60" s="1">
        <v>4415.1217500000002</v>
      </c>
      <c r="Y60" s="1">
        <v>762479.63178900001</v>
      </c>
      <c r="Z60" t="str">
        <f>VLOOKUP(G60,'Code Pro'!$A$2:$B$9,2,FALSE)</f>
        <v>จ.ชลบุรี</v>
      </c>
      <c r="AA60" s="8">
        <f t="shared" si="1"/>
        <v>1479210.4856706599</v>
      </c>
      <c r="AB60" s="8">
        <f t="shared" si="2"/>
        <v>12695285.869286848</v>
      </c>
      <c r="AC60" s="8">
        <f t="shared" si="3"/>
        <v>12695285.869286848</v>
      </c>
      <c r="AD60" s="8">
        <f t="shared" si="4"/>
        <v>5169611.9035294205</v>
      </c>
      <c r="AE60" s="8">
        <f t="shared" si="5"/>
        <v>335491.03798716003</v>
      </c>
      <c r="AF60" s="8">
        <f t="shared" si="6"/>
        <v>26000553.919045635</v>
      </c>
      <c r="AG60" s="8">
        <f t="shared" si="7"/>
        <v>2584805.9517647102</v>
      </c>
      <c r="AH60" s="8">
        <f t="shared" si="8"/>
        <v>38123.981589449999</v>
      </c>
      <c r="AI60" s="8">
        <f t="shared" si="9"/>
        <v>0</v>
      </c>
    </row>
    <row r="61" spans="1:35" x14ac:dyDescent="0.55000000000000004">
      <c r="A61" s="1">
        <v>59</v>
      </c>
      <c r="B61" s="1" t="s">
        <v>20</v>
      </c>
      <c r="C61" s="1">
        <v>5</v>
      </c>
      <c r="D61" s="1">
        <v>5</v>
      </c>
      <c r="E61" s="1" t="s">
        <v>29</v>
      </c>
      <c r="F61" s="1" t="s">
        <v>30</v>
      </c>
      <c r="G61" s="1">
        <v>20</v>
      </c>
      <c r="H61" s="1">
        <v>2</v>
      </c>
      <c r="I61" s="1">
        <v>20050000</v>
      </c>
      <c r="J61" s="1">
        <v>714</v>
      </c>
      <c r="K61" s="1">
        <v>0</v>
      </c>
      <c r="L61" s="1">
        <v>13980</v>
      </c>
      <c r="M61" s="1">
        <v>13.527199</v>
      </c>
      <c r="N61" s="1">
        <v>101.02302</v>
      </c>
      <c r="O61" s="1">
        <v>4.5199999999999996</v>
      </c>
      <c r="P61" s="1">
        <v>9.1</v>
      </c>
      <c r="Q61" s="1">
        <v>6.18</v>
      </c>
      <c r="R61" s="1">
        <v>3.52</v>
      </c>
      <c r="S61" s="1">
        <v>0.94</v>
      </c>
      <c r="T61" s="1">
        <v>28.809999000000001</v>
      </c>
      <c r="U61" s="1">
        <v>3.01</v>
      </c>
      <c r="V61" s="1">
        <v>0</v>
      </c>
      <c r="W61" s="1">
        <v>0</v>
      </c>
      <c r="X61" s="1">
        <v>20766.231501999999</v>
      </c>
      <c r="Y61" s="1">
        <v>8460255.1229699999</v>
      </c>
      <c r="Z61" t="str">
        <f>VLOOKUP(G61,'Code Pro'!$A$2:$B$9,2,FALSE)</f>
        <v>จ.ชลบุรี</v>
      </c>
      <c r="AA61" s="8">
        <f t="shared" si="1"/>
        <v>38240353.155824393</v>
      </c>
      <c r="AB61" s="8">
        <f t="shared" si="2"/>
        <v>76988321.619026989</v>
      </c>
      <c r="AC61" s="8">
        <f t="shared" si="3"/>
        <v>52284376.6599546</v>
      </c>
      <c r="AD61" s="8">
        <f t="shared" si="4"/>
        <v>29780098.032854401</v>
      </c>
      <c r="AE61" s="8">
        <f t="shared" si="5"/>
        <v>7952639.8155917991</v>
      </c>
      <c r="AF61" s="8">
        <f t="shared" si="6"/>
        <v>243739941.63251057</v>
      </c>
      <c r="AG61" s="8">
        <f t="shared" si="7"/>
        <v>25465367.920139696</v>
      </c>
      <c r="AH61" s="8">
        <f t="shared" si="8"/>
        <v>0</v>
      </c>
      <c r="AI61" s="8">
        <f t="shared" si="9"/>
        <v>0</v>
      </c>
    </row>
    <row r="62" spans="1:35" x14ac:dyDescent="0.55000000000000004">
      <c r="A62" s="1">
        <v>60</v>
      </c>
      <c r="B62" s="1" t="s">
        <v>20</v>
      </c>
      <c r="C62" s="1">
        <v>5</v>
      </c>
      <c r="D62" s="1">
        <v>5</v>
      </c>
      <c r="E62" s="1" t="s">
        <v>29</v>
      </c>
      <c r="F62" s="1" t="s">
        <v>30</v>
      </c>
      <c r="G62" s="1">
        <v>20</v>
      </c>
      <c r="H62" s="1">
        <v>2</v>
      </c>
      <c r="I62" s="1">
        <v>20050000</v>
      </c>
      <c r="J62" s="1">
        <v>716</v>
      </c>
      <c r="K62" s="1">
        <v>0</v>
      </c>
      <c r="L62" s="1">
        <v>14101</v>
      </c>
      <c r="M62" s="1">
        <v>13.608017</v>
      </c>
      <c r="N62" s="1">
        <v>101.10615</v>
      </c>
      <c r="O62" s="1">
        <v>9.66</v>
      </c>
      <c r="P62" s="1">
        <v>0.01</v>
      </c>
      <c r="Q62" s="1">
        <v>0.54</v>
      </c>
      <c r="R62" s="1">
        <v>0.17</v>
      </c>
      <c r="S62" s="1">
        <v>1.17</v>
      </c>
      <c r="T62" s="1">
        <v>7.87</v>
      </c>
      <c r="U62" s="1">
        <v>21.27</v>
      </c>
      <c r="V62" s="1">
        <v>0</v>
      </c>
      <c r="W62" s="1">
        <v>0</v>
      </c>
      <c r="X62" s="1">
        <v>1784.5779829999999</v>
      </c>
      <c r="Y62" s="1">
        <v>113262.7515</v>
      </c>
      <c r="Z62" t="str">
        <f>VLOOKUP(G62,'Code Pro'!$A$2:$B$9,2,FALSE)</f>
        <v>จ.ชลบุรี</v>
      </c>
      <c r="AA62" s="8">
        <f t="shared" si="1"/>
        <v>1094118.17949</v>
      </c>
      <c r="AB62" s="8">
        <f t="shared" si="2"/>
        <v>1132.6275149999999</v>
      </c>
      <c r="AC62" s="8">
        <f t="shared" si="3"/>
        <v>61161.88581</v>
      </c>
      <c r="AD62" s="8">
        <f t="shared" si="4"/>
        <v>19254.667755000002</v>
      </c>
      <c r="AE62" s="8">
        <f t="shared" si="5"/>
        <v>132517.41925499999</v>
      </c>
      <c r="AF62" s="8">
        <f t="shared" si="6"/>
        <v>891377.85430500004</v>
      </c>
      <c r="AG62" s="8">
        <f t="shared" si="7"/>
        <v>2409098.724405</v>
      </c>
      <c r="AH62" s="8">
        <f t="shared" si="8"/>
        <v>0</v>
      </c>
      <c r="AI62" s="8">
        <f t="shared" si="9"/>
        <v>0</v>
      </c>
    </row>
    <row r="63" spans="1:35" x14ac:dyDescent="0.55000000000000004">
      <c r="A63" s="1">
        <v>61</v>
      </c>
      <c r="B63" s="1" t="s">
        <v>20</v>
      </c>
      <c r="C63" s="1">
        <v>5</v>
      </c>
      <c r="D63" s="1">
        <v>5</v>
      </c>
      <c r="E63" s="1" t="s">
        <v>29</v>
      </c>
      <c r="F63" s="1" t="s">
        <v>30</v>
      </c>
      <c r="G63" s="1">
        <v>20</v>
      </c>
      <c r="H63" s="1">
        <v>2</v>
      </c>
      <c r="I63" s="1">
        <v>20050000</v>
      </c>
      <c r="J63" s="1">
        <v>719</v>
      </c>
      <c r="K63" s="1">
        <v>0</v>
      </c>
      <c r="L63" s="1">
        <v>13861</v>
      </c>
      <c r="M63" s="1">
        <v>13.446358</v>
      </c>
      <c r="N63" s="1">
        <v>101.10615</v>
      </c>
      <c r="O63" s="1">
        <v>2.2999999999999998</v>
      </c>
      <c r="P63" s="1">
        <v>43.209999000000003</v>
      </c>
      <c r="Q63" s="1">
        <v>21.57</v>
      </c>
      <c r="R63" s="1">
        <v>5.38</v>
      </c>
      <c r="S63" s="1">
        <v>0.03</v>
      </c>
      <c r="T63" s="1">
        <v>60.759998000000003</v>
      </c>
      <c r="U63" s="1">
        <v>1.86</v>
      </c>
      <c r="V63" s="1">
        <v>0</v>
      </c>
      <c r="W63" s="1">
        <v>0</v>
      </c>
      <c r="X63" s="1">
        <v>34398.250788999998</v>
      </c>
      <c r="Y63" s="1">
        <v>65085962.402800001</v>
      </c>
      <c r="Z63" t="str">
        <f>VLOOKUP(G63,'Code Pro'!$A$2:$B$9,2,FALSE)</f>
        <v>จ.ชลบุรี</v>
      </c>
      <c r="AA63" s="8">
        <f t="shared" si="1"/>
        <v>149697713.52643999</v>
      </c>
      <c r="AB63" s="8">
        <f t="shared" si="2"/>
        <v>2812364370.339026</v>
      </c>
      <c r="AC63" s="8">
        <f t="shared" si="3"/>
        <v>1403904209.0283961</v>
      </c>
      <c r="AD63" s="8">
        <f t="shared" si="4"/>
        <v>350162477.72706401</v>
      </c>
      <c r="AE63" s="8">
        <f t="shared" si="5"/>
        <v>1952578.8720839999</v>
      </c>
      <c r="AF63" s="8">
        <f t="shared" si="6"/>
        <v>3954622945.4222035</v>
      </c>
      <c r="AG63" s="8">
        <f t="shared" si="7"/>
        <v>121059890.06920801</v>
      </c>
      <c r="AH63" s="8">
        <f t="shared" si="8"/>
        <v>0</v>
      </c>
      <c r="AI63" s="8">
        <f t="shared" si="9"/>
        <v>0</v>
      </c>
    </row>
    <row r="64" spans="1:35" x14ac:dyDescent="0.55000000000000004">
      <c r="A64" s="1">
        <v>62</v>
      </c>
      <c r="B64" s="1" t="s">
        <v>20</v>
      </c>
      <c r="C64" s="1">
        <v>5</v>
      </c>
      <c r="D64" s="1">
        <v>5</v>
      </c>
      <c r="E64" s="1" t="s">
        <v>29</v>
      </c>
      <c r="F64" s="1" t="s">
        <v>30</v>
      </c>
      <c r="G64" s="1">
        <v>20</v>
      </c>
      <c r="H64" s="1">
        <v>2</v>
      </c>
      <c r="I64" s="1">
        <v>20050000</v>
      </c>
      <c r="J64" s="1">
        <v>720</v>
      </c>
      <c r="K64" s="1">
        <v>0</v>
      </c>
      <c r="L64" s="1">
        <v>13981</v>
      </c>
      <c r="M64" s="1">
        <v>13.527199</v>
      </c>
      <c r="N64" s="1">
        <v>101.10615</v>
      </c>
      <c r="O64" s="1">
        <v>3.51</v>
      </c>
      <c r="P64" s="1">
        <v>6.94</v>
      </c>
      <c r="Q64" s="1">
        <v>0.25</v>
      </c>
      <c r="R64" s="1">
        <v>0.08</v>
      </c>
      <c r="S64" s="1">
        <v>0.13</v>
      </c>
      <c r="T64" s="1">
        <v>54.290000999999997</v>
      </c>
      <c r="U64" s="1">
        <v>1.47</v>
      </c>
      <c r="V64" s="1">
        <v>0</v>
      </c>
      <c r="W64" s="1">
        <v>0</v>
      </c>
      <c r="X64" s="1">
        <v>36651.458327</v>
      </c>
      <c r="Y64" s="1">
        <v>42687442.2711</v>
      </c>
      <c r="Z64" t="str">
        <f>VLOOKUP(G64,'Code Pro'!$A$2:$B$9,2,FALSE)</f>
        <v>จ.ชลบุรี</v>
      </c>
      <c r="AA64" s="8">
        <f t="shared" si="1"/>
        <v>149832922.37156099</v>
      </c>
      <c r="AB64" s="8">
        <f t="shared" si="2"/>
        <v>296250849.36143404</v>
      </c>
      <c r="AC64" s="8">
        <f t="shared" si="3"/>
        <v>10671860.567775</v>
      </c>
      <c r="AD64" s="8">
        <f t="shared" si="4"/>
        <v>3414995.3816880002</v>
      </c>
      <c r="AE64" s="8">
        <f t="shared" si="5"/>
        <v>5549367.4952429999</v>
      </c>
      <c r="AF64" s="8">
        <f t="shared" si="6"/>
        <v>2317501283.5854611</v>
      </c>
      <c r="AG64" s="8">
        <f t="shared" si="7"/>
        <v>62750540.138517</v>
      </c>
      <c r="AH64" s="8">
        <f t="shared" si="8"/>
        <v>0</v>
      </c>
      <c r="AI64" s="8">
        <f t="shared" si="9"/>
        <v>0</v>
      </c>
    </row>
    <row r="65" spans="1:35" x14ac:dyDescent="0.55000000000000004">
      <c r="A65" s="1">
        <v>63</v>
      </c>
      <c r="B65" s="1" t="s">
        <v>20</v>
      </c>
      <c r="C65" s="1">
        <v>6</v>
      </c>
      <c r="D65" s="1">
        <v>6</v>
      </c>
      <c r="E65" s="1" t="s">
        <v>31</v>
      </c>
      <c r="F65" s="1" t="s">
        <v>32</v>
      </c>
      <c r="G65" s="1">
        <v>20</v>
      </c>
      <c r="H65" s="1">
        <v>2</v>
      </c>
      <c r="I65" s="1">
        <v>20060000</v>
      </c>
      <c r="J65" s="1">
        <v>683</v>
      </c>
      <c r="K65" s="1">
        <v>0</v>
      </c>
      <c r="L65" s="1">
        <v>13741</v>
      </c>
      <c r="M65" s="1">
        <v>13.365479000000001</v>
      </c>
      <c r="N65" s="1">
        <v>101.10615</v>
      </c>
      <c r="O65" s="1">
        <v>0.38</v>
      </c>
      <c r="P65" s="1">
        <v>15.7</v>
      </c>
      <c r="Q65" s="1">
        <v>7.94</v>
      </c>
      <c r="R65" s="1">
        <v>2.33</v>
      </c>
      <c r="S65" s="1">
        <v>0.05</v>
      </c>
      <c r="T65" s="1">
        <v>52.740001999999997</v>
      </c>
      <c r="U65" s="1">
        <v>1.25</v>
      </c>
      <c r="V65" s="1">
        <v>0</v>
      </c>
      <c r="W65" s="1">
        <v>0</v>
      </c>
      <c r="X65" s="1">
        <v>12341.267539</v>
      </c>
      <c r="Y65" s="1">
        <v>6794470.4078000002</v>
      </c>
      <c r="Z65" t="str">
        <f>VLOOKUP(G65,'Code Pro'!$A$2:$B$9,2,FALSE)</f>
        <v>จ.ชลบุรี</v>
      </c>
      <c r="AA65" s="8">
        <f t="shared" si="1"/>
        <v>2581898.7549640001</v>
      </c>
      <c r="AB65" s="8">
        <f t="shared" si="2"/>
        <v>106673185.40245999</v>
      </c>
      <c r="AC65" s="8">
        <f t="shared" si="3"/>
        <v>53948095.037932001</v>
      </c>
      <c r="AD65" s="8">
        <f t="shared" si="4"/>
        <v>15831116.050174002</v>
      </c>
      <c r="AE65" s="8">
        <f t="shared" si="5"/>
        <v>339723.52039000002</v>
      </c>
      <c r="AF65" s="8">
        <f t="shared" si="6"/>
        <v>358340382.89631283</v>
      </c>
      <c r="AG65" s="8">
        <f t="shared" si="7"/>
        <v>8493088.0097500011</v>
      </c>
      <c r="AH65" s="8">
        <f t="shared" si="8"/>
        <v>0</v>
      </c>
      <c r="AI65" s="8">
        <f t="shared" si="9"/>
        <v>0</v>
      </c>
    </row>
    <row r="66" spans="1:35" x14ac:dyDescent="0.55000000000000004">
      <c r="A66" s="1">
        <v>64</v>
      </c>
      <c r="B66" s="1" t="s">
        <v>20</v>
      </c>
      <c r="C66" s="1">
        <v>6</v>
      </c>
      <c r="D66" s="1">
        <v>6</v>
      </c>
      <c r="E66" s="1" t="s">
        <v>31</v>
      </c>
      <c r="F66" s="1" t="s">
        <v>32</v>
      </c>
      <c r="G66" s="1">
        <v>20</v>
      </c>
      <c r="H66" s="1">
        <v>2</v>
      </c>
      <c r="I66" s="1">
        <v>20060000</v>
      </c>
      <c r="J66" s="1">
        <v>716</v>
      </c>
      <c r="K66" s="1">
        <v>0</v>
      </c>
      <c r="L66" s="1">
        <v>14101</v>
      </c>
      <c r="M66" s="1">
        <v>13.608017</v>
      </c>
      <c r="N66" s="1">
        <v>101.10615</v>
      </c>
      <c r="O66" s="1">
        <v>9.66</v>
      </c>
      <c r="P66" s="1">
        <v>0.01</v>
      </c>
      <c r="Q66" s="1">
        <v>0.54</v>
      </c>
      <c r="R66" s="1">
        <v>0.17</v>
      </c>
      <c r="S66" s="1">
        <v>1.17</v>
      </c>
      <c r="T66" s="1">
        <v>7.87</v>
      </c>
      <c r="U66" s="1">
        <v>21.27</v>
      </c>
      <c r="V66" s="1">
        <v>0</v>
      </c>
      <c r="W66" s="1">
        <v>0</v>
      </c>
      <c r="X66" s="1">
        <v>8197.8097519999992</v>
      </c>
      <c r="Y66" s="1">
        <v>3792453.2041500001</v>
      </c>
      <c r="Z66" t="str">
        <f>VLOOKUP(G66,'Code Pro'!$A$2:$B$9,2,FALSE)</f>
        <v>จ.ชลบุรี</v>
      </c>
      <c r="AA66" s="8">
        <f t="shared" si="1"/>
        <v>36635097.952089004</v>
      </c>
      <c r="AB66" s="8">
        <f t="shared" si="2"/>
        <v>37924.532041500002</v>
      </c>
      <c r="AC66" s="8">
        <f t="shared" si="3"/>
        <v>2047924.7302410002</v>
      </c>
      <c r="AD66" s="8">
        <f t="shared" si="4"/>
        <v>644717.04470550001</v>
      </c>
      <c r="AE66" s="8">
        <f t="shared" si="5"/>
        <v>4437170.2488554996</v>
      </c>
      <c r="AF66" s="8">
        <f t="shared" si="6"/>
        <v>29846606.7166605</v>
      </c>
      <c r="AG66" s="8">
        <f t="shared" si="7"/>
        <v>80665479.652270496</v>
      </c>
      <c r="AH66" s="8">
        <f t="shared" si="8"/>
        <v>0</v>
      </c>
      <c r="AI66" s="8">
        <f t="shared" si="9"/>
        <v>0</v>
      </c>
    </row>
    <row r="67" spans="1:35" x14ac:dyDescent="0.55000000000000004">
      <c r="A67" s="1">
        <v>65</v>
      </c>
      <c r="B67" s="1" t="s">
        <v>20</v>
      </c>
      <c r="C67" s="1">
        <v>6</v>
      </c>
      <c r="D67" s="1">
        <v>6</v>
      </c>
      <c r="E67" s="1" t="s">
        <v>31</v>
      </c>
      <c r="F67" s="1" t="s">
        <v>32</v>
      </c>
      <c r="G67" s="1">
        <v>20</v>
      </c>
      <c r="H67" s="1">
        <v>2</v>
      </c>
      <c r="I67" s="1">
        <v>20060000</v>
      </c>
      <c r="J67" s="1">
        <v>719</v>
      </c>
      <c r="K67" s="1">
        <v>0</v>
      </c>
      <c r="L67" s="1">
        <v>13861</v>
      </c>
      <c r="M67" s="1">
        <v>13.446358</v>
      </c>
      <c r="N67" s="1">
        <v>101.10615</v>
      </c>
      <c r="O67" s="1">
        <v>2.2999999999999998</v>
      </c>
      <c r="P67" s="1">
        <v>43.209999000000003</v>
      </c>
      <c r="Q67" s="1">
        <v>21.57</v>
      </c>
      <c r="R67" s="1">
        <v>5.38</v>
      </c>
      <c r="S67" s="1">
        <v>0.03</v>
      </c>
      <c r="T67" s="1">
        <v>60.759998000000003</v>
      </c>
      <c r="U67" s="1">
        <v>1.86</v>
      </c>
      <c r="V67" s="1">
        <v>0</v>
      </c>
      <c r="W67" s="1">
        <v>0</v>
      </c>
      <c r="X67" s="1">
        <v>23181.672130999999</v>
      </c>
      <c r="Y67" s="1">
        <v>14770153.6732</v>
      </c>
      <c r="Z67" t="str">
        <f>VLOOKUP(G67,'Code Pro'!$A$2:$B$9,2,FALSE)</f>
        <v>จ.ชลบุรี</v>
      </c>
      <c r="AA67" s="8">
        <f t="shared" ref="AA67:AA130" si="10">+O67*$Y67</f>
        <v>33971353.448359996</v>
      </c>
      <c r="AB67" s="8">
        <f t="shared" ref="AB67:AB130" si="11">+P67*$Y67</f>
        <v>638218325.44881833</v>
      </c>
      <c r="AC67" s="8">
        <f t="shared" ref="AC67:AC130" si="12">+Q67*$Y67</f>
        <v>318592214.73092401</v>
      </c>
      <c r="AD67" s="8">
        <f t="shared" ref="AD67:AD130" si="13">+R67*$Y67</f>
        <v>79463426.761815995</v>
      </c>
      <c r="AE67" s="8">
        <f t="shared" ref="AE67:AE130" si="14">+S67*$Y67</f>
        <v>443104.61019599997</v>
      </c>
      <c r="AF67" s="8">
        <f t="shared" ref="AF67:AF130" si="15">+T67*$Y67</f>
        <v>897434507.64332473</v>
      </c>
      <c r="AG67" s="8">
        <f t="shared" ref="AG67:AG130" si="16">+U67*$Y67</f>
        <v>27472485.832152002</v>
      </c>
      <c r="AH67" s="8">
        <f t="shared" ref="AH67:AH130" si="17">+V67*$Y67</f>
        <v>0</v>
      </c>
      <c r="AI67" s="8">
        <f t="shared" ref="AI67:AI130" si="18">+W67*$Y67</f>
        <v>0</v>
      </c>
    </row>
    <row r="68" spans="1:35" x14ac:dyDescent="0.55000000000000004">
      <c r="A68" s="1">
        <v>66</v>
      </c>
      <c r="B68" s="1" t="s">
        <v>20</v>
      </c>
      <c r="C68" s="1">
        <v>6</v>
      </c>
      <c r="D68" s="1">
        <v>6</v>
      </c>
      <c r="E68" s="1" t="s">
        <v>31</v>
      </c>
      <c r="F68" s="1" t="s">
        <v>32</v>
      </c>
      <c r="G68" s="1">
        <v>20</v>
      </c>
      <c r="H68" s="1">
        <v>2</v>
      </c>
      <c r="I68" s="1">
        <v>20060000</v>
      </c>
      <c r="J68" s="1">
        <v>720</v>
      </c>
      <c r="K68" s="1">
        <v>0</v>
      </c>
      <c r="L68" s="1">
        <v>13981</v>
      </c>
      <c r="M68" s="1">
        <v>13.527199</v>
      </c>
      <c r="N68" s="1">
        <v>101.10615</v>
      </c>
      <c r="O68" s="1">
        <v>3.51</v>
      </c>
      <c r="P68" s="1">
        <v>6.94</v>
      </c>
      <c r="Q68" s="1">
        <v>0.25</v>
      </c>
      <c r="R68" s="1">
        <v>0.08</v>
      </c>
      <c r="S68" s="1">
        <v>0.13</v>
      </c>
      <c r="T68" s="1">
        <v>54.290000999999997</v>
      </c>
      <c r="U68" s="1">
        <v>1.47</v>
      </c>
      <c r="V68" s="1">
        <v>0</v>
      </c>
      <c r="W68" s="1">
        <v>0</v>
      </c>
      <c r="X68" s="1">
        <v>27913.347116000001</v>
      </c>
      <c r="Y68" s="1">
        <v>30348406.121599998</v>
      </c>
      <c r="Z68" t="str">
        <f>VLOOKUP(G68,'Code Pro'!$A$2:$B$9,2,FALSE)</f>
        <v>จ.ชลบุรี</v>
      </c>
      <c r="AA68" s="8">
        <f t="shared" si="10"/>
        <v>106522905.48681599</v>
      </c>
      <c r="AB68" s="8">
        <f t="shared" si="11"/>
        <v>210617938.483904</v>
      </c>
      <c r="AC68" s="8">
        <f t="shared" si="12"/>
        <v>7587101.5303999996</v>
      </c>
      <c r="AD68" s="8">
        <f t="shared" si="13"/>
        <v>2427872.489728</v>
      </c>
      <c r="AE68" s="8">
        <f t="shared" si="14"/>
        <v>3945292.795808</v>
      </c>
      <c r="AF68" s="8">
        <f t="shared" si="15"/>
        <v>1647614998.6900699</v>
      </c>
      <c r="AG68" s="8">
        <f t="shared" si="16"/>
        <v>44612156.998751998</v>
      </c>
      <c r="AH68" s="8">
        <f t="shared" si="17"/>
        <v>0</v>
      </c>
      <c r="AI68" s="8">
        <f t="shared" si="18"/>
        <v>0</v>
      </c>
    </row>
    <row r="69" spans="1:35" x14ac:dyDescent="0.55000000000000004">
      <c r="A69" s="1">
        <v>67</v>
      </c>
      <c r="B69" s="1" t="s">
        <v>20</v>
      </c>
      <c r="C69" s="1">
        <v>6</v>
      </c>
      <c r="D69" s="1">
        <v>6</v>
      </c>
      <c r="E69" s="1" t="s">
        <v>31</v>
      </c>
      <c r="F69" s="1" t="s">
        <v>32</v>
      </c>
      <c r="G69" s="1">
        <v>20</v>
      </c>
      <c r="H69" s="1">
        <v>2</v>
      </c>
      <c r="I69" s="1">
        <v>20060000</v>
      </c>
      <c r="J69" s="1">
        <v>721</v>
      </c>
      <c r="K69" s="1">
        <v>0</v>
      </c>
      <c r="L69" s="1">
        <v>13742</v>
      </c>
      <c r="M69" s="1">
        <v>13.365479000000001</v>
      </c>
      <c r="N69" s="1">
        <v>101.189285</v>
      </c>
      <c r="O69" s="1">
        <v>0.63</v>
      </c>
      <c r="P69" s="1">
        <v>0.32</v>
      </c>
      <c r="Q69" s="1">
        <v>0.33</v>
      </c>
      <c r="R69" s="1">
        <v>1.3</v>
      </c>
      <c r="S69" s="1">
        <v>0</v>
      </c>
      <c r="T69" s="1">
        <v>40.090000000000003</v>
      </c>
      <c r="U69" s="1">
        <v>2.78</v>
      </c>
      <c r="V69" s="1">
        <v>0</v>
      </c>
      <c r="W69" s="1">
        <v>0</v>
      </c>
      <c r="X69" s="1">
        <v>36434.956389999999</v>
      </c>
      <c r="Y69" s="1">
        <v>45288995.419500001</v>
      </c>
      <c r="Z69" t="str">
        <f>VLOOKUP(G69,'Code Pro'!$A$2:$B$9,2,FALSE)</f>
        <v>จ.ชลบุรี</v>
      </c>
      <c r="AA69" s="8">
        <f t="shared" si="10"/>
        <v>28532067.114285</v>
      </c>
      <c r="AB69" s="8">
        <f t="shared" si="11"/>
        <v>14492478.53424</v>
      </c>
      <c r="AC69" s="8">
        <f t="shared" si="12"/>
        <v>14945368.488435</v>
      </c>
      <c r="AD69" s="8">
        <f t="shared" si="13"/>
        <v>58875694.04535</v>
      </c>
      <c r="AE69" s="8">
        <f t="shared" si="14"/>
        <v>0</v>
      </c>
      <c r="AF69" s="8">
        <f t="shared" si="15"/>
        <v>1815635826.3677552</v>
      </c>
      <c r="AG69" s="8">
        <f t="shared" si="16"/>
        <v>125903407.26620999</v>
      </c>
      <c r="AH69" s="8">
        <f t="shared" si="17"/>
        <v>0</v>
      </c>
      <c r="AI69" s="8">
        <f t="shared" si="18"/>
        <v>0</v>
      </c>
    </row>
    <row r="70" spans="1:35" x14ac:dyDescent="0.55000000000000004">
      <c r="A70" s="1">
        <v>68</v>
      </c>
      <c r="B70" s="1" t="s">
        <v>20</v>
      </c>
      <c r="C70" s="1">
        <v>6</v>
      </c>
      <c r="D70" s="1">
        <v>6</v>
      </c>
      <c r="E70" s="1" t="s">
        <v>31</v>
      </c>
      <c r="F70" s="1" t="s">
        <v>32</v>
      </c>
      <c r="G70" s="1">
        <v>20</v>
      </c>
      <c r="H70" s="1">
        <v>2</v>
      </c>
      <c r="I70" s="1">
        <v>20060000</v>
      </c>
      <c r="J70" s="1">
        <v>739</v>
      </c>
      <c r="K70" s="1">
        <v>0</v>
      </c>
      <c r="L70" s="1">
        <v>13862</v>
      </c>
      <c r="M70" s="1">
        <v>13.446358</v>
      </c>
      <c r="N70" s="1">
        <v>101.189285</v>
      </c>
      <c r="O70" s="1">
        <v>2.88</v>
      </c>
      <c r="P70" s="1">
        <v>10.92</v>
      </c>
      <c r="Q70" s="1">
        <v>6.32</v>
      </c>
      <c r="R70" s="1">
        <v>36.599997999999999</v>
      </c>
      <c r="S70" s="1">
        <v>0</v>
      </c>
      <c r="T70" s="1">
        <v>11.44</v>
      </c>
      <c r="U70" s="1">
        <v>2.64</v>
      </c>
      <c r="V70" s="1">
        <v>0</v>
      </c>
      <c r="W70" s="1">
        <v>0</v>
      </c>
      <c r="X70" s="1">
        <v>35907.359686999996</v>
      </c>
      <c r="Y70" s="1">
        <v>80582852.612800002</v>
      </c>
      <c r="Z70" t="str">
        <f>VLOOKUP(G70,'Code Pro'!$A$2:$B$9,2,FALSE)</f>
        <v>จ.ชลบุรี</v>
      </c>
      <c r="AA70" s="8">
        <f t="shared" si="10"/>
        <v>232078615.52486399</v>
      </c>
      <c r="AB70" s="8">
        <f t="shared" si="11"/>
        <v>879964750.53177607</v>
      </c>
      <c r="AC70" s="8">
        <f t="shared" si="12"/>
        <v>509283628.51289606</v>
      </c>
      <c r="AD70" s="8">
        <f t="shared" si="13"/>
        <v>2949332244.4627748</v>
      </c>
      <c r="AE70" s="8">
        <f t="shared" si="14"/>
        <v>0</v>
      </c>
      <c r="AF70" s="8">
        <f t="shared" si="15"/>
        <v>921867833.890432</v>
      </c>
      <c r="AG70" s="8">
        <f t="shared" si="16"/>
        <v>212738730.89779201</v>
      </c>
      <c r="AH70" s="8">
        <f t="shared" si="17"/>
        <v>0</v>
      </c>
      <c r="AI70" s="8">
        <f t="shared" si="18"/>
        <v>0</v>
      </c>
    </row>
    <row r="71" spans="1:35" x14ac:dyDescent="0.55000000000000004">
      <c r="A71" s="1">
        <v>69</v>
      </c>
      <c r="B71" s="1" t="s">
        <v>20</v>
      </c>
      <c r="C71" s="1">
        <v>6</v>
      </c>
      <c r="D71" s="1">
        <v>6</v>
      </c>
      <c r="E71" s="1" t="s">
        <v>31</v>
      </c>
      <c r="F71" s="1" t="s">
        <v>32</v>
      </c>
      <c r="G71" s="1">
        <v>20</v>
      </c>
      <c r="H71" s="1">
        <v>2</v>
      </c>
      <c r="I71" s="1">
        <v>20060000</v>
      </c>
      <c r="J71" s="1">
        <v>740</v>
      </c>
      <c r="K71" s="1">
        <v>0</v>
      </c>
      <c r="L71" s="1">
        <v>13623</v>
      </c>
      <c r="M71" s="1">
        <v>13.284592</v>
      </c>
      <c r="N71" s="1">
        <v>101.27242</v>
      </c>
      <c r="O71" s="1">
        <v>7.0000000000000007E-2</v>
      </c>
      <c r="P71" s="1">
        <v>4.38</v>
      </c>
      <c r="Q71" s="1">
        <v>0.7</v>
      </c>
      <c r="R71" s="1">
        <v>9.3699999999999992</v>
      </c>
      <c r="S71" s="1">
        <v>2.34</v>
      </c>
      <c r="T71" s="1">
        <v>47.98</v>
      </c>
      <c r="U71" s="1">
        <v>8.1300000000000008</v>
      </c>
      <c r="V71" s="1">
        <v>0.08</v>
      </c>
      <c r="W71" s="1">
        <v>0</v>
      </c>
      <c r="X71" s="1">
        <v>6022.4873610000004</v>
      </c>
      <c r="Y71" s="1">
        <v>1317673.8055700001</v>
      </c>
      <c r="Z71" t="str">
        <f>VLOOKUP(G71,'Code Pro'!$A$2:$B$9,2,FALSE)</f>
        <v>จ.ชลบุรี</v>
      </c>
      <c r="AA71" s="8">
        <f t="shared" si="10"/>
        <v>92237.166389900012</v>
      </c>
      <c r="AB71" s="8">
        <f t="shared" si="11"/>
        <v>5771411.2683966001</v>
      </c>
      <c r="AC71" s="8">
        <f t="shared" si="12"/>
        <v>922371.66389900004</v>
      </c>
      <c r="AD71" s="8">
        <f t="shared" si="13"/>
        <v>12346603.558190899</v>
      </c>
      <c r="AE71" s="8">
        <f t="shared" si="14"/>
        <v>3083356.7050338001</v>
      </c>
      <c r="AF71" s="8">
        <f t="shared" si="15"/>
        <v>63221989.191248603</v>
      </c>
      <c r="AG71" s="8">
        <f t="shared" si="16"/>
        <v>10712688.039284103</v>
      </c>
      <c r="AH71" s="8">
        <f t="shared" si="17"/>
        <v>105413.90444560001</v>
      </c>
      <c r="AI71" s="8">
        <f t="shared" si="18"/>
        <v>0</v>
      </c>
    </row>
    <row r="72" spans="1:35" x14ac:dyDescent="0.55000000000000004">
      <c r="A72" s="1">
        <v>70</v>
      </c>
      <c r="B72" s="1" t="s">
        <v>20</v>
      </c>
      <c r="C72" s="1">
        <v>6</v>
      </c>
      <c r="D72" s="1">
        <v>6</v>
      </c>
      <c r="E72" s="1" t="s">
        <v>31</v>
      </c>
      <c r="F72" s="1" t="s">
        <v>32</v>
      </c>
      <c r="G72" s="1">
        <v>20</v>
      </c>
      <c r="H72" s="1">
        <v>2</v>
      </c>
      <c r="I72" s="1">
        <v>20060000</v>
      </c>
      <c r="J72" s="1">
        <v>741</v>
      </c>
      <c r="K72" s="1">
        <v>0</v>
      </c>
      <c r="L72" s="1">
        <v>13743</v>
      </c>
      <c r="M72" s="1">
        <v>13.365479000000001</v>
      </c>
      <c r="N72" s="1">
        <v>101.27242</v>
      </c>
      <c r="O72" s="1">
        <v>0.32</v>
      </c>
      <c r="P72" s="1">
        <v>0.06</v>
      </c>
      <c r="Q72" s="1">
        <v>0.02</v>
      </c>
      <c r="R72" s="1">
        <v>2.44</v>
      </c>
      <c r="S72" s="1">
        <v>0.02</v>
      </c>
      <c r="T72" s="1">
        <v>11.6</v>
      </c>
      <c r="U72" s="1">
        <v>4.04</v>
      </c>
      <c r="V72" s="1">
        <v>0</v>
      </c>
      <c r="W72" s="1">
        <v>0</v>
      </c>
      <c r="X72" s="1">
        <v>27825.473846000001</v>
      </c>
      <c r="Y72" s="1">
        <v>37746984.726899996</v>
      </c>
      <c r="Z72" t="str">
        <f>VLOOKUP(G72,'Code Pro'!$A$2:$B$9,2,FALSE)</f>
        <v>จ.ชลบุรี</v>
      </c>
      <c r="AA72" s="8">
        <f t="shared" si="10"/>
        <v>12079035.112607999</v>
      </c>
      <c r="AB72" s="8">
        <f t="shared" si="11"/>
        <v>2264819.0836139997</v>
      </c>
      <c r="AC72" s="8">
        <f t="shared" si="12"/>
        <v>754939.69453799992</v>
      </c>
      <c r="AD72" s="8">
        <f t="shared" si="13"/>
        <v>92102642.733635992</v>
      </c>
      <c r="AE72" s="8">
        <f t="shared" si="14"/>
        <v>754939.69453799992</v>
      </c>
      <c r="AF72" s="8">
        <f t="shared" si="15"/>
        <v>437865022.83203995</v>
      </c>
      <c r="AG72" s="8">
        <f t="shared" si="16"/>
        <v>152497818.29667598</v>
      </c>
      <c r="AH72" s="8">
        <f t="shared" si="17"/>
        <v>0</v>
      </c>
      <c r="AI72" s="8">
        <f t="shared" si="18"/>
        <v>0</v>
      </c>
    </row>
    <row r="73" spans="1:35" x14ac:dyDescent="0.55000000000000004">
      <c r="A73" s="1">
        <v>71</v>
      </c>
      <c r="B73" s="1" t="s">
        <v>20</v>
      </c>
      <c r="C73" s="1">
        <v>6</v>
      </c>
      <c r="D73" s="1">
        <v>6</v>
      </c>
      <c r="E73" s="1" t="s">
        <v>31</v>
      </c>
      <c r="F73" s="1" t="s">
        <v>32</v>
      </c>
      <c r="G73" s="1">
        <v>20</v>
      </c>
      <c r="H73" s="1">
        <v>2</v>
      </c>
      <c r="I73" s="1">
        <v>20060000</v>
      </c>
      <c r="J73" s="1">
        <v>742</v>
      </c>
      <c r="K73" s="1">
        <v>0</v>
      </c>
      <c r="L73" s="1">
        <v>13863</v>
      </c>
      <c r="M73" s="1">
        <v>13.446358</v>
      </c>
      <c r="N73" s="1">
        <v>101.27242</v>
      </c>
      <c r="O73" s="1">
        <v>8.0299999999999994</v>
      </c>
      <c r="P73" s="1">
        <v>0</v>
      </c>
      <c r="Q73" s="1">
        <v>0.08</v>
      </c>
      <c r="R73" s="1">
        <v>3.96</v>
      </c>
      <c r="S73" s="1">
        <v>0</v>
      </c>
      <c r="T73" s="1">
        <v>6.12</v>
      </c>
      <c r="U73" s="1">
        <v>2.2400000000000002</v>
      </c>
      <c r="V73" s="1">
        <v>0</v>
      </c>
      <c r="W73" s="1">
        <v>0</v>
      </c>
      <c r="X73" s="1">
        <v>35309.284378999997</v>
      </c>
      <c r="Y73" s="1">
        <v>67044912.5233</v>
      </c>
      <c r="Z73" t="str">
        <f>VLOOKUP(G73,'Code Pro'!$A$2:$B$9,2,FALSE)</f>
        <v>จ.ชลบุรี</v>
      </c>
      <c r="AA73" s="8">
        <f t="shared" si="10"/>
        <v>538370647.56209898</v>
      </c>
      <c r="AB73" s="8">
        <f t="shared" si="11"/>
        <v>0</v>
      </c>
      <c r="AC73" s="8">
        <f t="shared" si="12"/>
        <v>5363593.0018640002</v>
      </c>
      <c r="AD73" s="8">
        <f t="shared" si="13"/>
        <v>265497853.59226799</v>
      </c>
      <c r="AE73" s="8">
        <f t="shared" si="14"/>
        <v>0</v>
      </c>
      <c r="AF73" s="8">
        <f t="shared" si="15"/>
        <v>410314864.64259601</v>
      </c>
      <c r="AG73" s="8">
        <f t="shared" si="16"/>
        <v>150180604.052192</v>
      </c>
      <c r="AH73" s="8">
        <f t="shared" si="17"/>
        <v>0</v>
      </c>
      <c r="AI73" s="8">
        <f t="shared" si="18"/>
        <v>0</v>
      </c>
    </row>
    <row r="74" spans="1:35" x14ac:dyDescent="0.55000000000000004">
      <c r="A74" s="1">
        <v>72</v>
      </c>
      <c r="B74" s="1" t="s">
        <v>20</v>
      </c>
      <c r="C74" s="1">
        <v>6</v>
      </c>
      <c r="D74" s="1">
        <v>6</v>
      </c>
      <c r="E74" s="1" t="s">
        <v>31</v>
      </c>
      <c r="F74" s="1" t="s">
        <v>32</v>
      </c>
      <c r="G74" s="1">
        <v>20</v>
      </c>
      <c r="H74" s="1">
        <v>2</v>
      </c>
      <c r="I74" s="1">
        <v>20060000</v>
      </c>
      <c r="J74" s="1">
        <v>749</v>
      </c>
      <c r="K74" s="1">
        <v>0</v>
      </c>
      <c r="L74" s="1">
        <v>13864</v>
      </c>
      <c r="M74" s="1">
        <v>13.446358</v>
      </c>
      <c r="N74" s="1">
        <v>101.35556</v>
      </c>
      <c r="O74" s="1">
        <v>32.409999999999997</v>
      </c>
      <c r="P74" s="1">
        <v>0</v>
      </c>
      <c r="Q74" s="1">
        <v>0.01</v>
      </c>
      <c r="R74" s="1">
        <v>0.28999999999999998</v>
      </c>
      <c r="S74" s="1">
        <v>0</v>
      </c>
      <c r="T74" s="1">
        <v>8.4700000000000006</v>
      </c>
      <c r="U74" s="1">
        <v>5.85</v>
      </c>
      <c r="V74" s="1">
        <v>0</v>
      </c>
      <c r="W74" s="1">
        <v>0</v>
      </c>
      <c r="X74" s="1">
        <v>23573.780375999999</v>
      </c>
      <c r="Y74" s="1">
        <v>28936765.096099999</v>
      </c>
      <c r="Z74" t="str">
        <f>VLOOKUP(G74,'Code Pro'!$A$2:$B$9,2,FALSE)</f>
        <v>จ.ชลบุรี</v>
      </c>
      <c r="AA74" s="8">
        <f t="shared" si="10"/>
        <v>937840556.76460087</v>
      </c>
      <c r="AB74" s="8">
        <f t="shared" si="11"/>
        <v>0</v>
      </c>
      <c r="AC74" s="8">
        <f t="shared" si="12"/>
        <v>289367.65096100001</v>
      </c>
      <c r="AD74" s="8">
        <f t="shared" si="13"/>
        <v>8391661.8778689988</v>
      </c>
      <c r="AE74" s="8">
        <f t="shared" si="14"/>
        <v>0</v>
      </c>
      <c r="AF74" s="8">
        <f t="shared" si="15"/>
        <v>245094400.363967</v>
      </c>
      <c r="AG74" s="8">
        <f t="shared" si="16"/>
        <v>169280075.81218499</v>
      </c>
      <c r="AH74" s="8">
        <f t="shared" si="17"/>
        <v>0</v>
      </c>
      <c r="AI74" s="8">
        <f t="shared" si="18"/>
        <v>0</v>
      </c>
    </row>
    <row r="75" spans="1:35" x14ac:dyDescent="0.55000000000000004">
      <c r="A75" s="1">
        <v>73</v>
      </c>
      <c r="B75" s="1" t="s">
        <v>20</v>
      </c>
      <c r="C75" s="1">
        <v>6</v>
      </c>
      <c r="D75" s="1">
        <v>6</v>
      </c>
      <c r="E75" s="1" t="s">
        <v>31</v>
      </c>
      <c r="F75" s="1" t="s">
        <v>32</v>
      </c>
      <c r="G75" s="1">
        <v>20</v>
      </c>
      <c r="H75" s="1">
        <v>2</v>
      </c>
      <c r="I75" s="1">
        <v>20060000</v>
      </c>
      <c r="J75" s="1">
        <v>775</v>
      </c>
      <c r="K75" s="1">
        <v>0</v>
      </c>
      <c r="L75" s="1">
        <v>13983</v>
      </c>
      <c r="M75" s="1">
        <v>13.527199</v>
      </c>
      <c r="N75" s="1">
        <v>101.27242</v>
      </c>
      <c r="O75" s="1">
        <v>13.37</v>
      </c>
      <c r="P75" s="1">
        <v>0</v>
      </c>
      <c r="Q75" s="1">
        <v>7.0000000000000007E-2</v>
      </c>
      <c r="R75" s="1">
        <v>1.89</v>
      </c>
      <c r="S75" s="1">
        <v>3.09</v>
      </c>
      <c r="T75" s="1">
        <v>28.48</v>
      </c>
      <c r="U75" s="1">
        <v>7.43</v>
      </c>
      <c r="V75" s="1">
        <v>0</v>
      </c>
      <c r="W75" s="1">
        <v>0</v>
      </c>
      <c r="X75" s="1">
        <v>33723.175089999997</v>
      </c>
      <c r="Y75" s="1">
        <v>62965405.722499996</v>
      </c>
      <c r="Z75" t="str">
        <f>VLOOKUP(G75,'Code Pro'!$A$2:$B$9,2,FALSE)</f>
        <v>จ.ชลบุรี</v>
      </c>
      <c r="AA75" s="8">
        <f t="shared" si="10"/>
        <v>841847474.50982487</v>
      </c>
      <c r="AB75" s="8">
        <f t="shared" si="11"/>
        <v>0</v>
      </c>
      <c r="AC75" s="8">
        <f t="shared" si="12"/>
        <v>4407578.4005749999</v>
      </c>
      <c r="AD75" s="8">
        <f t="shared" si="13"/>
        <v>119004616.81552498</v>
      </c>
      <c r="AE75" s="8">
        <f t="shared" si="14"/>
        <v>194563103.68252498</v>
      </c>
      <c r="AF75" s="8">
        <f t="shared" si="15"/>
        <v>1793254754.9768</v>
      </c>
      <c r="AG75" s="8">
        <f t="shared" si="16"/>
        <v>467832964.51817495</v>
      </c>
      <c r="AH75" s="8">
        <f t="shared" si="17"/>
        <v>0</v>
      </c>
      <c r="AI75" s="8">
        <f t="shared" si="18"/>
        <v>0</v>
      </c>
    </row>
    <row r="76" spans="1:35" x14ac:dyDescent="0.55000000000000004">
      <c r="A76" s="1">
        <v>74</v>
      </c>
      <c r="B76" s="1" t="s">
        <v>20</v>
      </c>
      <c r="C76" s="1">
        <v>6</v>
      </c>
      <c r="D76" s="1">
        <v>6</v>
      </c>
      <c r="E76" s="1" t="s">
        <v>31</v>
      </c>
      <c r="F76" s="1" t="s">
        <v>32</v>
      </c>
      <c r="G76" s="1">
        <v>20</v>
      </c>
      <c r="H76" s="1">
        <v>2</v>
      </c>
      <c r="I76" s="1">
        <v>20060000</v>
      </c>
      <c r="J76" s="1">
        <v>776</v>
      </c>
      <c r="K76" s="1">
        <v>0</v>
      </c>
      <c r="L76" s="1">
        <v>14102</v>
      </c>
      <c r="M76" s="1">
        <v>13.608017</v>
      </c>
      <c r="N76" s="1">
        <v>101.189285</v>
      </c>
      <c r="O76" s="1">
        <v>43.639999000000003</v>
      </c>
      <c r="P76" s="1">
        <v>0</v>
      </c>
      <c r="Q76" s="1">
        <v>0.56000000000000005</v>
      </c>
      <c r="R76" s="1">
        <v>0.14000000000000001</v>
      </c>
      <c r="S76" s="1">
        <v>1.47</v>
      </c>
      <c r="T76" s="1">
        <v>8.0399999999999991</v>
      </c>
      <c r="U76" s="1">
        <v>8.4600000000000009</v>
      </c>
      <c r="V76" s="1">
        <v>0.19</v>
      </c>
      <c r="W76" s="1">
        <v>0</v>
      </c>
      <c r="X76" s="1">
        <v>21428.752922</v>
      </c>
      <c r="Y76" s="1">
        <v>15742085.362600001</v>
      </c>
      <c r="Z76" t="str">
        <f>VLOOKUP(G76,'Code Pro'!$A$2:$B$9,2,FALSE)</f>
        <v>จ.ชลบุรี</v>
      </c>
      <c r="AA76" s="8">
        <f t="shared" si="10"/>
        <v>686984589.48177874</v>
      </c>
      <c r="AB76" s="8">
        <f t="shared" si="11"/>
        <v>0</v>
      </c>
      <c r="AC76" s="8">
        <f t="shared" si="12"/>
        <v>8815567.8030560017</v>
      </c>
      <c r="AD76" s="8">
        <f t="shared" si="13"/>
        <v>2203891.9507640004</v>
      </c>
      <c r="AE76" s="8">
        <f t="shared" si="14"/>
        <v>23140865.483022001</v>
      </c>
      <c r="AF76" s="8">
        <f t="shared" si="15"/>
        <v>126566366.315304</v>
      </c>
      <c r="AG76" s="8">
        <f t="shared" si="16"/>
        <v>133178042.16759601</v>
      </c>
      <c r="AH76" s="8">
        <f t="shared" si="17"/>
        <v>2990996.2188940002</v>
      </c>
      <c r="AI76" s="8">
        <f t="shared" si="18"/>
        <v>0</v>
      </c>
    </row>
    <row r="77" spans="1:35" x14ac:dyDescent="0.55000000000000004">
      <c r="A77" s="1">
        <v>75</v>
      </c>
      <c r="B77" s="1" t="s">
        <v>20</v>
      </c>
      <c r="C77" s="1">
        <v>6</v>
      </c>
      <c r="D77" s="1">
        <v>6</v>
      </c>
      <c r="E77" s="1" t="s">
        <v>31</v>
      </c>
      <c r="F77" s="1" t="s">
        <v>32</v>
      </c>
      <c r="G77" s="1">
        <v>20</v>
      </c>
      <c r="H77" s="1">
        <v>2</v>
      </c>
      <c r="I77" s="1">
        <v>20060000</v>
      </c>
      <c r="J77" s="1">
        <v>779</v>
      </c>
      <c r="K77" s="1">
        <v>0</v>
      </c>
      <c r="L77" s="1">
        <v>14103</v>
      </c>
      <c r="M77" s="1">
        <v>13.608017</v>
      </c>
      <c r="N77" s="1">
        <v>101.27242</v>
      </c>
      <c r="O77" s="1">
        <v>55.900002000000001</v>
      </c>
      <c r="P77" s="1">
        <v>11.87</v>
      </c>
      <c r="Q77" s="1">
        <v>0.64</v>
      </c>
      <c r="R77" s="1">
        <v>3.48</v>
      </c>
      <c r="S77" s="1">
        <v>3.59</v>
      </c>
      <c r="T77" s="1">
        <v>6.66</v>
      </c>
      <c r="U77" s="1">
        <v>20.74</v>
      </c>
      <c r="V77" s="1">
        <v>0.14000000000000001</v>
      </c>
      <c r="W77" s="1">
        <v>0.05</v>
      </c>
      <c r="X77" s="1">
        <v>6237.4494789999999</v>
      </c>
      <c r="Y77" s="1">
        <v>799759.50192800001</v>
      </c>
      <c r="Z77" t="str">
        <f>VLOOKUP(G77,'Code Pro'!$A$2:$B$9,2,FALSE)</f>
        <v>จ.ชลบุรี</v>
      </c>
      <c r="AA77" s="8">
        <f t="shared" si="10"/>
        <v>44706557.757294208</v>
      </c>
      <c r="AB77" s="8">
        <f t="shared" si="11"/>
        <v>9493145.2878853604</v>
      </c>
      <c r="AC77" s="8">
        <f t="shared" si="12"/>
        <v>511846.08123392001</v>
      </c>
      <c r="AD77" s="8">
        <f t="shared" si="13"/>
        <v>2783163.0667094402</v>
      </c>
      <c r="AE77" s="8">
        <f t="shared" si="14"/>
        <v>2871136.61192152</v>
      </c>
      <c r="AF77" s="8">
        <f t="shared" si="15"/>
        <v>5326398.2828404801</v>
      </c>
      <c r="AG77" s="8">
        <f t="shared" si="16"/>
        <v>16587012.06998672</v>
      </c>
      <c r="AH77" s="8">
        <f t="shared" si="17"/>
        <v>111966.33026992001</v>
      </c>
      <c r="AI77" s="8">
        <f t="shared" si="18"/>
        <v>39987.975096400005</v>
      </c>
    </row>
    <row r="78" spans="1:35" x14ac:dyDescent="0.55000000000000004">
      <c r="A78" s="1">
        <v>76</v>
      </c>
      <c r="B78" s="1" t="s">
        <v>20</v>
      </c>
      <c r="C78" s="1">
        <v>6</v>
      </c>
      <c r="D78" s="1">
        <v>6</v>
      </c>
      <c r="E78" s="1" t="s">
        <v>31</v>
      </c>
      <c r="F78" s="1" t="s">
        <v>32</v>
      </c>
      <c r="G78" s="1">
        <v>20</v>
      </c>
      <c r="H78" s="1">
        <v>2</v>
      </c>
      <c r="I78" s="1">
        <v>20060000</v>
      </c>
      <c r="J78" s="1">
        <v>784</v>
      </c>
      <c r="K78" s="1">
        <v>0</v>
      </c>
      <c r="L78" s="1">
        <v>13984</v>
      </c>
      <c r="M78" s="1">
        <v>13.527199</v>
      </c>
      <c r="N78" s="1">
        <v>101.35556</v>
      </c>
      <c r="O78" s="1">
        <v>67.080001999999993</v>
      </c>
      <c r="P78" s="1">
        <v>0</v>
      </c>
      <c r="Q78" s="1">
        <v>0</v>
      </c>
      <c r="R78" s="1">
        <v>0.04</v>
      </c>
      <c r="S78" s="1">
        <v>0</v>
      </c>
      <c r="T78" s="1">
        <v>13.54</v>
      </c>
      <c r="U78" s="1">
        <v>5.29</v>
      </c>
      <c r="V78" s="1">
        <v>0</v>
      </c>
      <c r="W78" s="1">
        <v>0</v>
      </c>
      <c r="X78" s="1">
        <v>9036.3779059999997</v>
      </c>
      <c r="Y78" s="1">
        <v>3010630.1025899998</v>
      </c>
      <c r="Z78" t="str">
        <f>VLOOKUP(G78,'Code Pro'!$A$2:$B$9,2,FALSE)</f>
        <v>จ.ชลบุรี</v>
      </c>
      <c r="AA78" s="8">
        <f t="shared" si="10"/>
        <v>201953073.30299738</v>
      </c>
      <c r="AB78" s="8">
        <f t="shared" si="11"/>
        <v>0</v>
      </c>
      <c r="AC78" s="8">
        <f t="shared" si="12"/>
        <v>0</v>
      </c>
      <c r="AD78" s="8">
        <f t="shared" si="13"/>
        <v>120425.2041036</v>
      </c>
      <c r="AE78" s="8">
        <f t="shared" si="14"/>
        <v>0</v>
      </c>
      <c r="AF78" s="8">
        <f t="shared" si="15"/>
        <v>40763931.589068592</v>
      </c>
      <c r="AG78" s="8">
        <f t="shared" si="16"/>
        <v>15926233.242701098</v>
      </c>
      <c r="AH78" s="8">
        <f t="shared" si="17"/>
        <v>0</v>
      </c>
      <c r="AI78" s="8">
        <f t="shared" si="18"/>
        <v>0</v>
      </c>
    </row>
    <row r="79" spans="1:35" x14ac:dyDescent="0.55000000000000004">
      <c r="A79" s="1">
        <v>77</v>
      </c>
      <c r="B79" s="1" t="s">
        <v>20</v>
      </c>
      <c r="C79" s="1">
        <v>6</v>
      </c>
      <c r="D79" s="1">
        <v>6</v>
      </c>
      <c r="E79" s="1" t="s">
        <v>31</v>
      </c>
      <c r="F79" s="1" t="s">
        <v>32</v>
      </c>
      <c r="G79" s="1">
        <v>20</v>
      </c>
      <c r="H79" s="1">
        <v>2</v>
      </c>
      <c r="I79" s="1">
        <v>20060000</v>
      </c>
      <c r="J79" s="1">
        <v>796</v>
      </c>
      <c r="K79" s="1">
        <v>0</v>
      </c>
      <c r="L79" s="1">
        <v>13982</v>
      </c>
      <c r="M79" s="1">
        <v>13.527199</v>
      </c>
      <c r="N79" s="1">
        <v>101.189285</v>
      </c>
      <c r="O79" s="1">
        <v>3.71</v>
      </c>
      <c r="P79" s="1">
        <v>0.42</v>
      </c>
      <c r="Q79" s="1">
        <v>1.0900000000000001</v>
      </c>
      <c r="R79" s="1">
        <v>9.9600000000000009</v>
      </c>
      <c r="S79" s="1">
        <v>0.8</v>
      </c>
      <c r="T79" s="1">
        <v>5.33</v>
      </c>
      <c r="U79" s="1">
        <v>1.69</v>
      </c>
      <c r="V79" s="1">
        <v>0</v>
      </c>
      <c r="W79" s="1">
        <v>0</v>
      </c>
      <c r="X79" s="1">
        <v>35894.651795999998</v>
      </c>
      <c r="Y79" s="1">
        <v>80525816.106800005</v>
      </c>
      <c r="Z79" t="str">
        <f>VLOOKUP(G79,'Code Pro'!$A$2:$B$9,2,FALSE)</f>
        <v>จ.ชลบุรี</v>
      </c>
      <c r="AA79" s="8">
        <f t="shared" si="10"/>
        <v>298750777.75622803</v>
      </c>
      <c r="AB79" s="8">
        <f t="shared" si="11"/>
        <v>33820842.764856003</v>
      </c>
      <c r="AC79" s="8">
        <f t="shared" si="12"/>
        <v>87773139.556412011</v>
      </c>
      <c r="AD79" s="8">
        <f t="shared" si="13"/>
        <v>802037128.42372811</v>
      </c>
      <c r="AE79" s="8">
        <f t="shared" si="14"/>
        <v>64420652.885440007</v>
      </c>
      <c r="AF79" s="8">
        <f t="shared" si="15"/>
        <v>429202599.84924406</v>
      </c>
      <c r="AG79" s="8">
        <f t="shared" si="16"/>
        <v>136088629.22049201</v>
      </c>
      <c r="AH79" s="8">
        <f t="shared" si="17"/>
        <v>0</v>
      </c>
      <c r="AI79" s="8">
        <f t="shared" si="18"/>
        <v>0</v>
      </c>
    </row>
    <row r="80" spans="1:35" x14ac:dyDescent="0.55000000000000004">
      <c r="A80" s="1">
        <v>78</v>
      </c>
      <c r="B80" s="1" t="s">
        <v>20</v>
      </c>
      <c r="C80" s="1">
        <v>7</v>
      </c>
      <c r="D80" s="1">
        <v>7</v>
      </c>
      <c r="E80" s="1" t="s">
        <v>33</v>
      </c>
      <c r="F80" s="1" t="s">
        <v>34</v>
      </c>
      <c r="G80" s="1">
        <v>20</v>
      </c>
      <c r="H80" s="1">
        <v>2</v>
      </c>
      <c r="I80" s="1">
        <v>20070000</v>
      </c>
      <c r="J80" s="1">
        <v>221</v>
      </c>
      <c r="K80" s="1">
        <v>0</v>
      </c>
      <c r="L80" s="1">
        <v>13259</v>
      </c>
      <c r="M80" s="1">
        <v>13.041733000000001</v>
      </c>
      <c r="N80" s="1">
        <v>100.93988</v>
      </c>
      <c r="O80" s="1">
        <v>0.84</v>
      </c>
      <c r="P80" s="1">
        <v>0.74</v>
      </c>
      <c r="Q80" s="1">
        <v>4.41</v>
      </c>
      <c r="R80" s="1">
        <v>1.42</v>
      </c>
      <c r="S80" s="1">
        <v>0.23</v>
      </c>
      <c r="T80" s="1">
        <v>25.049999</v>
      </c>
      <c r="U80" s="1">
        <v>7.62</v>
      </c>
      <c r="V80" s="1">
        <v>4.5</v>
      </c>
      <c r="W80" s="1">
        <v>0</v>
      </c>
      <c r="X80" s="1">
        <v>32984.615295000003</v>
      </c>
      <c r="Y80" s="1">
        <v>18526528.5374</v>
      </c>
      <c r="Z80" t="str">
        <f>VLOOKUP(G80,'Code Pro'!$A$2:$B$9,2,FALSE)</f>
        <v>จ.ชลบุรี</v>
      </c>
      <c r="AA80" s="8">
        <f t="shared" si="10"/>
        <v>15562283.971415998</v>
      </c>
      <c r="AB80" s="8">
        <f t="shared" si="11"/>
        <v>13709631.117675999</v>
      </c>
      <c r="AC80" s="8">
        <f t="shared" si="12"/>
        <v>81701990.849933997</v>
      </c>
      <c r="AD80" s="8">
        <f t="shared" si="13"/>
        <v>26307670.523107998</v>
      </c>
      <c r="AE80" s="8">
        <f t="shared" si="14"/>
        <v>4261101.5636020005</v>
      </c>
      <c r="AF80" s="8">
        <f t="shared" si="15"/>
        <v>464089521.33534145</v>
      </c>
      <c r="AG80" s="8">
        <f t="shared" si="16"/>
        <v>141172147.454988</v>
      </c>
      <c r="AH80" s="8">
        <f t="shared" si="17"/>
        <v>83369378.418300003</v>
      </c>
      <c r="AI80" s="8">
        <f t="shared" si="18"/>
        <v>0</v>
      </c>
    </row>
    <row r="81" spans="1:35" x14ac:dyDescent="0.55000000000000004">
      <c r="A81" s="1">
        <v>79</v>
      </c>
      <c r="B81" s="1" t="s">
        <v>20</v>
      </c>
      <c r="C81" s="1">
        <v>7</v>
      </c>
      <c r="D81" s="1">
        <v>7</v>
      </c>
      <c r="E81" s="1" t="s">
        <v>33</v>
      </c>
      <c r="F81" s="1" t="s">
        <v>34</v>
      </c>
      <c r="G81" s="1">
        <v>20</v>
      </c>
      <c r="H81" s="1">
        <v>2</v>
      </c>
      <c r="I81" s="1">
        <v>20070000</v>
      </c>
      <c r="J81" s="1">
        <v>222</v>
      </c>
      <c r="K81" s="1">
        <v>0</v>
      </c>
      <c r="L81" s="1">
        <v>13258</v>
      </c>
      <c r="M81" s="1">
        <v>13.041733000000001</v>
      </c>
      <c r="N81" s="1">
        <v>100.85674</v>
      </c>
      <c r="O81" s="1">
        <v>30.469999000000001</v>
      </c>
      <c r="P81" s="1">
        <v>0.1</v>
      </c>
      <c r="Q81" s="1">
        <v>2.58</v>
      </c>
      <c r="R81" s="1">
        <v>0</v>
      </c>
      <c r="S81" s="1">
        <v>0.64</v>
      </c>
      <c r="T81" s="1">
        <v>12.44</v>
      </c>
      <c r="U81" s="1">
        <v>4.3</v>
      </c>
      <c r="V81" s="1">
        <v>2.81</v>
      </c>
      <c r="W81" s="1">
        <v>0</v>
      </c>
      <c r="X81" s="1">
        <v>15523.110850999999</v>
      </c>
      <c r="Y81" s="1">
        <v>4254664.6488800002</v>
      </c>
      <c r="Z81" t="str">
        <f>VLOOKUP(G81,'Code Pro'!$A$2:$B$9,2,FALSE)</f>
        <v>จ.ชลบุรี</v>
      </c>
      <c r="AA81" s="8">
        <f t="shared" si="10"/>
        <v>129639627.59670897</v>
      </c>
      <c r="AB81" s="8">
        <f t="shared" si="11"/>
        <v>425466.46488800005</v>
      </c>
      <c r="AC81" s="8">
        <f t="shared" si="12"/>
        <v>10977034.794110401</v>
      </c>
      <c r="AD81" s="8">
        <f t="shared" si="13"/>
        <v>0</v>
      </c>
      <c r="AE81" s="8">
        <f t="shared" si="14"/>
        <v>2722985.3752832003</v>
      </c>
      <c r="AF81" s="8">
        <f t="shared" si="15"/>
        <v>52928028.232067198</v>
      </c>
      <c r="AG81" s="8">
        <f t="shared" si="16"/>
        <v>18295057.990184002</v>
      </c>
      <c r="AH81" s="8">
        <f t="shared" si="17"/>
        <v>11955607.663352801</v>
      </c>
      <c r="AI81" s="8">
        <f t="shared" si="18"/>
        <v>0</v>
      </c>
    </row>
    <row r="82" spans="1:35" x14ac:dyDescent="0.55000000000000004">
      <c r="A82" s="1">
        <v>80</v>
      </c>
      <c r="B82" s="1" t="s">
        <v>20</v>
      </c>
      <c r="C82" s="1">
        <v>7</v>
      </c>
      <c r="D82" s="1">
        <v>7</v>
      </c>
      <c r="E82" s="1" t="s">
        <v>33</v>
      </c>
      <c r="F82" s="1" t="s">
        <v>34</v>
      </c>
      <c r="G82" s="1">
        <v>20</v>
      </c>
      <c r="H82" s="1">
        <v>2</v>
      </c>
      <c r="I82" s="1">
        <v>20070000</v>
      </c>
      <c r="J82" s="1">
        <v>227</v>
      </c>
      <c r="K82" s="1">
        <v>0</v>
      </c>
      <c r="L82" s="1">
        <v>13261</v>
      </c>
      <c r="M82" s="1">
        <v>13.041733000000001</v>
      </c>
      <c r="N82" s="1">
        <v>101.10615</v>
      </c>
      <c r="O82" s="1">
        <v>6.42</v>
      </c>
      <c r="P82" s="1">
        <v>0.24</v>
      </c>
      <c r="Q82" s="1">
        <v>0.51</v>
      </c>
      <c r="R82" s="1">
        <v>2.87</v>
      </c>
      <c r="S82" s="1">
        <v>2.2599999999999998</v>
      </c>
      <c r="T82" s="1">
        <v>45.639999000000003</v>
      </c>
      <c r="U82" s="1">
        <v>5.42</v>
      </c>
      <c r="V82" s="1">
        <v>25.700001</v>
      </c>
      <c r="W82" s="1">
        <v>0</v>
      </c>
      <c r="X82" s="1">
        <v>37563.754485999998</v>
      </c>
      <c r="Y82" s="1">
        <v>63725344.073700003</v>
      </c>
      <c r="Z82" t="str">
        <f>VLOOKUP(G82,'Code Pro'!$A$2:$B$9,2,FALSE)</f>
        <v>จ.ชลบุรี</v>
      </c>
      <c r="AA82" s="8">
        <f t="shared" si="10"/>
        <v>409116708.95315403</v>
      </c>
      <c r="AB82" s="8">
        <f t="shared" si="11"/>
        <v>15294082.577688001</v>
      </c>
      <c r="AC82" s="8">
        <f t="shared" si="12"/>
        <v>32499925.477587003</v>
      </c>
      <c r="AD82" s="8">
        <f t="shared" si="13"/>
        <v>182891737.491519</v>
      </c>
      <c r="AE82" s="8">
        <f t="shared" si="14"/>
        <v>144019277.60656199</v>
      </c>
      <c r="AF82" s="8">
        <f t="shared" si="15"/>
        <v>2908424639.7983241</v>
      </c>
      <c r="AG82" s="8">
        <f t="shared" si="16"/>
        <v>345391364.87945402</v>
      </c>
      <c r="AH82" s="8">
        <f t="shared" si="17"/>
        <v>1637741406.4194341</v>
      </c>
      <c r="AI82" s="8">
        <f t="shared" si="18"/>
        <v>0</v>
      </c>
    </row>
    <row r="83" spans="1:35" x14ac:dyDescent="0.55000000000000004">
      <c r="A83" s="1">
        <v>81</v>
      </c>
      <c r="B83" s="1" t="s">
        <v>20</v>
      </c>
      <c r="C83" s="1">
        <v>7</v>
      </c>
      <c r="D83" s="1">
        <v>7</v>
      </c>
      <c r="E83" s="1" t="s">
        <v>33</v>
      </c>
      <c r="F83" s="1" t="s">
        <v>34</v>
      </c>
      <c r="G83" s="1">
        <v>20</v>
      </c>
      <c r="H83" s="1">
        <v>2</v>
      </c>
      <c r="I83" s="1">
        <v>20070000</v>
      </c>
      <c r="J83" s="1">
        <v>228</v>
      </c>
      <c r="K83" s="1">
        <v>0</v>
      </c>
      <c r="L83" s="1">
        <v>13260</v>
      </c>
      <c r="M83" s="1">
        <v>13.041733000000001</v>
      </c>
      <c r="N83" s="1">
        <v>101.02302</v>
      </c>
      <c r="O83" s="1">
        <v>0.05</v>
      </c>
      <c r="P83" s="1">
        <v>0.5</v>
      </c>
      <c r="Q83" s="1">
        <v>2.56</v>
      </c>
      <c r="R83" s="1">
        <v>0.33</v>
      </c>
      <c r="S83" s="1">
        <v>0</v>
      </c>
      <c r="T83" s="1">
        <v>33.659999999999997</v>
      </c>
      <c r="U83" s="1">
        <v>1.95</v>
      </c>
      <c r="V83" s="1">
        <v>9.98</v>
      </c>
      <c r="W83" s="1">
        <v>0</v>
      </c>
      <c r="X83" s="1">
        <v>33226.961788000001</v>
      </c>
      <c r="Y83" s="1">
        <v>52193976.501699999</v>
      </c>
      <c r="Z83" t="str">
        <f>VLOOKUP(G83,'Code Pro'!$A$2:$B$9,2,FALSE)</f>
        <v>จ.ชลบุรี</v>
      </c>
      <c r="AA83" s="8">
        <f t="shared" si="10"/>
        <v>2609698.8250850001</v>
      </c>
      <c r="AB83" s="8">
        <f t="shared" si="11"/>
        <v>26096988.250849999</v>
      </c>
      <c r="AC83" s="8">
        <f t="shared" si="12"/>
        <v>133616579.84435201</v>
      </c>
      <c r="AD83" s="8">
        <f t="shared" si="13"/>
        <v>17224012.245561</v>
      </c>
      <c r="AE83" s="8">
        <f t="shared" si="14"/>
        <v>0</v>
      </c>
      <c r="AF83" s="8">
        <f t="shared" si="15"/>
        <v>1756849249.0472219</v>
      </c>
      <c r="AG83" s="8">
        <f t="shared" si="16"/>
        <v>101778254.178315</v>
      </c>
      <c r="AH83" s="8">
        <f t="shared" si="17"/>
        <v>520895885.48696601</v>
      </c>
      <c r="AI83" s="8">
        <f t="shared" si="18"/>
        <v>0</v>
      </c>
    </row>
    <row r="84" spans="1:35" x14ac:dyDescent="0.55000000000000004">
      <c r="A84" s="1">
        <v>82</v>
      </c>
      <c r="B84" s="1" t="s">
        <v>20</v>
      </c>
      <c r="C84" s="1">
        <v>7</v>
      </c>
      <c r="D84" s="1">
        <v>7</v>
      </c>
      <c r="E84" s="1" t="s">
        <v>33</v>
      </c>
      <c r="F84" s="1" t="s">
        <v>34</v>
      </c>
      <c r="G84" s="1">
        <v>20</v>
      </c>
      <c r="H84" s="1">
        <v>2</v>
      </c>
      <c r="I84" s="1">
        <v>20070000</v>
      </c>
      <c r="J84" s="1">
        <v>278</v>
      </c>
      <c r="K84" s="1">
        <v>0</v>
      </c>
      <c r="L84" s="1">
        <v>13262</v>
      </c>
      <c r="M84" s="1">
        <v>13.041733000000001</v>
      </c>
      <c r="N84" s="1">
        <v>101.189285</v>
      </c>
      <c r="O84" s="1">
        <v>2.85</v>
      </c>
      <c r="P84" s="1">
        <v>0.01</v>
      </c>
      <c r="Q84" s="1">
        <v>0.88</v>
      </c>
      <c r="R84" s="1">
        <v>0.12</v>
      </c>
      <c r="S84" s="1">
        <v>2.9</v>
      </c>
      <c r="T84" s="1">
        <v>42.27</v>
      </c>
      <c r="U84" s="1">
        <v>4.16</v>
      </c>
      <c r="V84" s="1">
        <v>21.74</v>
      </c>
      <c r="W84" s="1">
        <v>0.01</v>
      </c>
      <c r="X84" s="1">
        <v>38917.937381999996</v>
      </c>
      <c r="Y84" s="1">
        <v>34215889.280400001</v>
      </c>
      <c r="Z84" t="str">
        <f>VLOOKUP(G84,'Code Pro'!$A$2:$B$9,2,FALSE)</f>
        <v>จ.ชลบุรี</v>
      </c>
      <c r="AA84" s="8">
        <f t="shared" si="10"/>
        <v>97515284.449139997</v>
      </c>
      <c r="AB84" s="8">
        <f t="shared" si="11"/>
        <v>342158.892804</v>
      </c>
      <c r="AC84" s="8">
        <f t="shared" si="12"/>
        <v>30109982.566752002</v>
      </c>
      <c r="AD84" s="8">
        <f t="shared" si="13"/>
        <v>4105906.7136479998</v>
      </c>
      <c r="AE84" s="8">
        <f t="shared" si="14"/>
        <v>99226078.913159996</v>
      </c>
      <c r="AF84" s="8">
        <f t="shared" si="15"/>
        <v>1446305639.882508</v>
      </c>
      <c r="AG84" s="8">
        <f t="shared" si="16"/>
        <v>142338099.40646401</v>
      </c>
      <c r="AH84" s="8">
        <f t="shared" si="17"/>
        <v>743853432.9558959</v>
      </c>
      <c r="AI84" s="8">
        <f t="shared" si="18"/>
        <v>342158.892804</v>
      </c>
    </row>
    <row r="85" spans="1:35" x14ac:dyDescent="0.55000000000000004">
      <c r="A85" s="1">
        <v>83</v>
      </c>
      <c r="B85" s="1" t="s">
        <v>20</v>
      </c>
      <c r="C85" s="1">
        <v>7</v>
      </c>
      <c r="D85" s="1">
        <v>7</v>
      </c>
      <c r="E85" s="1" t="s">
        <v>33</v>
      </c>
      <c r="F85" s="1" t="s">
        <v>34</v>
      </c>
      <c r="G85" s="1">
        <v>20</v>
      </c>
      <c r="H85" s="1">
        <v>2</v>
      </c>
      <c r="I85" s="1">
        <v>20070000</v>
      </c>
      <c r="J85" s="1">
        <v>675</v>
      </c>
      <c r="K85" s="1">
        <v>0</v>
      </c>
      <c r="L85" s="1">
        <v>13378</v>
      </c>
      <c r="M85" s="1">
        <v>13.122719</v>
      </c>
      <c r="N85" s="1">
        <v>100.85674</v>
      </c>
      <c r="O85" s="1">
        <v>33.520000000000003</v>
      </c>
      <c r="P85" s="1">
        <v>0.42</v>
      </c>
      <c r="Q85" s="1">
        <v>2.38</v>
      </c>
      <c r="R85" s="1">
        <v>0</v>
      </c>
      <c r="S85" s="1">
        <v>0.36</v>
      </c>
      <c r="T85" s="1">
        <v>9.0399999999999991</v>
      </c>
      <c r="U85" s="1">
        <v>6.29</v>
      </c>
      <c r="V85" s="1">
        <v>1.1000000000000001</v>
      </c>
      <c r="W85" s="1">
        <v>0.01</v>
      </c>
      <c r="X85" s="1">
        <v>15818.695331000001</v>
      </c>
      <c r="Y85" s="1">
        <v>9216847.2230200004</v>
      </c>
      <c r="Z85" t="str">
        <f>VLOOKUP(G85,'Code Pro'!$A$2:$B$9,2,FALSE)</f>
        <v>จ.ชลบุรี</v>
      </c>
      <c r="AA85" s="8">
        <f t="shared" si="10"/>
        <v>308948718.91563046</v>
      </c>
      <c r="AB85" s="8">
        <f t="shared" si="11"/>
        <v>3871075.8336684001</v>
      </c>
      <c r="AC85" s="8">
        <f t="shared" si="12"/>
        <v>21936096.390787601</v>
      </c>
      <c r="AD85" s="8">
        <f t="shared" si="13"/>
        <v>0</v>
      </c>
      <c r="AE85" s="8">
        <f t="shared" si="14"/>
        <v>3318065.0002871999</v>
      </c>
      <c r="AF85" s="8">
        <f t="shared" si="15"/>
        <v>83320298.896100789</v>
      </c>
      <c r="AG85" s="8">
        <f t="shared" si="16"/>
        <v>57973969.032795802</v>
      </c>
      <c r="AH85" s="8">
        <f t="shared" si="17"/>
        <v>10138531.945322001</v>
      </c>
      <c r="AI85" s="8">
        <f t="shared" si="18"/>
        <v>92168.472230200001</v>
      </c>
    </row>
    <row r="86" spans="1:35" x14ac:dyDescent="0.55000000000000004">
      <c r="A86" s="1">
        <v>84</v>
      </c>
      <c r="B86" s="1" t="s">
        <v>20</v>
      </c>
      <c r="C86" s="1">
        <v>7</v>
      </c>
      <c r="D86" s="1">
        <v>7</v>
      </c>
      <c r="E86" s="1" t="s">
        <v>33</v>
      </c>
      <c r="F86" s="1" t="s">
        <v>34</v>
      </c>
      <c r="G86" s="1">
        <v>20</v>
      </c>
      <c r="H86" s="1">
        <v>2</v>
      </c>
      <c r="I86" s="1">
        <v>20070000</v>
      </c>
      <c r="J86" s="1">
        <v>676</v>
      </c>
      <c r="K86" s="1">
        <v>0</v>
      </c>
      <c r="L86" s="1">
        <v>13379</v>
      </c>
      <c r="M86" s="1">
        <v>13.122719</v>
      </c>
      <c r="N86" s="1">
        <v>100.93988</v>
      </c>
      <c r="O86" s="1">
        <v>1.1000000000000001</v>
      </c>
      <c r="P86" s="1">
        <v>0.18</v>
      </c>
      <c r="Q86" s="1">
        <v>33.950001</v>
      </c>
      <c r="R86" s="1">
        <v>1.19</v>
      </c>
      <c r="S86" s="1">
        <v>0.03</v>
      </c>
      <c r="T86" s="1">
        <v>22.01</v>
      </c>
      <c r="U86" s="1">
        <v>9.7100000000000009</v>
      </c>
      <c r="V86" s="1">
        <v>5.91</v>
      </c>
      <c r="W86" s="1">
        <v>0</v>
      </c>
      <c r="X86" s="1">
        <v>35380.753829000001</v>
      </c>
      <c r="Y86" s="1">
        <v>77955442.254700005</v>
      </c>
      <c r="Z86" t="str">
        <f>VLOOKUP(G86,'Code Pro'!$A$2:$B$9,2,FALSE)</f>
        <v>จ.ชลบุรี</v>
      </c>
      <c r="AA86" s="8">
        <f t="shared" si="10"/>
        <v>85750986.480170012</v>
      </c>
      <c r="AB86" s="8">
        <f t="shared" si="11"/>
        <v>14031979.605846001</v>
      </c>
      <c r="AC86" s="8">
        <f t="shared" si="12"/>
        <v>2646587342.5025077</v>
      </c>
      <c r="AD86" s="8">
        <f t="shared" si="13"/>
        <v>92766976.283093005</v>
      </c>
      <c r="AE86" s="8">
        <f t="shared" si="14"/>
        <v>2338663.267641</v>
      </c>
      <c r="AF86" s="8">
        <f t="shared" si="15"/>
        <v>1715799284.0259473</v>
      </c>
      <c r="AG86" s="8">
        <f t="shared" si="16"/>
        <v>756947344.29313707</v>
      </c>
      <c r="AH86" s="8">
        <f t="shared" si="17"/>
        <v>460716663.72527707</v>
      </c>
      <c r="AI86" s="8">
        <f t="shared" si="18"/>
        <v>0</v>
      </c>
    </row>
    <row r="87" spans="1:35" x14ac:dyDescent="0.55000000000000004">
      <c r="A87" s="1">
        <v>85</v>
      </c>
      <c r="B87" s="1" t="s">
        <v>20</v>
      </c>
      <c r="C87" s="1">
        <v>7</v>
      </c>
      <c r="D87" s="1">
        <v>7</v>
      </c>
      <c r="E87" s="1" t="s">
        <v>33</v>
      </c>
      <c r="F87" s="1" t="s">
        <v>34</v>
      </c>
      <c r="G87" s="1">
        <v>20</v>
      </c>
      <c r="H87" s="1">
        <v>2</v>
      </c>
      <c r="I87" s="1">
        <v>20070000</v>
      </c>
      <c r="J87" s="1">
        <v>678</v>
      </c>
      <c r="K87" s="1">
        <v>0</v>
      </c>
      <c r="L87" s="1">
        <v>13619</v>
      </c>
      <c r="M87" s="1">
        <v>13.284592</v>
      </c>
      <c r="N87" s="1">
        <v>100.93988</v>
      </c>
      <c r="O87" s="1">
        <v>1.52</v>
      </c>
      <c r="P87" s="1">
        <v>1.01</v>
      </c>
      <c r="Q87" s="1">
        <v>0.55000000000000004</v>
      </c>
      <c r="R87" s="1">
        <v>0.2</v>
      </c>
      <c r="S87" s="1">
        <v>2.2999999999999998</v>
      </c>
      <c r="T87" s="1">
        <v>32.520000000000003</v>
      </c>
      <c r="U87" s="1">
        <v>4.99</v>
      </c>
      <c r="V87" s="1">
        <v>1.3</v>
      </c>
      <c r="W87" s="1">
        <v>0</v>
      </c>
      <c r="X87" s="1">
        <v>7149.148134</v>
      </c>
      <c r="Y87" s="1">
        <v>1771990.3545299999</v>
      </c>
      <c r="Z87" t="str">
        <f>VLOOKUP(G87,'Code Pro'!$A$2:$B$9,2,FALSE)</f>
        <v>จ.ชลบุรี</v>
      </c>
      <c r="AA87" s="8">
        <f t="shared" si="10"/>
        <v>2693425.3388855997</v>
      </c>
      <c r="AB87" s="8">
        <f t="shared" si="11"/>
        <v>1789710.2580752999</v>
      </c>
      <c r="AC87" s="8">
        <f t="shared" si="12"/>
        <v>974594.6949915</v>
      </c>
      <c r="AD87" s="8">
        <f t="shared" si="13"/>
        <v>354398.07090599998</v>
      </c>
      <c r="AE87" s="8">
        <f t="shared" si="14"/>
        <v>4075577.8154189996</v>
      </c>
      <c r="AF87" s="8">
        <f t="shared" si="15"/>
        <v>57625126.329315603</v>
      </c>
      <c r="AG87" s="8">
        <f t="shared" si="16"/>
        <v>8842231.8691047002</v>
      </c>
      <c r="AH87" s="8">
        <f t="shared" si="17"/>
        <v>2303587.460889</v>
      </c>
      <c r="AI87" s="8">
        <f t="shared" si="18"/>
        <v>0</v>
      </c>
    </row>
    <row r="88" spans="1:35" x14ac:dyDescent="0.55000000000000004">
      <c r="A88" s="1">
        <v>86</v>
      </c>
      <c r="B88" s="1" t="s">
        <v>20</v>
      </c>
      <c r="C88" s="1">
        <v>7</v>
      </c>
      <c r="D88" s="1">
        <v>7</v>
      </c>
      <c r="E88" s="1" t="s">
        <v>33</v>
      </c>
      <c r="F88" s="1" t="s">
        <v>34</v>
      </c>
      <c r="G88" s="1">
        <v>20</v>
      </c>
      <c r="H88" s="1">
        <v>2</v>
      </c>
      <c r="I88" s="1">
        <v>20070000</v>
      </c>
      <c r="J88" s="1">
        <v>680</v>
      </c>
      <c r="K88" s="1">
        <v>0</v>
      </c>
      <c r="L88" s="1">
        <v>13499</v>
      </c>
      <c r="M88" s="1">
        <v>13.203666999999999</v>
      </c>
      <c r="N88" s="1">
        <v>100.93988</v>
      </c>
      <c r="O88" s="1">
        <v>0.74</v>
      </c>
      <c r="P88" s="1">
        <v>0.36</v>
      </c>
      <c r="Q88" s="1">
        <v>5.45</v>
      </c>
      <c r="R88" s="1">
        <v>0.65</v>
      </c>
      <c r="S88" s="1">
        <v>0.21</v>
      </c>
      <c r="T88" s="1">
        <v>52.720001000000003</v>
      </c>
      <c r="U88" s="1">
        <v>6.51</v>
      </c>
      <c r="V88" s="1">
        <v>1.78</v>
      </c>
      <c r="W88" s="1">
        <v>2.4</v>
      </c>
      <c r="X88" s="1">
        <v>31318.035748999999</v>
      </c>
      <c r="Y88" s="1">
        <v>46932108.484300002</v>
      </c>
      <c r="Z88" t="str">
        <f>VLOOKUP(G88,'Code Pro'!$A$2:$B$9,2,FALSE)</f>
        <v>จ.ชลบุรี</v>
      </c>
      <c r="AA88" s="8">
        <f t="shared" si="10"/>
        <v>34729760.278382003</v>
      </c>
      <c r="AB88" s="8">
        <f t="shared" si="11"/>
        <v>16895559.054347999</v>
      </c>
      <c r="AC88" s="8">
        <f t="shared" si="12"/>
        <v>255779991.23943502</v>
      </c>
      <c r="AD88" s="8">
        <f t="shared" si="13"/>
        <v>30505870.514795002</v>
      </c>
      <c r="AE88" s="8">
        <f t="shared" si="14"/>
        <v>9855742.7817030009</v>
      </c>
      <c r="AF88" s="8">
        <f t="shared" si="15"/>
        <v>2474260806.2244048</v>
      </c>
      <c r="AG88" s="8">
        <f t="shared" si="16"/>
        <v>305528026.23279303</v>
      </c>
      <c r="AH88" s="8">
        <f t="shared" si="17"/>
        <v>83539153.102054</v>
      </c>
      <c r="AI88" s="8">
        <f t="shared" si="18"/>
        <v>112637060.36232001</v>
      </c>
    </row>
    <row r="89" spans="1:35" x14ac:dyDescent="0.55000000000000004">
      <c r="A89" s="1">
        <v>87</v>
      </c>
      <c r="B89" s="1" t="s">
        <v>20</v>
      </c>
      <c r="C89" s="1">
        <v>7</v>
      </c>
      <c r="D89" s="1">
        <v>7</v>
      </c>
      <c r="E89" s="1" t="s">
        <v>33</v>
      </c>
      <c r="F89" s="1" t="s">
        <v>34</v>
      </c>
      <c r="G89" s="1">
        <v>20</v>
      </c>
      <c r="H89" s="1">
        <v>2</v>
      </c>
      <c r="I89" s="1">
        <v>20070000</v>
      </c>
      <c r="J89" s="1">
        <v>686</v>
      </c>
      <c r="K89" s="1">
        <v>0</v>
      </c>
      <c r="L89" s="1">
        <v>13380</v>
      </c>
      <c r="M89" s="1">
        <v>13.122719</v>
      </c>
      <c r="N89" s="1">
        <v>101.02302</v>
      </c>
      <c r="O89" s="1">
        <v>1.43</v>
      </c>
      <c r="P89" s="1">
        <v>10.02</v>
      </c>
      <c r="Q89" s="1">
        <v>12.52</v>
      </c>
      <c r="R89" s="1">
        <v>17.489999999999998</v>
      </c>
      <c r="S89" s="1">
        <v>0.03</v>
      </c>
      <c r="T89" s="1">
        <v>29.610001</v>
      </c>
      <c r="U89" s="1">
        <v>1.98</v>
      </c>
      <c r="V89" s="1">
        <v>0.6</v>
      </c>
      <c r="W89" s="1">
        <v>0</v>
      </c>
      <c r="X89" s="1">
        <v>35950.875745999998</v>
      </c>
      <c r="Y89" s="1">
        <v>80778280.230000004</v>
      </c>
      <c r="Z89" t="str">
        <f>VLOOKUP(G89,'Code Pro'!$A$2:$B$9,2,FALSE)</f>
        <v>จ.ชลบุรี</v>
      </c>
      <c r="AA89" s="8">
        <f t="shared" si="10"/>
        <v>115512940.7289</v>
      </c>
      <c r="AB89" s="8">
        <f t="shared" si="11"/>
        <v>809398367.90460002</v>
      </c>
      <c r="AC89" s="8">
        <f t="shared" si="12"/>
        <v>1011344068.4796001</v>
      </c>
      <c r="AD89" s="8">
        <f t="shared" si="13"/>
        <v>1412812121.2226999</v>
      </c>
      <c r="AE89" s="8">
        <f t="shared" si="14"/>
        <v>2423348.4068999998</v>
      </c>
      <c r="AF89" s="8">
        <f t="shared" si="15"/>
        <v>2391844958.3885803</v>
      </c>
      <c r="AG89" s="8">
        <f t="shared" si="16"/>
        <v>159940994.8554</v>
      </c>
      <c r="AH89" s="8">
        <f t="shared" si="17"/>
        <v>48466968.138000004</v>
      </c>
      <c r="AI89" s="8">
        <f t="shared" si="18"/>
        <v>0</v>
      </c>
    </row>
    <row r="90" spans="1:35" x14ac:dyDescent="0.55000000000000004">
      <c r="A90" s="1">
        <v>88</v>
      </c>
      <c r="B90" s="1" t="s">
        <v>20</v>
      </c>
      <c r="C90" s="1">
        <v>7</v>
      </c>
      <c r="D90" s="1">
        <v>7</v>
      </c>
      <c r="E90" s="1" t="s">
        <v>33</v>
      </c>
      <c r="F90" s="1" t="s">
        <v>34</v>
      </c>
      <c r="G90" s="1">
        <v>20</v>
      </c>
      <c r="H90" s="1">
        <v>2</v>
      </c>
      <c r="I90" s="1">
        <v>20070000</v>
      </c>
      <c r="J90" s="1">
        <v>687</v>
      </c>
      <c r="K90" s="1">
        <v>0</v>
      </c>
      <c r="L90" s="1">
        <v>13500</v>
      </c>
      <c r="M90" s="1">
        <v>13.203666999999999</v>
      </c>
      <c r="N90" s="1">
        <v>101.02302</v>
      </c>
      <c r="O90" s="1">
        <v>0.22</v>
      </c>
      <c r="P90" s="1">
        <v>1.97</v>
      </c>
      <c r="Q90" s="1">
        <v>2.52</v>
      </c>
      <c r="R90" s="1">
        <v>1.0900000000000001</v>
      </c>
      <c r="S90" s="1">
        <v>0</v>
      </c>
      <c r="T90" s="1">
        <v>33.169998</v>
      </c>
      <c r="U90" s="1">
        <v>1.42</v>
      </c>
      <c r="V90" s="1">
        <v>7.0000000000000007E-2</v>
      </c>
      <c r="W90" s="1">
        <v>0</v>
      </c>
      <c r="X90" s="1">
        <v>36110.948554000002</v>
      </c>
      <c r="Y90" s="1">
        <v>79859182.591999993</v>
      </c>
      <c r="Z90" t="str">
        <f>VLOOKUP(G90,'Code Pro'!$A$2:$B$9,2,FALSE)</f>
        <v>จ.ชลบุรี</v>
      </c>
      <c r="AA90" s="8">
        <f t="shared" si="10"/>
        <v>17569020.17024</v>
      </c>
      <c r="AB90" s="8">
        <f t="shared" si="11"/>
        <v>157322589.70624</v>
      </c>
      <c r="AC90" s="8">
        <f t="shared" si="12"/>
        <v>201245140.13183999</v>
      </c>
      <c r="AD90" s="8">
        <f t="shared" si="13"/>
        <v>87046509.025279999</v>
      </c>
      <c r="AE90" s="8">
        <f t="shared" si="14"/>
        <v>0</v>
      </c>
      <c r="AF90" s="8">
        <f t="shared" si="15"/>
        <v>2648928926.8582745</v>
      </c>
      <c r="AG90" s="8">
        <f t="shared" si="16"/>
        <v>113400039.28063999</v>
      </c>
      <c r="AH90" s="8">
        <f t="shared" si="17"/>
        <v>5590142.78144</v>
      </c>
      <c r="AI90" s="8">
        <f t="shared" si="18"/>
        <v>0</v>
      </c>
    </row>
    <row r="91" spans="1:35" x14ac:dyDescent="0.55000000000000004">
      <c r="A91" s="1">
        <v>89</v>
      </c>
      <c r="B91" s="1" t="s">
        <v>20</v>
      </c>
      <c r="C91" s="1">
        <v>7</v>
      </c>
      <c r="D91" s="1">
        <v>7</v>
      </c>
      <c r="E91" s="1" t="s">
        <v>33</v>
      </c>
      <c r="F91" s="1" t="s">
        <v>34</v>
      </c>
      <c r="G91" s="1">
        <v>20</v>
      </c>
      <c r="H91" s="1">
        <v>2</v>
      </c>
      <c r="I91" s="1">
        <v>20070000</v>
      </c>
      <c r="J91" s="1">
        <v>688</v>
      </c>
      <c r="K91" s="1">
        <v>0</v>
      </c>
      <c r="L91" s="1">
        <v>13381</v>
      </c>
      <c r="M91" s="1">
        <v>13.122719</v>
      </c>
      <c r="N91" s="1">
        <v>101.10615</v>
      </c>
      <c r="O91" s="1">
        <v>2.12</v>
      </c>
      <c r="P91" s="1">
        <v>0.11</v>
      </c>
      <c r="Q91" s="1">
        <v>8.19</v>
      </c>
      <c r="R91" s="1">
        <v>1.79</v>
      </c>
      <c r="S91" s="1">
        <v>0.17</v>
      </c>
      <c r="T91" s="1">
        <v>91.879997000000003</v>
      </c>
      <c r="U91" s="1">
        <v>2.96</v>
      </c>
      <c r="V91" s="1">
        <v>0.2</v>
      </c>
      <c r="W91" s="1">
        <v>0</v>
      </c>
      <c r="X91" s="1">
        <v>35553.542702999999</v>
      </c>
      <c r="Y91" s="1">
        <v>80002904.161400005</v>
      </c>
      <c r="Z91" t="str">
        <f>VLOOKUP(G91,'Code Pro'!$A$2:$B$9,2,FALSE)</f>
        <v>จ.ชลบุรี</v>
      </c>
      <c r="AA91" s="8">
        <f t="shared" si="10"/>
        <v>169606156.82216802</v>
      </c>
      <c r="AB91" s="8">
        <f t="shared" si="11"/>
        <v>8800319.457754001</v>
      </c>
      <c r="AC91" s="8">
        <f t="shared" si="12"/>
        <v>655223785.08186603</v>
      </c>
      <c r="AD91" s="8">
        <f t="shared" si="13"/>
        <v>143205198.448906</v>
      </c>
      <c r="AE91" s="8">
        <f t="shared" si="14"/>
        <v>13600493.707438001</v>
      </c>
      <c r="AF91" s="8">
        <f t="shared" si="15"/>
        <v>7350666594.3407202</v>
      </c>
      <c r="AG91" s="8">
        <f t="shared" si="16"/>
        <v>236808596.31774402</v>
      </c>
      <c r="AH91" s="8">
        <f t="shared" si="17"/>
        <v>16000580.832280003</v>
      </c>
      <c r="AI91" s="8">
        <f t="shared" si="18"/>
        <v>0</v>
      </c>
    </row>
    <row r="92" spans="1:35" x14ac:dyDescent="0.55000000000000004">
      <c r="A92" s="1">
        <v>90</v>
      </c>
      <c r="B92" s="1" t="s">
        <v>20</v>
      </c>
      <c r="C92" s="1">
        <v>7</v>
      </c>
      <c r="D92" s="1">
        <v>7</v>
      </c>
      <c r="E92" s="1" t="s">
        <v>33</v>
      </c>
      <c r="F92" s="1" t="s">
        <v>34</v>
      </c>
      <c r="G92" s="1">
        <v>20</v>
      </c>
      <c r="H92" s="1">
        <v>2</v>
      </c>
      <c r="I92" s="1">
        <v>20070000</v>
      </c>
      <c r="J92" s="1">
        <v>690</v>
      </c>
      <c r="K92" s="1">
        <v>0</v>
      </c>
      <c r="L92" s="1">
        <v>13501</v>
      </c>
      <c r="M92" s="1">
        <v>13.203666999999999</v>
      </c>
      <c r="N92" s="1">
        <v>101.10615</v>
      </c>
      <c r="O92" s="1">
        <v>2.27</v>
      </c>
      <c r="P92" s="1">
        <v>0</v>
      </c>
      <c r="Q92" s="1">
        <v>32.360000999999997</v>
      </c>
      <c r="R92" s="1">
        <v>7.44</v>
      </c>
      <c r="S92" s="1">
        <v>0</v>
      </c>
      <c r="T92" s="1">
        <v>71.300003000000004</v>
      </c>
      <c r="U92" s="1">
        <v>0.67</v>
      </c>
      <c r="V92" s="1">
        <v>0.01</v>
      </c>
      <c r="W92" s="1">
        <v>0</v>
      </c>
      <c r="X92" s="1">
        <v>28138.939166</v>
      </c>
      <c r="Y92" s="1">
        <v>21213545.462699998</v>
      </c>
      <c r="Z92" t="str">
        <f>VLOOKUP(G92,'Code Pro'!$A$2:$B$9,2,FALSE)</f>
        <v>จ.ชลบุรี</v>
      </c>
      <c r="AA92" s="8">
        <f t="shared" si="10"/>
        <v>48154748.200328998</v>
      </c>
      <c r="AB92" s="8">
        <f t="shared" si="11"/>
        <v>0</v>
      </c>
      <c r="AC92" s="8">
        <f t="shared" si="12"/>
        <v>686470352.38651729</v>
      </c>
      <c r="AD92" s="8">
        <f t="shared" si="13"/>
        <v>157828778.242488</v>
      </c>
      <c r="AE92" s="8">
        <f t="shared" si="14"/>
        <v>0</v>
      </c>
      <c r="AF92" s="8">
        <f t="shared" si="15"/>
        <v>1512525855.1311464</v>
      </c>
      <c r="AG92" s="8">
        <f t="shared" si="16"/>
        <v>14213075.460008999</v>
      </c>
      <c r="AH92" s="8">
        <f t="shared" si="17"/>
        <v>212135.454627</v>
      </c>
      <c r="AI92" s="8">
        <f t="shared" si="18"/>
        <v>0</v>
      </c>
    </row>
    <row r="93" spans="1:35" x14ac:dyDescent="0.55000000000000004">
      <c r="A93" s="1">
        <v>91</v>
      </c>
      <c r="B93" s="1" t="s">
        <v>20</v>
      </c>
      <c r="C93" s="1">
        <v>7</v>
      </c>
      <c r="D93" s="1">
        <v>7</v>
      </c>
      <c r="E93" s="1" t="s">
        <v>33</v>
      </c>
      <c r="F93" s="1" t="s">
        <v>34</v>
      </c>
      <c r="G93" s="1">
        <v>20</v>
      </c>
      <c r="H93" s="1">
        <v>2</v>
      </c>
      <c r="I93" s="1">
        <v>20070000</v>
      </c>
      <c r="J93" s="1">
        <v>691</v>
      </c>
      <c r="K93" s="1">
        <v>0</v>
      </c>
      <c r="L93" s="1">
        <v>13382</v>
      </c>
      <c r="M93" s="1">
        <v>13.122719</v>
      </c>
      <c r="N93" s="1">
        <v>101.189285</v>
      </c>
      <c r="O93" s="1">
        <v>3.57</v>
      </c>
      <c r="P93" s="1">
        <v>0</v>
      </c>
      <c r="Q93" s="1">
        <v>3.4</v>
      </c>
      <c r="R93" s="1">
        <v>1.1299999999999999</v>
      </c>
      <c r="S93" s="1">
        <v>0</v>
      </c>
      <c r="T93" s="1">
        <v>92.800003000000004</v>
      </c>
      <c r="U93" s="1">
        <v>2.93</v>
      </c>
      <c r="V93" s="1">
        <v>8.3699999999999992</v>
      </c>
      <c r="W93" s="1">
        <v>0</v>
      </c>
      <c r="X93" s="1">
        <v>27110.78744</v>
      </c>
      <c r="Y93" s="1">
        <v>27494741.431499999</v>
      </c>
      <c r="Z93" t="str">
        <f>VLOOKUP(G93,'Code Pro'!$A$2:$B$9,2,FALSE)</f>
        <v>จ.ชลบุรี</v>
      </c>
      <c r="AA93" s="8">
        <f t="shared" si="10"/>
        <v>98156226.910454988</v>
      </c>
      <c r="AB93" s="8">
        <f t="shared" si="11"/>
        <v>0</v>
      </c>
      <c r="AC93" s="8">
        <f t="shared" si="12"/>
        <v>93482120.8671</v>
      </c>
      <c r="AD93" s="8">
        <f t="shared" si="13"/>
        <v>31069057.817594998</v>
      </c>
      <c r="AE93" s="8">
        <f t="shared" si="14"/>
        <v>0</v>
      </c>
      <c r="AF93" s="8">
        <f t="shared" si="15"/>
        <v>2551512087.3274245</v>
      </c>
      <c r="AG93" s="8">
        <f t="shared" si="16"/>
        <v>80559592.394295007</v>
      </c>
      <c r="AH93" s="8">
        <f t="shared" si="17"/>
        <v>230130985.78165498</v>
      </c>
      <c r="AI93" s="8">
        <f t="shared" si="18"/>
        <v>0</v>
      </c>
    </row>
    <row r="94" spans="1:35" x14ac:dyDescent="0.55000000000000004">
      <c r="A94" s="1">
        <v>92</v>
      </c>
      <c r="B94" s="1" t="s">
        <v>20</v>
      </c>
      <c r="C94" s="1">
        <v>7</v>
      </c>
      <c r="D94" s="1">
        <v>7</v>
      </c>
      <c r="E94" s="1" t="s">
        <v>33</v>
      </c>
      <c r="F94" s="1" t="s">
        <v>34</v>
      </c>
      <c r="G94" s="1">
        <v>20</v>
      </c>
      <c r="H94" s="1">
        <v>2</v>
      </c>
      <c r="I94" s="1">
        <v>20070000</v>
      </c>
      <c r="J94" s="1">
        <v>695</v>
      </c>
      <c r="K94" s="1">
        <v>0</v>
      </c>
      <c r="L94" s="1">
        <v>13620</v>
      </c>
      <c r="M94" s="1">
        <v>13.284592</v>
      </c>
      <c r="N94" s="1">
        <v>101.02302</v>
      </c>
      <c r="O94" s="1">
        <v>2.91</v>
      </c>
      <c r="P94" s="1">
        <v>8.7100000000000009</v>
      </c>
      <c r="Q94" s="1">
        <v>1.0900000000000001</v>
      </c>
      <c r="R94" s="1">
        <v>0.09</v>
      </c>
      <c r="S94" s="1">
        <v>0.45</v>
      </c>
      <c r="T94" s="1">
        <v>35.630001</v>
      </c>
      <c r="U94" s="1">
        <v>1.78</v>
      </c>
      <c r="V94" s="1">
        <v>0.02</v>
      </c>
      <c r="W94" s="1">
        <v>0</v>
      </c>
      <c r="X94" s="1">
        <v>23903.918511</v>
      </c>
      <c r="Y94" s="1">
        <v>25573998.261500001</v>
      </c>
      <c r="Z94" t="str">
        <f>VLOOKUP(G94,'Code Pro'!$A$2:$B$9,2,FALSE)</f>
        <v>จ.ชลบุรี</v>
      </c>
      <c r="AA94" s="8">
        <f t="shared" si="10"/>
        <v>74420334.940965012</v>
      </c>
      <c r="AB94" s="8">
        <f t="shared" si="11"/>
        <v>222749524.85766503</v>
      </c>
      <c r="AC94" s="8">
        <f t="shared" si="12"/>
        <v>27875658.105035003</v>
      </c>
      <c r="AD94" s="8">
        <f t="shared" si="13"/>
        <v>2301659.843535</v>
      </c>
      <c r="AE94" s="8">
        <f t="shared" si="14"/>
        <v>11508299.217675</v>
      </c>
      <c r="AF94" s="8">
        <f t="shared" si="15"/>
        <v>911201583.63124335</v>
      </c>
      <c r="AG94" s="8">
        <f t="shared" si="16"/>
        <v>45521716.905469999</v>
      </c>
      <c r="AH94" s="8">
        <f t="shared" si="17"/>
        <v>511479.96523000003</v>
      </c>
      <c r="AI94" s="8">
        <f t="shared" si="18"/>
        <v>0</v>
      </c>
    </row>
    <row r="95" spans="1:35" x14ac:dyDescent="0.55000000000000004">
      <c r="A95" s="1">
        <v>93</v>
      </c>
      <c r="B95" s="1" t="s">
        <v>20</v>
      </c>
      <c r="C95" s="1">
        <v>8</v>
      </c>
      <c r="D95" s="1">
        <v>8</v>
      </c>
      <c r="E95" s="1" t="s">
        <v>35</v>
      </c>
      <c r="F95" s="1" t="s">
        <v>36</v>
      </c>
      <c r="G95" s="1">
        <v>20</v>
      </c>
      <c r="H95" s="1">
        <v>2</v>
      </c>
      <c r="I95" s="1">
        <v>20080000</v>
      </c>
      <c r="J95" s="1">
        <v>664</v>
      </c>
      <c r="K95" s="1">
        <v>0</v>
      </c>
      <c r="L95" s="1">
        <v>13497</v>
      </c>
      <c r="M95" s="1">
        <v>13.203666999999999</v>
      </c>
      <c r="N95" s="1">
        <v>100.773605</v>
      </c>
      <c r="O95" s="1">
        <v>0.17</v>
      </c>
      <c r="P95" s="1">
        <v>1.55</v>
      </c>
      <c r="Q95" s="1">
        <v>3.02</v>
      </c>
      <c r="R95" s="1">
        <v>0</v>
      </c>
      <c r="S95" s="1">
        <v>45.919998</v>
      </c>
      <c r="T95" s="1">
        <v>27.540001</v>
      </c>
      <c r="U95" s="1">
        <v>5.8</v>
      </c>
      <c r="V95" s="1">
        <v>0.44</v>
      </c>
      <c r="W95" s="1">
        <v>1.33</v>
      </c>
      <c r="X95" s="1">
        <v>6137.0889269999998</v>
      </c>
      <c r="Y95" s="1">
        <v>1548611.52015</v>
      </c>
      <c r="Z95" t="str">
        <f>VLOOKUP(G95,'Code Pro'!$A$2:$B$9,2,FALSE)</f>
        <v>จ.ชลบุรี</v>
      </c>
      <c r="AA95" s="8">
        <f t="shared" si="10"/>
        <v>263263.95842550002</v>
      </c>
      <c r="AB95" s="8">
        <f t="shared" si="11"/>
        <v>2400347.8562325002</v>
      </c>
      <c r="AC95" s="8">
        <f t="shared" si="12"/>
        <v>4676806.7908530002</v>
      </c>
      <c r="AD95" s="8">
        <f t="shared" si="13"/>
        <v>0</v>
      </c>
      <c r="AE95" s="8">
        <f t="shared" si="14"/>
        <v>71112237.908064961</v>
      </c>
      <c r="AF95" s="8">
        <f t="shared" si="15"/>
        <v>42648762.813542522</v>
      </c>
      <c r="AG95" s="8">
        <f t="shared" si="16"/>
        <v>8981946.8168700002</v>
      </c>
      <c r="AH95" s="8">
        <f t="shared" si="17"/>
        <v>681389.06886600005</v>
      </c>
      <c r="AI95" s="8">
        <f t="shared" si="18"/>
        <v>2059653.3217995001</v>
      </c>
    </row>
    <row r="96" spans="1:35" x14ac:dyDescent="0.55000000000000004">
      <c r="A96" s="1">
        <v>94</v>
      </c>
      <c r="B96" s="1" t="s">
        <v>20</v>
      </c>
      <c r="C96" s="1">
        <v>8</v>
      </c>
      <c r="D96" s="1">
        <v>8</v>
      </c>
      <c r="E96" s="1" t="s">
        <v>35</v>
      </c>
      <c r="F96" s="1" t="s">
        <v>36</v>
      </c>
      <c r="G96" s="1">
        <v>20</v>
      </c>
      <c r="H96" s="1">
        <v>2</v>
      </c>
      <c r="I96" s="1">
        <v>20080000</v>
      </c>
      <c r="J96" s="1">
        <v>665</v>
      </c>
      <c r="K96" s="1">
        <v>0</v>
      </c>
      <c r="L96" s="1">
        <v>13377</v>
      </c>
      <c r="M96" s="1">
        <v>13.122719</v>
      </c>
      <c r="N96" s="1">
        <v>100.773605</v>
      </c>
      <c r="O96" s="1">
        <v>12.61</v>
      </c>
      <c r="P96" s="1">
        <v>0.28000000000000003</v>
      </c>
      <c r="Q96" s="1">
        <v>0.15</v>
      </c>
      <c r="R96" s="1">
        <v>0</v>
      </c>
      <c r="S96" s="1">
        <v>5.45</v>
      </c>
      <c r="T96" s="1">
        <v>9.5399999999999991</v>
      </c>
      <c r="U96" s="1">
        <v>4.6900000000000004</v>
      </c>
      <c r="V96" s="1">
        <v>0.21</v>
      </c>
      <c r="W96" s="1">
        <v>1.1399999999999999</v>
      </c>
      <c r="X96" s="1">
        <v>12234.615957</v>
      </c>
      <c r="Y96" s="1">
        <v>4191951.00337</v>
      </c>
      <c r="Z96" t="str">
        <f>VLOOKUP(G96,'Code Pro'!$A$2:$B$9,2,FALSE)</f>
        <v>จ.ชลบุรี</v>
      </c>
      <c r="AA96" s="8">
        <f t="shared" si="10"/>
        <v>52860502.152495697</v>
      </c>
      <c r="AB96" s="8">
        <f t="shared" si="11"/>
        <v>1173746.2809436002</v>
      </c>
      <c r="AC96" s="8">
        <f t="shared" si="12"/>
        <v>628792.65050550003</v>
      </c>
      <c r="AD96" s="8">
        <f t="shared" si="13"/>
        <v>0</v>
      </c>
      <c r="AE96" s="8">
        <f t="shared" si="14"/>
        <v>22846132.9683665</v>
      </c>
      <c r="AF96" s="8">
        <f t="shared" si="15"/>
        <v>39991212.572149798</v>
      </c>
      <c r="AG96" s="8">
        <f t="shared" si="16"/>
        <v>19660250.205805302</v>
      </c>
      <c r="AH96" s="8">
        <f t="shared" si="17"/>
        <v>880309.7107077</v>
      </c>
      <c r="AI96" s="8">
        <f t="shared" si="18"/>
        <v>4778824.1438417993</v>
      </c>
    </row>
    <row r="97" spans="1:35" x14ac:dyDescent="0.55000000000000004">
      <c r="A97" s="1">
        <v>95</v>
      </c>
      <c r="B97" s="1" t="s">
        <v>20</v>
      </c>
      <c r="C97" s="1">
        <v>8</v>
      </c>
      <c r="D97" s="1">
        <v>8</v>
      </c>
      <c r="E97" s="1" t="s">
        <v>35</v>
      </c>
      <c r="F97" s="1" t="s">
        <v>36</v>
      </c>
      <c r="G97" s="1">
        <v>20</v>
      </c>
      <c r="H97" s="1">
        <v>2</v>
      </c>
      <c r="I97" s="1">
        <v>20080000</v>
      </c>
      <c r="J97" s="1">
        <v>675</v>
      </c>
      <c r="K97" s="1">
        <v>0</v>
      </c>
      <c r="L97" s="1">
        <v>13378</v>
      </c>
      <c r="M97" s="1">
        <v>13.122719</v>
      </c>
      <c r="N97" s="1">
        <v>100.85674</v>
      </c>
      <c r="O97" s="1">
        <v>33.520000000000003</v>
      </c>
      <c r="P97" s="1">
        <v>0.42</v>
      </c>
      <c r="Q97" s="1">
        <v>2.38</v>
      </c>
      <c r="R97" s="1">
        <v>0</v>
      </c>
      <c r="S97" s="1">
        <v>0.36</v>
      </c>
      <c r="T97" s="1">
        <v>9.0399999999999991</v>
      </c>
      <c r="U97" s="1">
        <v>6.29</v>
      </c>
      <c r="V97" s="1">
        <v>1.1000000000000001</v>
      </c>
      <c r="W97" s="1">
        <v>0.01</v>
      </c>
      <c r="X97" s="1">
        <v>5669.9177950000003</v>
      </c>
      <c r="Y97" s="1">
        <v>712360.03363900003</v>
      </c>
      <c r="Z97" t="str">
        <f>VLOOKUP(G97,'Code Pro'!$A$2:$B$9,2,FALSE)</f>
        <v>จ.ชลบุรี</v>
      </c>
      <c r="AA97" s="8">
        <f t="shared" si="10"/>
        <v>23878308.327579282</v>
      </c>
      <c r="AB97" s="8">
        <f t="shared" si="11"/>
        <v>299191.21412838</v>
      </c>
      <c r="AC97" s="8">
        <f t="shared" si="12"/>
        <v>1695416.8800608199</v>
      </c>
      <c r="AD97" s="8">
        <f t="shared" si="13"/>
        <v>0</v>
      </c>
      <c r="AE97" s="8">
        <f t="shared" si="14"/>
        <v>256449.61211004001</v>
      </c>
      <c r="AF97" s="8">
        <f t="shared" si="15"/>
        <v>6439734.7040965594</v>
      </c>
      <c r="AG97" s="8">
        <f t="shared" si="16"/>
        <v>4480744.6115893098</v>
      </c>
      <c r="AH97" s="8">
        <f t="shared" si="17"/>
        <v>783596.03700290015</v>
      </c>
      <c r="AI97" s="8">
        <f t="shared" si="18"/>
        <v>7123.6003363900008</v>
      </c>
    </row>
    <row r="98" spans="1:35" x14ac:dyDescent="0.55000000000000004">
      <c r="A98" s="1">
        <v>96</v>
      </c>
      <c r="B98" s="1" t="s">
        <v>20</v>
      </c>
      <c r="C98" s="1">
        <v>9</v>
      </c>
      <c r="D98" s="1">
        <v>9</v>
      </c>
      <c r="E98" s="1" t="s">
        <v>37</v>
      </c>
      <c r="F98" s="1" t="s">
        <v>38</v>
      </c>
      <c r="G98" s="1">
        <v>20</v>
      </c>
      <c r="H98" s="1">
        <v>2</v>
      </c>
      <c r="I98" s="1">
        <v>20090000</v>
      </c>
      <c r="J98" s="1">
        <v>168</v>
      </c>
      <c r="K98" s="1">
        <v>0</v>
      </c>
      <c r="L98" s="1">
        <v>12657</v>
      </c>
      <c r="M98" s="1">
        <v>12.636443999999999</v>
      </c>
      <c r="N98" s="1">
        <v>100.773605</v>
      </c>
      <c r="O98" s="1">
        <v>0.37</v>
      </c>
      <c r="P98" s="1">
        <v>0.1</v>
      </c>
      <c r="Q98" s="1">
        <v>0.09</v>
      </c>
      <c r="R98" s="1">
        <v>2.39</v>
      </c>
      <c r="S98" s="1">
        <v>18.68</v>
      </c>
      <c r="T98" s="1">
        <v>11.1</v>
      </c>
      <c r="U98" s="1">
        <v>5.54</v>
      </c>
      <c r="V98" s="1">
        <v>4.8099999999999996</v>
      </c>
      <c r="W98" s="1">
        <v>1.92</v>
      </c>
      <c r="X98" s="1">
        <v>3692.5625140000002</v>
      </c>
      <c r="Y98" s="1">
        <v>560954.469851</v>
      </c>
      <c r="Z98" t="str">
        <f>VLOOKUP(G98,'Code Pro'!$A$2:$B$9,2,FALSE)</f>
        <v>จ.ชลบุรี</v>
      </c>
      <c r="AA98" s="8">
        <f t="shared" si="10"/>
        <v>207553.15384486999</v>
      </c>
      <c r="AB98" s="8">
        <f t="shared" si="11"/>
        <v>56095.446985100003</v>
      </c>
      <c r="AC98" s="8">
        <f t="shared" si="12"/>
        <v>50485.902286589997</v>
      </c>
      <c r="AD98" s="8">
        <f t="shared" si="13"/>
        <v>1340681.1829438901</v>
      </c>
      <c r="AE98" s="8">
        <f t="shared" si="14"/>
        <v>10478629.49681668</v>
      </c>
      <c r="AF98" s="8">
        <f t="shared" si="15"/>
        <v>6226594.6153461002</v>
      </c>
      <c r="AG98" s="8">
        <f t="shared" si="16"/>
        <v>3107687.7629745402</v>
      </c>
      <c r="AH98" s="8">
        <f t="shared" si="17"/>
        <v>2698190.9999833098</v>
      </c>
      <c r="AI98" s="8">
        <f t="shared" si="18"/>
        <v>1077032.58211392</v>
      </c>
    </row>
    <row r="99" spans="1:35" x14ac:dyDescent="0.55000000000000004">
      <c r="A99" s="1">
        <v>97</v>
      </c>
      <c r="B99" s="1" t="s">
        <v>20</v>
      </c>
      <c r="C99" s="1">
        <v>9</v>
      </c>
      <c r="D99" s="1">
        <v>9</v>
      </c>
      <c r="E99" s="1" t="s">
        <v>37</v>
      </c>
      <c r="F99" s="1" t="s">
        <v>38</v>
      </c>
      <c r="G99" s="1">
        <v>20</v>
      </c>
      <c r="H99" s="1">
        <v>2</v>
      </c>
      <c r="I99" s="1">
        <v>20090000</v>
      </c>
      <c r="J99" s="1">
        <v>173</v>
      </c>
      <c r="K99" s="1">
        <v>0</v>
      </c>
      <c r="L99" s="1">
        <v>12419</v>
      </c>
      <c r="M99" s="1">
        <v>12.474159</v>
      </c>
      <c r="N99" s="1">
        <v>100.93988</v>
      </c>
      <c r="O99" s="1">
        <v>0</v>
      </c>
      <c r="P99" s="1">
        <v>0.35</v>
      </c>
      <c r="Q99" s="1">
        <v>0.27</v>
      </c>
      <c r="R99" s="1">
        <v>0</v>
      </c>
      <c r="S99" s="1">
        <v>0.22</v>
      </c>
      <c r="T99" s="1">
        <v>3.58</v>
      </c>
      <c r="U99" s="1">
        <v>6.1</v>
      </c>
      <c r="V99" s="1">
        <v>2.38</v>
      </c>
      <c r="W99" s="1">
        <v>5.84</v>
      </c>
      <c r="X99" s="1">
        <v>3420.6363070000002</v>
      </c>
      <c r="Y99" s="1">
        <v>283819.17847799999</v>
      </c>
      <c r="Z99" t="str">
        <f>VLOOKUP(G99,'Code Pro'!$A$2:$B$9,2,FALSE)</f>
        <v>จ.ชลบุรี</v>
      </c>
      <c r="AA99" s="8">
        <f t="shared" si="10"/>
        <v>0</v>
      </c>
      <c r="AB99" s="8">
        <f t="shared" si="11"/>
        <v>99336.712467299993</v>
      </c>
      <c r="AC99" s="8">
        <f t="shared" si="12"/>
        <v>76631.178189059996</v>
      </c>
      <c r="AD99" s="8">
        <f t="shared" si="13"/>
        <v>0</v>
      </c>
      <c r="AE99" s="8">
        <f t="shared" si="14"/>
        <v>62440.219265159998</v>
      </c>
      <c r="AF99" s="8">
        <f t="shared" si="15"/>
        <v>1016072.65895124</v>
      </c>
      <c r="AG99" s="8">
        <f t="shared" si="16"/>
        <v>1731296.9887157998</v>
      </c>
      <c r="AH99" s="8">
        <f t="shared" si="17"/>
        <v>675489.64477763989</v>
      </c>
      <c r="AI99" s="8">
        <f t="shared" si="18"/>
        <v>1657504.0023115198</v>
      </c>
    </row>
    <row r="100" spans="1:35" x14ac:dyDescent="0.55000000000000004">
      <c r="A100" s="1">
        <v>98</v>
      </c>
      <c r="B100" s="1" t="s">
        <v>20</v>
      </c>
      <c r="C100" s="1">
        <v>9</v>
      </c>
      <c r="D100" s="1">
        <v>9</v>
      </c>
      <c r="E100" s="1" t="s">
        <v>37</v>
      </c>
      <c r="F100" s="1" t="s">
        <v>38</v>
      </c>
      <c r="G100" s="1">
        <v>20</v>
      </c>
      <c r="H100" s="1">
        <v>2</v>
      </c>
      <c r="I100" s="1">
        <v>20090000</v>
      </c>
      <c r="J100" s="1">
        <v>176</v>
      </c>
      <c r="K100" s="1">
        <v>0</v>
      </c>
      <c r="L100" s="1">
        <v>12539</v>
      </c>
      <c r="M100" s="1">
        <v>12.555313</v>
      </c>
      <c r="N100" s="1">
        <v>100.93988</v>
      </c>
      <c r="O100" s="1">
        <v>0</v>
      </c>
      <c r="P100" s="1">
        <v>0.79</v>
      </c>
      <c r="Q100" s="1">
        <v>0.03</v>
      </c>
      <c r="R100" s="1">
        <v>0.13</v>
      </c>
      <c r="S100" s="1">
        <v>13.4</v>
      </c>
      <c r="T100" s="1">
        <v>3.36</v>
      </c>
      <c r="U100" s="1">
        <v>4.45</v>
      </c>
      <c r="V100" s="1">
        <v>4.88</v>
      </c>
      <c r="W100" s="1">
        <v>6.1</v>
      </c>
      <c r="X100" s="1">
        <v>26276.622144000001</v>
      </c>
      <c r="Y100" s="1">
        <v>6642748.0146899996</v>
      </c>
      <c r="Z100" t="str">
        <f>VLOOKUP(G100,'Code Pro'!$A$2:$B$9,2,FALSE)</f>
        <v>จ.ชลบุรี</v>
      </c>
      <c r="AA100" s="8">
        <f t="shared" si="10"/>
        <v>0</v>
      </c>
      <c r="AB100" s="8">
        <f t="shared" si="11"/>
        <v>5247770.9316050997</v>
      </c>
      <c r="AC100" s="8">
        <f t="shared" si="12"/>
        <v>199282.44044069998</v>
      </c>
      <c r="AD100" s="8">
        <f t="shared" si="13"/>
        <v>863557.24190969998</v>
      </c>
      <c r="AE100" s="8">
        <f t="shared" si="14"/>
        <v>89012823.396845996</v>
      </c>
      <c r="AF100" s="8">
        <f t="shared" si="15"/>
        <v>22319633.329358399</v>
      </c>
      <c r="AG100" s="8">
        <f t="shared" si="16"/>
        <v>29560228.665370498</v>
      </c>
      <c r="AH100" s="8">
        <f t="shared" si="17"/>
        <v>32416610.311687198</v>
      </c>
      <c r="AI100" s="8">
        <f t="shared" si="18"/>
        <v>40520762.889608994</v>
      </c>
    </row>
    <row r="101" spans="1:35" x14ac:dyDescent="0.55000000000000004">
      <c r="A101" s="1">
        <v>99</v>
      </c>
      <c r="B101" s="1" t="s">
        <v>20</v>
      </c>
      <c r="C101" s="1">
        <v>9</v>
      </c>
      <c r="D101" s="1">
        <v>9</v>
      </c>
      <c r="E101" s="1" t="s">
        <v>37</v>
      </c>
      <c r="F101" s="1" t="s">
        <v>38</v>
      </c>
      <c r="G101" s="1">
        <v>20</v>
      </c>
      <c r="H101" s="1">
        <v>2</v>
      </c>
      <c r="I101" s="1">
        <v>20090000</v>
      </c>
      <c r="J101" s="1">
        <v>179</v>
      </c>
      <c r="K101" s="1">
        <v>0</v>
      </c>
      <c r="L101" s="1">
        <v>12659</v>
      </c>
      <c r="M101" s="1">
        <v>12.636443999999999</v>
      </c>
      <c r="N101" s="1">
        <v>100.93988</v>
      </c>
      <c r="O101" s="1">
        <v>0.02</v>
      </c>
      <c r="P101" s="1">
        <v>0.06</v>
      </c>
      <c r="Q101" s="1">
        <v>0.01</v>
      </c>
      <c r="R101" s="1">
        <v>0</v>
      </c>
      <c r="S101" s="1">
        <v>2.7</v>
      </c>
      <c r="T101" s="1">
        <v>9.3000000000000007</v>
      </c>
      <c r="U101" s="1">
        <v>10.15</v>
      </c>
      <c r="V101" s="1">
        <v>7.48</v>
      </c>
      <c r="W101" s="1">
        <v>3.53</v>
      </c>
      <c r="X101" s="1">
        <v>41508.853369999997</v>
      </c>
      <c r="Y101" s="1">
        <v>47912921.588200003</v>
      </c>
      <c r="Z101" t="str">
        <f>VLOOKUP(G101,'Code Pro'!$A$2:$B$9,2,FALSE)</f>
        <v>จ.ชลบุรี</v>
      </c>
      <c r="AA101" s="8">
        <f t="shared" si="10"/>
        <v>958258.4317640001</v>
      </c>
      <c r="AB101" s="8">
        <f t="shared" si="11"/>
        <v>2874775.2952920003</v>
      </c>
      <c r="AC101" s="8">
        <f t="shared" si="12"/>
        <v>479129.21588200005</v>
      </c>
      <c r="AD101" s="8">
        <f t="shared" si="13"/>
        <v>0</v>
      </c>
      <c r="AE101" s="8">
        <f t="shared" si="14"/>
        <v>129364888.28814001</v>
      </c>
      <c r="AF101" s="8">
        <f t="shared" si="15"/>
        <v>445590170.77026004</v>
      </c>
      <c r="AG101" s="8">
        <f t="shared" si="16"/>
        <v>486316154.12023002</v>
      </c>
      <c r="AH101" s="8">
        <f t="shared" si="17"/>
        <v>358388653.47973603</v>
      </c>
      <c r="AI101" s="8">
        <f t="shared" si="18"/>
        <v>169132613.20634601</v>
      </c>
    </row>
    <row r="102" spans="1:35" x14ac:dyDescent="0.55000000000000004">
      <c r="A102" s="1">
        <v>100</v>
      </c>
      <c r="B102" s="1" t="s">
        <v>20</v>
      </c>
      <c r="C102" s="1">
        <v>9</v>
      </c>
      <c r="D102" s="1">
        <v>9</v>
      </c>
      <c r="E102" s="1" t="s">
        <v>37</v>
      </c>
      <c r="F102" s="1" t="s">
        <v>38</v>
      </c>
      <c r="G102" s="1">
        <v>20</v>
      </c>
      <c r="H102" s="1">
        <v>2</v>
      </c>
      <c r="I102" s="1">
        <v>20090000</v>
      </c>
      <c r="J102" s="1">
        <v>180</v>
      </c>
      <c r="K102" s="1">
        <v>0</v>
      </c>
      <c r="L102" s="1">
        <v>12658</v>
      </c>
      <c r="M102" s="1">
        <v>12.636443999999999</v>
      </c>
      <c r="N102" s="1">
        <v>100.85674</v>
      </c>
      <c r="O102" s="1">
        <v>0.01</v>
      </c>
      <c r="P102" s="1">
        <v>0.15</v>
      </c>
      <c r="Q102" s="1">
        <v>0.04</v>
      </c>
      <c r="R102" s="1">
        <v>0.05</v>
      </c>
      <c r="S102" s="1">
        <v>3.15</v>
      </c>
      <c r="T102" s="1">
        <v>9.2899999999999991</v>
      </c>
      <c r="U102" s="1">
        <v>8.16</v>
      </c>
      <c r="V102" s="1">
        <v>5.33</v>
      </c>
      <c r="W102" s="1">
        <v>1.68</v>
      </c>
      <c r="X102" s="1">
        <v>36519.375989</v>
      </c>
      <c r="Y102" s="1">
        <v>14327926.946900001</v>
      </c>
      <c r="Z102" t="str">
        <f>VLOOKUP(G102,'Code Pro'!$A$2:$B$9,2,FALSE)</f>
        <v>จ.ชลบุรี</v>
      </c>
      <c r="AA102" s="8">
        <f t="shared" si="10"/>
        <v>143279.26946900002</v>
      </c>
      <c r="AB102" s="8">
        <f t="shared" si="11"/>
        <v>2149189.0420349999</v>
      </c>
      <c r="AC102" s="8">
        <f t="shared" si="12"/>
        <v>573117.07787600008</v>
      </c>
      <c r="AD102" s="8">
        <f t="shared" si="13"/>
        <v>716396.34734500013</v>
      </c>
      <c r="AE102" s="8">
        <f t="shared" si="14"/>
        <v>45132969.882734999</v>
      </c>
      <c r="AF102" s="8">
        <f t="shared" si="15"/>
        <v>133106441.33670099</v>
      </c>
      <c r="AG102" s="8">
        <f t="shared" si="16"/>
        <v>116915883.88670401</v>
      </c>
      <c r="AH102" s="8">
        <f t="shared" si="17"/>
        <v>76367850.626977012</v>
      </c>
      <c r="AI102" s="8">
        <f t="shared" si="18"/>
        <v>24070917.270792</v>
      </c>
    </row>
    <row r="103" spans="1:35" x14ac:dyDescent="0.55000000000000004">
      <c r="A103" s="1">
        <v>101</v>
      </c>
      <c r="B103" s="1" t="s">
        <v>20</v>
      </c>
      <c r="C103" s="1">
        <v>9</v>
      </c>
      <c r="D103" s="1">
        <v>9</v>
      </c>
      <c r="E103" s="1" t="s">
        <v>37</v>
      </c>
      <c r="F103" s="1" t="s">
        <v>38</v>
      </c>
      <c r="G103" s="1">
        <v>20</v>
      </c>
      <c r="H103" s="1">
        <v>2</v>
      </c>
      <c r="I103" s="1">
        <v>20090000</v>
      </c>
      <c r="J103" s="1">
        <v>187</v>
      </c>
      <c r="K103" s="1">
        <v>0</v>
      </c>
      <c r="L103" s="1">
        <v>12660</v>
      </c>
      <c r="M103" s="1">
        <v>12.636443999999999</v>
      </c>
      <c r="N103" s="1">
        <v>101.02302</v>
      </c>
      <c r="O103" s="1">
        <v>7.0000000000000007E-2</v>
      </c>
      <c r="P103" s="1">
        <v>0.2</v>
      </c>
      <c r="Q103" s="1">
        <v>0.7</v>
      </c>
      <c r="R103" s="1">
        <v>0.01</v>
      </c>
      <c r="S103" s="1">
        <v>2.78</v>
      </c>
      <c r="T103" s="1">
        <v>22.83</v>
      </c>
      <c r="U103" s="1">
        <v>24.77</v>
      </c>
      <c r="V103" s="1">
        <v>8.5</v>
      </c>
      <c r="W103" s="1">
        <v>5.24</v>
      </c>
      <c r="X103" s="1">
        <v>7831.4474719999998</v>
      </c>
      <c r="Y103" s="1">
        <v>2856374.4136000001</v>
      </c>
      <c r="Z103" t="str">
        <f>VLOOKUP(G103,'Code Pro'!$A$2:$B$9,2,FALSE)</f>
        <v>จ.ชลบุรี</v>
      </c>
      <c r="AA103" s="8">
        <f t="shared" si="10"/>
        <v>199946.20895200002</v>
      </c>
      <c r="AB103" s="8">
        <f t="shared" si="11"/>
        <v>571274.88271999999</v>
      </c>
      <c r="AC103" s="8">
        <f t="shared" si="12"/>
        <v>1999462.0895199999</v>
      </c>
      <c r="AD103" s="8">
        <f t="shared" si="13"/>
        <v>28563.744136000001</v>
      </c>
      <c r="AE103" s="8">
        <f t="shared" si="14"/>
        <v>7940720.8698079996</v>
      </c>
      <c r="AF103" s="8">
        <f t="shared" si="15"/>
        <v>65211027.862487994</v>
      </c>
      <c r="AG103" s="8">
        <f t="shared" si="16"/>
        <v>70752394.224872008</v>
      </c>
      <c r="AH103" s="8">
        <f t="shared" si="17"/>
        <v>24279182.5156</v>
      </c>
      <c r="AI103" s="8">
        <f t="shared" si="18"/>
        <v>14967401.927264001</v>
      </c>
    </row>
    <row r="104" spans="1:35" x14ac:dyDescent="0.55000000000000004">
      <c r="A104" s="1">
        <v>102</v>
      </c>
      <c r="B104" s="1" t="s">
        <v>20</v>
      </c>
      <c r="C104" s="1">
        <v>9</v>
      </c>
      <c r="D104" s="1">
        <v>9</v>
      </c>
      <c r="E104" s="1" t="s">
        <v>37</v>
      </c>
      <c r="F104" s="1" t="s">
        <v>38</v>
      </c>
      <c r="G104" s="1">
        <v>20</v>
      </c>
      <c r="H104" s="1">
        <v>2</v>
      </c>
      <c r="I104" s="1">
        <v>20090000</v>
      </c>
      <c r="J104" s="1">
        <v>199</v>
      </c>
      <c r="K104" s="1">
        <v>0</v>
      </c>
      <c r="L104" s="1">
        <v>12777</v>
      </c>
      <c r="M104" s="1">
        <v>12.717560000000001</v>
      </c>
      <c r="N104" s="1">
        <v>100.773605</v>
      </c>
      <c r="O104" s="1">
        <v>0.59</v>
      </c>
      <c r="P104" s="1">
        <v>0.03</v>
      </c>
      <c r="Q104" s="1">
        <v>0.13</v>
      </c>
      <c r="R104" s="1">
        <v>0.03</v>
      </c>
      <c r="S104" s="1">
        <v>4.07</v>
      </c>
      <c r="T104" s="1">
        <v>52.900002000000001</v>
      </c>
      <c r="U104" s="1">
        <v>10.29</v>
      </c>
      <c r="V104" s="1">
        <v>3.17</v>
      </c>
      <c r="W104" s="1">
        <v>0.38</v>
      </c>
      <c r="X104" s="1">
        <v>20055.306247</v>
      </c>
      <c r="Y104" s="1">
        <v>13326369.4615</v>
      </c>
      <c r="Z104" t="str">
        <f>VLOOKUP(G104,'Code Pro'!$A$2:$B$9,2,FALSE)</f>
        <v>จ.ชลบุรี</v>
      </c>
      <c r="AA104" s="8">
        <f t="shared" si="10"/>
        <v>7862557.9822849995</v>
      </c>
      <c r="AB104" s="8">
        <f t="shared" si="11"/>
        <v>399791.08384500002</v>
      </c>
      <c r="AC104" s="8">
        <f t="shared" si="12"/>
        <v>1732428.029995</v>
      </c>
      <c r="AD104" s="8">
        <f t="shared" si="13"/>
        <v>399791.08384500002</v>
      </c>
      <c r="AE104" s="8">
        <f t="shared" si="14"/>
        <v>54238323.708305001</v>
      </c>
      <c r="AF104" s="8">
        <f t="shared" si="15"/>
        <v>704964971.16608894</v>
      </c>
      <c r="AG104" s="8">
        <f t="shared" si="16"/>
        <v>137128341.75883499</v>
      </c>
      <c r="AH104" s="8">
        <f t="shared" si="17"/>
        <v>42244591.192955002</v>
      </c>
      <c r="AI104" s="8">
        <f t="shared" si="18"/>
        <v>5064020.39537</v>
      </c>
    </row>
    <row r="105" spans="1:35" x14ac:dyDescent="0.55000000000000004">
      <c r="A105" s="1">
        <v>103</v>
      </c>
      <c r="B105" s="1" t="s">
        <v>20</v>
      </c>
      <c r="C105" s="1">
        <v>9</v>
      </c>
      <c r="D105" s="1">
        <v>9</v>
      </c>
      <c r="E105" s="1" t="s">
        <v>37</v>
      </c>
      <c r="F105" s="1" t="s">
        <v>38</v>
      </c>
      <c r="G105" s="1">
        <v>20</v>
      </c>
      <c r="H105" s="1">
        <v>2</v>
      </c>
      <c r="I105" s="1">
        <v>20090000</v>
      </c>
      <c r="J105" s="1">
        <v>201</v>
      </c>
      <c r="K105" s="1">
        <v>0</v>
      </c>
      <c r="L105" s="1">
        <v>12778</v>
      </c>
      <c r="M105" s="1">
        <v>12.717560000000001</v>
      </c>
      <c r="N105" s="1">
        <v>100.85674</v>
      </c>
      <c r="O105" s="1">
        <v>7.25</v>
      </c>
      <c r="P105" s="1">
        <v>0.09</v>
      </c>
      <c r="Q105" s="1">
        <v>0.11</v>
      </c>
      <c r="R105" s="1">
        <v>0</v>
      </c>
      <c r="S105" s="1">
        <v>0.91</v>
      </c>
      <c r="T105" s="1">
        <v>4.95</v>
      </c>
      <c r="U105" s="1">
        <v>15.76</v>
      </c>
      <c r="V105" s="1">
        <v>4.72</v>
      </c>
      <c r="W105" s="1">
        <v>11.36</v>
      </c>
      <c r="X105" s="1">
        <v>35936.185291000002</v>
      </c>
      <c r="Y105" s="1">
        <v>56075324.468699999</v>
      </c>
      <c r="Z105" t="str">
        <f>VLOOKUP(G105,'Code Pro'!$A$2:$B$9,2,FALSE)</f>
        <v>จ.ชลบุรี</v>
      </c>
      <c r="AA105" s="8">
        <f t="shared" si="10"/>
        <v>406546102.39807498</v>
      </c>
      <c r="AB105" s="8">
        <f t="shared" si="11"/>
        <v>5046779.2021829998</v>
      </c>
      <c r="AC105" s="8">
        <f t="shared" si="12"/>
        <v>6168285.6915570004</v>
      </c>
      <c r="AD105" s="8">
        <f t="shared" si="13"/>
        <v>0</v>
      </c>
      <c r="AE105" s="8">
        <f t="shared" si="14"/>
        <v>51028545.266516998</v>
      </c>
      <c r="AF105" s="8">
        <f t="shared" si="15"/>
        <v>277572856.12006503</v>
      </c>
      <c r="AG105" s="8">
        <f t="shared" si="16"/>
        <v>883747113.62671196</v>
      </c>
      <c r="AH105" s="8">
        <f t="shared" si="17"/>
        <v>264675531.49226397</v>
      </c>
      <c r="AI105" s="8">
        <f t="shared" si="18"/>
        <v>637015685.964432</v>
      </c>
    </row>
    <row r="106" spans="1:35" x14ac:dyDescent="0.55000000000000004">
      <c r="A106" s="1">
        <v>104</v>
      </c>
      <c r="B106" s="1" t="s">
        <v>20</v>
      </c>
      <c r="C106" s="1">
        <v>9</v>
      </c>
      <c r="D106" s="1">
        <v>9</v>
      </c>
      <c r="E106" s="1" t="s">
        <v>37</v>
      </c>
      <c r="F106" s="1" t="s">
        <v>38</v>
      </c>
      <c r="G106" s="1">
        <v>20</v>
      </c>
      <c r="H106" s="1">
        <v>2</v>
      </c>
      <c r="I106" s="1">
        <v>20090000</v>
      </c>
      <c r="J106" s="1">
        <v>206</v>
      </c>
      <c r="K106" s="1">
        <v>0</v>
      </c>
      <c r="L106" s="1">
        <v>12898</v>
      </c>
      <c r="M106" s="1">
        <v>12.798636999999999</v>
      </c>
      <c r="N106" s="1">
        <v>100.85674</v>
      </c>
      <c r="O106" s="1">
        <v>0.12</v>
      </c>
      <c r="P106" s="1">
        <v>0.08</v>
      </c>
      <c r="Q106" s="1">
        <v>2.17</v>
      </c>
      <c r="R106" s="1">
        <v>0</v>
      </c>
      <c r="S106" s="1">
        <v>1.1100000000000001</v>
      </c>
      <c r="T106" s="1">
        <v>10.38</v>
      </c>
      <c r="U106" s="1">
        <v>11.23</v>
      </c>
      <c r="V106" s="1">
        <v>15.2</v>
      </c>
      <c r="W106" s="1">
        <v>5.66</v>
      </c>
      <c r="X106" s="1">
        <v>12497.541096000001</v>
      </c>
      <c r="Y106" s="1">
        <v>3778574.1552400002</v>
      </c>
      <c r="Z106" t="str">
        <f>VLOOKUP(G106,'Code Pro'!$A$2:$B$9,2,FALSE)</f>
        <v>จ.ชลบุรี</v>
      </c>
      <c r="AA106" s="8">
        <f t="shared" si="10"/>
        <v>453428.8986288</v>
      </c>
      <c r="AB106" s="8">
        <f t="shared" si="11"/>
        <v>302285.93241920002</v>
      </c>
      <c r="AC106" s="8">
        <f t="shared" si="12"/>
        <v>8199505.9168707998</v>
      </c>
      <c r="AD106" s="8">
        <f t="shared" si="13"/>
        <v>0</v>
      </c>
      <c r="AE106" s="8">
        <f t="shared" si="14"/>
        <v>4194217.3123164005</v>
      </c>
      <c r="AF106" s="8">
        <f t="shared" si="15"/>
        <v>39221599.731391206</v>
      </c>
      <c r="AG106" s="8">
        <f t="shared" si="16"/>
        <v>42433387.763345204</v>
      </c>
      <c r="AH106" s="8">
        <f t="shared" si="17"/>
        <v>57434327.159648001</v>
      </c>
      <c r="AI106" s="8">
        <f t="shared" si="18"/>
        <v>21386729.718658403</v>
      </c>
    </row>
    <row r="107" spans="1:35" x14ac:dyDescent="0.55000000000000004">
      <c r="A107" s="1">
        <v>105</v>
      </c>
      <c r="B107" s="1" t="s">
        <v>20</v>
      </c>
      <c r="C107" s="1">
        <v>9</v>
      </c>
      <c r="D107" s="1">
        <v>9</v>
      </c>
      <c r="E107" s="1" t="s">
        <v>37</v>
      </c>
      <c r="F107" s="1" t="s">
        <v>38</v>
      </c>
      <c r="G107" s="1">
        <v>20</v>
      </c>
      <c r="H107" s="1">
        <v>2</v>
      </c>
      <c r="I107" s="1">
        <v>20090000</v>
      </c>
      <c r="J107" s="1">
        <v>209</v>
      </c>
      <c r="K107" s="1">
        <v>0</v>
      </c>
      <c r="L107" s="1">
        <v>12780</v>
      </c>
      <c r="M107" s="1">
        <v>12.717560000000001</v>
      </c>
      <c r="N107" s="1">
        <v>101.02302</v>
      </c>
      <c r="O107" s="1">
        <v>0.01</v>
      </c>
      <c r="P107" s="1">
        <v>4.8099999999999996</v>
      </c>
      <c r="Q107" s="1">
        <v>0.08</v>
      </c>
      <c r="R107" s="1">
        <v>1.99</v>
      </c>
      <c r="S107" s="1">
        <v>0.28000000000000003</v>
      </c>
      <c r="T107" s="1">
        <v>18.540001</v>
      </c>
      <c r="U107" s="1">
        <v>5.3</v>
      </c>
      <c r="V107" s="1">
        <v>12.78</v>
      </c>
      <c r="W107" s="1">
        <v>4.1500000000000004</v>
      </c>
      <c r="X107" s="1">
        <v>25481.258689999999</v>
      </c>
      <c r="Y107" s="1">
        <v>13812121.414799999</v>
      </c>
      <c r="Z107" t="str">
        <f>VLOOKUP(G107,'Code Pro'!$A$2:$B$9,2,FALSE)</f>
        <v>จ.ชลบุรี</v>
      </c>
      <c r="AA107" s="8">
        <f t="shared" si="10"/>
        <v>138121.214148</v>
      </c>
      <c r="AB107" s="8">
        <f t="shared" si="11"/>
        <v>66436304.005187988</v>
      </c>
      <c r="AC107" s="8">
        <f t="shared" si="12"/>
        <v>1104969.713184</v>
      </c>
      <c r="AD107" s="8">
        <f t="shared" si="13"/>
        <v>27486121.615451999</v>
      </c>
      <c r="AE107" s="8">
        <f t="shared" si="14"/>
        <v>3867393.9961440004</v>
      </c>
      <c r="AF107" s="8">
        <f t="shared" si="15"/>
        <v>256076744.84251341</v>
      </c>
      <c r="AG107" s="8">
        <f t="shared" si="16"/>
        <v>73204243.498439997</v>
      </c>
      <c r="AH107" s="8">
        <f t="shared" si="17"/>
        <v>176518911.68114397</v>
      </c>
      <c r="AI107" s="8">
        <f t="shared" si="18"/>
        <v>57320303.871420003</v>
      </c>
    </row>
    <row r="108" spans="1:35" x14ac:dyDescent="0.55000000000000004">
      <c r="A108" s="1">
        <v>106</v>
      </c>
      <c r="B108" s="1" t="s">
        <v>20</v>
      </c>
      <c r="C108" s="1">
        <v>9</v>
      </c>
      <c r="D108" s="1">
        <v>9</v>
      </c>
      <c r="E108" s="1" t="s">
        <v>37</v>
      </c>
      <c r="F108" s="1" t="s">
        <v>38</v>
      </c>
      <c r="G108" s="1">
        <v>20</v>
      </c>
      <c r="H108" s="1">
        <v>2</v>
      </c>
      <c r="I108" s="1">
        <v>20090000</v>
      </c>
      <c r="J108" s="1">
        <v>210</v>
      </c>
      <c r="K108" s="1">
        <v>0</v>
      </c>
      <c r="L108" s="1">
        <v>12779</v>
      </c>
      <c r="M108" s="1">
        <v>12.717560000000001</v>
      </c>
      <c r="N108" s="1">
        <v>100.93988</v>
      </c>
      <c r="O108" s="1">
        <v>0.78</v>
      </c>
      <c r="P108" s="1">
        <v>0.33</v>
      </c>
      <c r="Q108" s="1">
        <v>1.2</v>
      </c>
      <c r="R108" s="1">
        <v>3.21</v>
      </c>
      <c r="S108" s="1">
        <v>0.89</v>
      </c>
      <c r="T108" s="1">
        <v>49.540000999999997</v>
      </c>
      <c r="U108" s="1">
        <v>7.71</v>
      </c>
      <c r="V108" s="1">
        <v>6.72</v>
      </c>
      <c r="W108" s="1">
        <v>4.4000000000000004</v>
      </c>
      <c r="X108" s="1">
        <v>36007.493815000002</v>
      </c>
      <c r="Y108" s="1">
        <v>81032884.610499993</v>
      </c>
      <c r="Z108" t="str">
        <f>VLOOKUP(G108,'Code Pro'!$A$2:$B$9,2,FALSE)</f>
        <v>จ.ชลบุรี</v>
      </c>
      <c r="AA108" s="8">
        <f t="shared" si="10"/>
        <v>63205649.996189997</v>
      </c>
      <c r="AB108" s="8">
        <f t="shared" si="11"/>
        <v>26740851.921464998</v>
      </c>
      <c r="AC108" s="8">
        <f t="shared" si="12"/>
        <v>97239461.532599986</v>
      </c>
      <c r="AD108" s="8">
        <f t="shared" si="13"/>
        <v>260115559.59970498</v>
      </c>
      <c r="AE108" s="8">
        <f t="shared" si="14"/>
        <v>72119267.303344995</v>
      </c>
      <c r="AF108" s="8">
        <f t="shared" si="15"/>
        <v>4014369184.637054</v>
      </c>
      <c r="AG108" s="8">
        <f t="shared" si="16"/>
        <v>624763540.34695494</v>
      </c>
      <c r="AH108" s="8">
        <f t="shared" si="17"/>
        <v>544540984.58255994</v>
      </c>
      <c r="AI108" s="8">
        <f t="shared" si="18"/>
        <v>356544692.28619999</v>
      </c>
    </row>
    <row r="109" spans="1:35" x14ac:dyDescent="0.55000000000000004">
      <c r="A109" s="1">
        <v>107</v>
      </c>
      <c r="B109" s="1" t="s">
        <v>20</v>
      </c>
      <c r="C109" s="1">
        <v>9</v>
      </c>
      <c r="D109" s="1">
        <v>9</v>
      </c>
      <c r="E109" s="1" t="s">
        <v>37</v>
      </c>
      <c r="F109" s="1" t="s">
        <v>38</v>
      </c>
      <c r="G109" s="1">
        <v>20</v>
      </c>
      <c r="H109" s="1">
        <v>2</v>
      </c>
      <c r="I109" s="1">
        <v>20090000</v>
      </c>
      <c r="J109" s="1">
        <v>212</v>
      </c>
      <c r="K109" s="1">
        <v>0</v>
      </c>
      <c r="L109" s="1">
        <v>13018</v>
      </c>
      <c r="M109" s="1">
        <v>12.8797</v>
      </c>
      <c r="N109" s="1">
        <v>100.85674</v>
      </c>
      <c r="O109" s="1">
        <v>1.61</v>
      </c>
      <c r="P109" s="1">
        <v>0.4</v>
      </c>
      <c r="Q109" s="1">
        <v>1.37</v>
      </c>
      <c r="R109" s="1">
        <v>0.06</v>
      </c>
      <c r="S109" s="1">
        <v>0.5</v>
      </c>
      <c r="T109" s="1">
        <v>5.49</v>
      </c>
      <c r="U109" s="1">
        <v>6.44</v>
      </c>
      <c r="V109" s="1">
        <v>22.969999000000001</v>
      </c>
      <c r="W109" s="1">
        <v>0</v>
      </c>
      <c r="X109" s="1">
        <v>3126.5154160000002</v>
      </c>
      <c r="Y109" s="1">
        <v>377441.57442199998</v>
      </c>
      <c r="Z109" t="str">
        <f>VLOOKUP(G109,'Code Pro'!$A$2:$B$9,2,FALSE)</f>
        <v>จ.ชลบุรี</v>
      </c>
      <c r="AA109" s="8">
        <f t="shared" si="10"/>
        <v>607680.93481941998</v>
      </c>
      <c r="AB109" s="8">
        <f t="shared" si="11"/>
        <v>150976.62976879999</v>
      </c>
      <c r="AC109" s="8">
        <f t="shared" si="12"/>
        <v>517094.95695814001</v>
      </c>
      <c r="AD109" s="8">
        <f t="shared" si="13"/>
        <v>22646.494465319996</v>
      </c>
      <c r="AE109" s="8">
        <f t="shared" si="14"/>
        <v>188720.78721099999</v>
      </c>
      <c r="AF109" s="8">
        <f t="shared" si="15"/>
        <v>2072154.24357678</v>
      </c>
      <c r="AG109" s="8">
        <f t="shared" si="16"/>
        <v>2430723.7392776799</v>
      </c>
      <c r="AH109" s="8">
        <f t="shared" si="17"/>
        <v>8669832.5870317649</v>
      </c>
      <c r="AI109" s="8">
        <f t="shared" si="18"/>
        <v>0</v>
      </c>
    </row>
    <row r="110" spans="1:35" x14ac:dyDescent="0.55000000000000004">
      <c r="A110" s="1">
        <v>108</v>
      </c>
      <c r="B110" s="1" t="s">
        <v>20</v>
      </c>
      <c r="C110" s="1">
        <v>9</v>
      </c>
      <c r="D110" s="1">
        <v>9</v>
      </c>
      <c r="E110" s="1" t="s">
        <v>37</v>
      </c>
      <c r="F110" s="1" t="s">
        <v>38</v>
      </c>
      <c r="G110" s="1">
        <v>20</v>
      </c>
      <c r="H110" s="1">
        <v>2</v>
      </c>
      <c r="I110" s="1">
        <v>20090000</v>
      </c>
      <c r="J110" s="1">
        <v>213</v>
      </c>
      <c r="K110" s="1">
        <v>0</v>
      </c>
      <c r="L110" s="1">
        <v>12899</v>
      </c>
      <c r="M110" s="1">
        <v>12.798636999999999</v>
      </c>
      <c r="N110" s="1">
        <v>100.93988</v>
      </c>
      <c r="O110" s="1">
        <v>0.02</v>
      </c>
      <c r="P110" s="1">
        <v>8.75</v>
      </c>
      <c r="Q110" s="1">
        <v>1.63</v>
      </c>
      <c r="R110" s="1">
        <v>0</v>
      </c>
      <c r="S110" s="1">
        <v>0.08</v>
      </c>
      <c r="T110" s="1">
        <v>6.06</v>
      </c>
      <c r="U110" s="1">
        <v>16.32</v>
      </c>
      <c r="V110" s="1">
        <v>14.81</v>
      </c>
      <c r="W110" s="1">
        <v>13.74</v>
      </c>
      <c r="X110" s="1">
        <v>35949.265361999998</v>
      </c>
      <c r="Y110" s="1">
        <v>36954523.041100003</v>
      </c>
      <c r="Z110" t="str">
        <f>VLOOKUP(G110,'Code Pro'!$A$2:$B$9,2,FALSE)</f>
        <v>จ.ชลบุรี</v>
      </c>
      <c r="AA110" s="8">
        <f t="shared" si="10"/>
        <v>739090.46082200005</v>
      </c>
      <c r="AB110" s="8">
        <f t="shared" si="11"/>
        <v>323352076.60962504</v>
      </c>
      <c r="AC110" s="8">
        <f t="shared" si="12"/>
        <v>60235872.556993</v>
      </c>
      <c r="AD110" s="8">
        <f t="shared" si="13"/>
        <v>0</v>
      </c>
      <c r="AE110" s="8">
        <f t="shared" si="14"/>
        <v>2956361.8432880002</v>
      </c>
      <c r="AF110" s="8">
        <f t="shared" si="15"/>
        <v>223944409.62906599</v>
      </c>
      <c r="AG110" s="8">
        <f t="shared" si="16"/>
        <v>603097816.03075206</v>
      </c>
      <c r="AH110" s="8">
        <f t="shared" si="17"/>
        <v>547296486.23869109</v>
      </c>
      <c r="AI110" s="8">
        <f t="shared" si="18"/>
        <v>507755146.58471406</v>
      </c>
    </row>
    <row r="111" spans="1:35" x14ac:dyDescent="0.55000000000000004">
      <c r="A111" s="1">
        <v>109</v>
      </c>
      <c r="B111" s="1" t="s">
        <v>20</v>
      </c>
      <c r="C111" s="1">
        <v>9</v>
      </c>
      <c r="D111" s="1">
        <v>9</v>
      </c>
      <c r="E111" s="1" t="s">
        <v>37</v>
      </c>
      <c r="F111" s="1" t="s">
        <v>38</v>
      </c>
      <c r="G111" s="1">
        <v>20</v>
      </c>
      <c r="H111" s="1">
        <v>2</v>
      </c>
      <c r="I111" s="1">
        <v>20090000</v>
      </c>
      <c r="J111" s="1">
        <v>217</v>
      </c>
      <c r="K111" s="1">
        <v>0</v>
      </c>
      <c r="L111" s="1">
        <v>13019</v>
      </c>
      <c r="M111" s="1">
        <v>12.8797</v>
      </c>
      <c r="N111" s="1">
        <v>100.93988</v>
      </c>
      <c r="O111" s="1">
        <v>0.05</v>
      </c>
      <c r="P111" s="1">
        <v>3.2</v>
      </c>
      <c r="Q111" s="1">
        <v>1.32</v>
      </c>
      <c r="R111" s="1">
        <v>0.17</v>
      </c>
      <c r="S111" s="1">
        <v>4.05</v>
      </c>
      <c r="T111" s="1">
        <v>15.27</v>
      </c>
      <c r="U111" s="1">
        <v>5.31</v>
      </c>
      <c r="V111" s="1">
        <v>29.57</v>
      </c>
      <c r="W111" s="1">
        <v>2.63</v>
      </c>
      <c r="X111" s="1">
        <v>9190.8909939999994</v>
      </c>
      <c r="Y111" s="1">
        <v>5249473.65013</v>
      </c>
      <c r="Z111" t="str">
        <f>VLOOKUP(G111,'Code Pro'!$A$2:$B$9,2,FALSE)</f>
        <v>จ.ชลบุรี</v>
      </c>
      <c r="AA111" s="8">
        <f t="shared" si="10"/>
        <v>262473.68250649999</v>
      </c>
      <c r="AB111" s="8">
        <f t="shared" si="11"/>
        <v>16798315.680415999</v>
      </c>
      <c r="AC111" s="8">
        <f t="shared" si="12"/>
        <v>6929305.2181716003</v>
      </c>
      <c r="AD111" s="8">
        <f t="shared" si="13"/>
        <v>892410.52052210004</v>
      </c>
      <c r="AE111" s="8">
        <f t="shared" si="14"/>
        <v>21260368.283026498</v>
      </c>
      <c r="AF111" s="8">
        <f t="shared" si="15"/>
        <v>80159462.637485102</v>
      </c>
      <c r="AG111" s="8">
        <f t="shared" si="16"/>
        <v>27874705.082190298</v>
      </c>
      <c r="AH111" s="8">
        <f t="shared" si="17"/>
        <v>155226935.83434409</v>
      </c>
      <c r="AI111" s="8">
        <f t="shared" si="18"/>
        <v>13806115.6998419</v>
      </c>
    </row>
    <row r="112" spans="1:35" x14ac:dyDescent="0.55000000000000004">
      <c r="A112" s="1">
        <v>110</v>
      </c>
      <c r="B112" s="1" t="s">
        <v>20</v>
      </c>
      <c r="C112" s="1">
        <v>9</v>
      </c>
      <c r="D112" s="1">
        <v>9</v>
      </c>
      <c r="E112" s="1" t="s">
        <v>37</v>
      </c>
      <c r="F112" s="1" t="s">
        <v>38</v>
      </c>
      <c r="G112" s="1">
        <v>20</v>
      </c>
      <c r="H112" s="1">
        <v>2</v>
      </c>
      <c r="I112" s="1">
        <v>20090000</v>
      </c>
      <c r="J112" s="1">
        <v>218</v>
      </c>
      <c r="K112" s="1">
        <v>0</v>
      </c>
      <c r="L112" s="1">
        <v>12900</v>
      </c>
      <c r="M112" s="1">
        <v>12.798636999999999</v>
      </c>
      <c r="N112" s="1">
        <v>101.02302</v>
      </c>
      <c r="O112" s="1">
        <v>0</v>
      </c>
      <c r="P112" s="1">
        <v>7.98</v>
      </c>
      <c r="Q112" s="1">
        <v>0.14000000000000001</v>
      </c>
      <c r="R112" s="1">
        <v>0.01</v>
      </c>
      <c r="S112" s="1">
        <v>1.87</v>
      </c>
      <c r="T112" s="1">
        <v>88.580001999999993</v>
      </c>
      <c r="U112" s="1">
        <v>14.2</v>
      </c>
      <c r="V112" s="1">
        <v>21.92</v>
      </c>
      <c r="W112" s="1">
        <v>7.95</v>
      </c>
      <c r="X112" s="1">
        <v>12287.689699</v>
      </c>
      <c r="Y112" s="1">
        <v>3931509.7597099999</v>
      </c>
      <c r="Z112" t="str">
        <f>VLOOKUP(G112,'Code Pro'!$A$2:$B$9,2,FALSE)</f>
        <v>จ.ชลบุรี</v>
      </c>
      <c r="AA112" s="8">
        <f t="shared" si="10"/>
        <v>0</v>
      </c>
      <c r="AB112" s="8">
        <f t="shared" si="11"/>
        <v>31373447.882485799</v>
      </c>
      <c r="AC112" s="8">
        <f t="shared" si="12"/>
        <v>550411.36635939998</v>
      </c>
      <c r="AD112" s="8">
        <f t="shared" si="13"/>
        <v>39315.097597100001</v>
      </c>
      <c r="AE112" s="8">
        <f t="shared" si="14"/>
        <v>7351923.2506577</v>
      </c>
      <c r="AF112" s="8">
        <f t="shared" si="15"/>
        <v>348253142.37813127</v>
      </c>
      <c r="AG112" s="8">
        <f t="shared" si="16"/>
        <v>55827438.587881997</v>
      </c>
      <c r="AH112" s="8">
        <f t="shared" si="17"/>
        <v>86178693.932843208</v>
      </c>
      <c r="AI112" s="8">
        <f t="shared" si="18"/>
        <v>31255502.5896945</v>
      </c>
    </row>
    <row r="113" spans="1:35" x14ac:dyDescent="0.55000000000000004">
      <c r="A113" s="1">
        <v>111</v>
      </c>
      <c r="B113" s="1" t="s">
        <v>20</v>
      </c>
      <c r="C113" s="1">
        <v>10</v>
      </c>
      <c r="D113" s="1">
        <v>10</v>
      </c>
      <c r="E113" s="1" t="s">
        <v>39</v>
      </c>
      <c r="F113" s="1" t="s">
        <v>40</v>
      </c>
      <c r="G113" s="1">
        <v>20</v>
      </c>
      <c r="H113" s="1">
        <v>2</v>
      </c>
      <c r="I113" s="1">
        <v>20100000</v>
      </c>
      <c r="J113" s="1">
        <v>303</v>
      </c>
      <c r="K113" s="1">
        <v>0</v>
      </c>
      <c r="L113" s="1">
        <v>13267</v>
      </c>
      <c r="M113" s="1">
        <v>13.041733000000001</v>
      </c>
      <c r="N113" s="1">
        <v>101.60496500000001</v>
      </c>
      <c r="O113" s="1">
        <v>6.03</v>
      </c>
      <c r="P113" s="1">
        <v>0.2</v>
      </c>
      <c r="Q113" s="1">
        <v>0.91</v>
      </c>
      <c r="R113" s="1">
        <v>0.01</v>
      </c>
      <c r="S113" s="1">
        <v>0.91</v>
      </c>
      <c r="T113" s="1">
        <v>4.74</v>
      </c>
      <c r="U113" s="1">
        <v>20.27</v>
      </c>
      <c r="V113" s="1">
        <v>1.1100000000000001</v>
      </c>
      <c r="W113" s="1">
        <v>0.05</v>
      </c>
      <c r="X113" s="1">
        <v>679.73764500000004</v>
      </c>
      <c r="Y113" s="1">
        <v>19986.550070000001</v>
      </c>
      <c r="Z113" t="str">
        <f>VLOOKUP(G113,'Code Pro'!$A$2:$B$9,2,FALSE)</f>
        <v>จ.ชลบุรี</v>
      </c>
      <c r="AA113" s="8">
        <f t="shared" si="10"/>
        <v>120518.89692210002</v>
      </c>
      <c r="AB113" s="8">
        <f t="shared" si="11"/>
        <v>3997.3100140000006</v>
      </c>
      <c r="AC113" s="8">
        <f t="shared" si="12"/>
        <v>18187.760563700002</v>
      </c>
      <c r="AD113" s="8">
        <f t="shared" si="13"/>
        <v>199.86550070000001</v>
      </c>
      <c r="AE113" s="8">
        <f t="shared" si="14"/>
        <v>18187.760563700002</v>
      </c>
      <c r="AF113" s="8">
        <f t="shared" si="15"/>
        <v>94736.247331800012</v>
      </c>
      <c r="AG113" s="8">
        <f t="shared" si="16"/>
        <v>405127.36991890002</v>
      </c>
      <c r="AH113" s="8">
        <f t="shared" si="17"/>
        <v>22185.070577700004</v>
      </c>
      <c r="AI113" s="8">
        <f t="shared" si="18"/>
        <v>999.32750350000015</v>
      </c>
    </row>
    <row r="114" spans="1:35" x14ac:dyDescent="0.55000000000000004">
      <c r="A114" s="1">
        <v>112</v>
      </c>
      <c r="B114" s="1" t="s">
        <v>20</v>
      </c>
      <c r="C114" s="1">
        <v>10</v>
      </c>
      <c r="D114" s="1">
        <v>10</v>
      </c>
      <c r="E114" s="1" t="s">
        <v>39</v>
      </c>
      <c r="F114" s="1" t="s">
        <v>40</v>
      </c>
      <c r="G114" s="1">
        <v>20</v>
      </c>
      <c r="H114" s="1">
        <v>2</v>
      </c>
      <c r="I114" s="1">
        <v>20100000</v>
      </c>
      <c r="J114" s="1">
        <v>304</v>
      </c>
      <c r="K114" s="1">
        <v>0</v>
      </c>
      <c r="L114" s="1">
        <v>13266</v>
      </c>
      <c r="M114" s="1">
        <v>13.041733000000001</v>
      </c>
      <c r="N114" s="1">
        <v>101.52182999999999</v>
      </c>
      <c r="O114" s="1">
        <v>1.22</v>
      </c>
      <c r="P114" s="1">
        <v>0.01</v>
      </c>
      <c r="Q114" s="1">
        <v>6.37</v>
      </c>
      <c r="R114" s="1">
        <v>7.0000000000000007E-2</v>
      </c>
      <c r="S114" s="1">
        <v>11.69</v>
      </c>
      <c r="T114" s="1">
        <v>6.71</v>
      </c>
      <c r="U114" s="1">
        <v>8.59</v>
      </c>
      <c r="V114" s="1">
        <v>4.3</v>
      </c>
      <c r="W114" s="1">
        <v>0.2</v>
      </c>
      <c r="X114" s="1">
        <v>6749.0551699999996</v>
      </c>
      <c r="Y114" s="1">
        <v>1724790.78755</v>
      </c>
      <c r="Z114" t="str">
        <f>VLOOKUP(G114,'Code Pro'!$A$2:$B$9,2,FALSE)</f>
        <v>จ.ชลบุรี</v>
      </c>
      <c r="AA114" s="8">
        <f t="shared" si="10"/>
        <v>2104244.7608110001</v>
      </c>
      <c r="AB114" s="8">
        <f t="shared" si="11"/>
        <v>17247.907875500001</v>
      </c>
      <c r="AC114" s="8">
        <f t="shared" si="12"/>
        <v>10986917.3166935</v>
      </c>
      <c r="AD114" s="8">
        <f t="shared" si="13"/>
        <v>120735.35512850001</v>
      </c>
      <c r="AE114" s="8">
        <f t="shared" si="14"/>
        <v>20162804.306459498</v>
      </c>
      <c r="AF114" s="8">
        <f t="shared" si="15"/>
        <v>11573346.1844605</v>
      </c>
      <c r="AG114" s="8">
        <f t="shared" si="16"/>
        <v>14815952.865054499</v>
      </c>
      <c r="AH114" s="8">
        <f t="shared" si="17"/>
        <v>7416600.386465</v>
      </c>
      <c r="AI114" s="8">
        <f t="shared" si="18"/>
        <v>344958.15751000005</v>
      </c>
    </row>
    <row r="115" spans="1:35" x14ac:dyDescent="0.55000000000000004">
      <c r="A115" s="1">
        <v>113</v>
      </c>
      <c r="B115" s="1" t="s">
        <v>20</v>
      </c>
      <c r="C115" s="1">
        <v>10</v>
      </c>
      <c r="D115" s="1">
        <v>10</v>
      </c>
      <c r="E115" s="1" t="s">
        <v>39</v>
      </c>
      <c r="F115" s="1" t="s">
        <v>40</v>
      </c>
      <c r="G115" s="1">
        <v>20</v>
      </c>
      <c r="H115" s="1">
        <v>2</v>
      </c>
      <c r="I115" s="1">
        <v>20100000</v>
      </c>
      <c r="J115" s="1">
        <v>736</v>
      </c>
      <c r="K115" s="1">
        <v>0</v>
      </c>
      <c r="L115" s="1">
        <v>13624</v>
      </c>
      <c r="M115" s="1">
        <v>13.284592</v>
      </c>
      <c r="N115" s="1">
        <v>101.35556</v>
      </c>
      <c r="O115" s="1">
        <v>1.54</v>
      </c>
      <c r="P115" s="1">
        <v>0.14000000000000001</v>
      </c>
      <c r="Q115" s="1">
        <v>9.5299999999999994</v>
      </c>
      <c r="R115" s="1">
        <v>3.86</v>
      </c>
      <c r="S115" s="1">
        <v>0.2</v>
      </c>
      <c r="T115" s="1">
        <v>42.799999</v>
      </c>
      <c r="U115" s="1">
        <v>4.95</v>
      </c>
      <c r="V115" s="1">
        <v>3.98</v>
      </c>
      <c r="W115" s="1">
        <v>0</v>
      </c>
      <c r="X115" s="1">
        <v>33876.508675999998</v>
      </c>
      <c r="Y115" s="1">
        <v>68761346.312900007</v>
      </c>
      <c r="Z115" t="str">
        <f>VLOOKUP(G115,'Code Pro'!$A$2:$B$9,2,FALSE)</f>
        <v>จ.ชลบุรี</v>
      </c>
      <c r="AA115" s="8">
        <f t="shared" si="10"/>
        <v>105892473.32186601</v>
      </c>
      <c r="AB115" s="8">
        <f t="shared" si="11"/>
        <v>9626588.483806001</v>
      </c>
      <c r="AC115" s="8">
        <f t="shared" si="12"/>
        <v>655295630.36193705</v>
      </c>
      <c r="AD115" s="8">
        <f t="shared" si="13"/>
        <v>265418796.76779401</v>
      </c>
      <c r="AE115" s="8">
        <f t="shared" si="14"/>
        <v>13752269.262580002</v>
      </c>
      <c r="AF115" s="8">
        <f t="shared" si="15"/>
        <v>2942985553.4307737</v>
      </c>
      <c r="AG115" s="8">
        <f t="shared" si="16"/>
        <v>340368664.24885505</v>
      </c>
      <c r="AH115" s="8">
        <f t="shared" si="17"/>
        <v>273670158.325342</v>
      </c>
      <c r="AI115" s="8">
        <f t="shared" si="18"/>
        <v>0</v>
      </c>
    </row>
    <row r="116" spans="1:35" x14ac:dyDescent="0.55000000000000004">
      <c r="A116" s="1">
        <v>114</v>
      </c>
      <c r="B116" s="1" t="s">
        <v>20</v>
      </c>
      <c r="C116" s="1">
        <v>10</v>
      </c>
      <c r="D116" s="1">
        <v>10</v>
      </c>
      <c r="E116" s="1" t="s">
        <v>39</v>
      </c>
      <c r="F116" s="1" t="s">
        <v>40</v>
      </c>
      <c r="G116" s="1">
        <v>20</v>
      </c>
      <c r="H116" s="1">
        <v>2</v>
      </c>
      <c r="I116" s="1">
        <v>20100000</v>
      </c>
      <c r="J116" s="1">
        <v>738</v>
      </c>
      <c r="K116" s="1">
        <v>0</v>
      </c>
      <c r="L116" s="1">
        <v>13504</v>
      </c>
      <c r="M116" s="1">
        <v>13.203666999999999</v>
      </c>
      <c r="N116" s="1">
        <v>101.35556</v>
      </c>
      <c r="O116" s="1">
        <v>0.34</v>
      </c>
      <c r="P116" s="1">
        <v>0.34</v>
      </c>
      <c r="Q116" s="1">
        <v>1.1299999999999999</v>
      </c>
      <c r="R116" s="1">
        <v>2.7</v>
      </c>
      <c r="S116" s="1">
        <v>0.02</v>
      </c>
      <c r="T116" s="1">
        <v>43.509998000000003</v>
      </c>
      <c r="U116" s="1">
        <v>7.4</v>
      </c>
      <c r="V116" s="1">
        <v>12.8</v>
      </c>
      <c r="W116" s="1">
        <v>0</v>
      </c>
      <c r="X116" s="1">
        <v>16700.951363</v>
      </c>
      <c r="Y116" s="1">
        <v>11721209.273399999</v>
      </c>
      <c r="Z116" t="str">
        <f>VLOOKUP(G116,'Code Pro'!$A$2:$B$9,2,FALSE)</f>
        <v>จ.ชลบุรี</v>
      </c>
      <c r="AA116" s="8">
        <f t="shared" si="10"/>
        <v>3985211.1529560001</v>
      </c>
      <c r="AB116" s="8">
        <f t="shared" si="11"/>
        <v>3985211.1529560001</v>
      </c>
      <c r="AC116" s="8">
        <f t="shared" si="12"/>
        <v>13244966.478941998</v>
      </c>
      <c r="AD116" s="8">
        <f t="shared" si="13"/>
        <v>31647265.038180001</v>
      </c>
      <c r="AE116" s="8">
        <f t="shared" si="14"/>
        <v>234424.18546799998</v>
      </c>
      <c r="AF116" s="8">
        <f t="shared" si="15"/>
        <v>509989792.04321545</v>
      </c>
      <c r="AG116" s="8">
        <f t="shared" si="16"/>
        <v>86736948.623160005</v>
      </c>
      <c r="AH116" s="8">
        <f t="shared" si="17"/>
        <v>150031478.69951999</v>
      </c>
      <c r="AI116" s="8">
        <f t="shared" si="18"/>
        <v>0</v>
      </c>
    </row>
    <row r="117" spans="1:35" x14ac:dyDescent="0.55000000000000004">
      <c r="A117" s="1">
        <v>115</v>
      </c>
      <c r="B117" s="1" t="s">
        <v>20</v>
      </c>
      <c r="C117" s="1">
        <v>10</v>
      </c>
      <c r="D117" s="1">
        <v>10</v>
      </c>
      <c r="E117" s="1" t="s">
        <v>39</v>
      </c>
      <c r="F117" s="1" t="s">
        <v>40</v>
      </c>
      <c r="G117" s="1">
        <v>20</v>
      </c>
      <c r="H117" s="1">
        <v>2</v>
      </c>
      <c r="I117" s="1">
        <v>20100000</v>
      </c>
      <c r="J117" s="1">
        <v>740</v>
      </c>
      <c r="K117" s="1">
        <v>0</v>
      </c>
      <c r="L117" s="1">
        <v>13623</v>
      </c>
      <c r="M117" s="1">
        <v>13.284592</v>
      </c>
      <c r="N117" s="1">
        <v>101.27242</v>
      </c>
      <c r="O117" s="1">
        <v>7.0000000000000007E-2</v>
      </c>
      <c r="P117" s="1">
        <v>4.38</v>
      </c>
      <c r="Q117" s="1">
        <v>0.7</v>
      </c>
      <c r="R117" s="1">
        <v>9.3699999999999992</v>
      </c>
      <c r="S117" s="1">
        <v>2.34</v>
      </c>
      <c r="T117" s="1">
        <v>47.98</v>
      </c>
      <c r="U117" s="1">
        <v>8.1300000000000008</v>
      </c>
      <c r="V117" s="1">
        <v>0.08</v>
      </c>
      <c r="W117" s="1">
        <v>0</v>
      </c>
      <c r="X117" s="1">
        <v>17102.684932</v>
      </c>
      <c r="Y117" s="1">
        <v>12176582.278999999</v>
      </c>
      <c r="Z117" t="str">
        <f>VLOOKUP(G117,'Code Pro'!$A$2:$B$9,2,FALSE)</f>
        <v>จ.ชลบุรี</v>
      </c>
      <c r="AA117" s="8">
        <f t="shared" si="10"/>
        <v>852360.75953000004</v>
      </c>
      <c r="AB117" s="8">
        <f t="shared" si="11"/>
        <v>53333430.382019997</v>
      </c>
      <c r="AC117" s="8">
        <f t="shared" si="12"/>
        <v>8523607.5952999983</v>
      </c>
      <c r="AD117" s="8">
        <f t="shared" si="13"/>
        <v>114094575.95422998</v>
      </c>
      <c r="AE117" s="8">
        <f t="shared" si="14"/>
        <v>28493202.532859996</v>
      </c>
      <c r="AF117" s="8">
        <f t="shared" si="15"/>
        <v>584232417.74641991</v>
      </c>
      <c r="AG117" s="8">
        <f t="shared" si="16"/>
        <v>98995613.928269997</v>
      </c>
      <c r="AH117" s="8">
        <f t="shared" si="17"/>
        <v>974126.58231999993</v>
      </c>
      <c r="AI117" s="8">
        <f t="shared" si="18"/>
        <v>0</v>
      </c>
    </row>
    <row r="118" spans="1:35" x14ac:dyDescent="0.55000000000000004">
      <c r="A118" s="1">
        <v>116</v>
      </c>
      <c r="B118" s="1" t="s">
        <v>20</v>
      </c>
      <c r="C118" s="1">
        <v>10</v>
      </c>
      <c r="D118" s="1">
        <v>10</v>
      </c>
      <c r="E118" s="1" t="s">
        <v>39</v>
      </c>
      <c r="F118" s="1" t="s">
        <v>40</v>
      </c>
      <c r="G118" s="1">
        <v>20</v>
      </c>
      <c r="H118" s="1">
        <v>2</v>
      </c>
      <c r="I118" s="1">
        <v>20100000</v>
      </c>
      <c r="J118" s="1">
        <v>741</v>
      </c>
      <c r="K118" s="1">
        <v>0</v>
      </c>
      <c r="L118" s="1">
        <v>13743</v>
      </c>
      <c r="M118" s="1">
        <v>13.365479000000001</v>
      </c>
      <c r="N118" s="1">
        <v>101.27242</v>
      </c>
      <c r="O118" s="1">
        <v>0.32</v>
      </c>
      <c r="P118" s="1">
        <v>0.06</v>
      </c>
      <c r="Q118" s="1">
        <v>0.02</v>
      </c>
      <c r="R118" s="1">
        <v>2.44</v>
      </c>
      <c r="S118" s="1">
        <v>0.02</v>
      </c>
      <c r="T118" s="1">
        <v>11.6</v>
      </c>
      <c r="U118" s="1">
        <v>4.04</v>
      </c>
      <c r="V118" s="1">
        <v>0</v>
      </c>
      <c r="W118" s="1">
        <v>0</v>
      </c>
      <c r="X118" s="1">
        <v>13975.605970000001</v>
      </c>
      <c r="Y118" s="1">
        <v>10948740.979900001</v>
      </c>
      <c r="Z118" t="str">
        <f>VLOOKUP(G118,'Code Pro'!$A$2:$B$9,2,FALSE)</f>
        <v>จ.ชลบุรี</v>
      </c>
      <c r="AA118" s="8">
        <f t="shared" si="10"/>
        <v>3503597.1135680005</v>
      </c>
      <c r="AB118" s="8">
        <f t="shared" si="11"/>
        <v>656924.45879399998</v>
      </c>
      <c r="AC118" s="8">
        <f t="shared" si="12"/>
        <v>218974.81959800003</v>
      </c>
      <c r="AD118" s="8">
        <f t="shared" si="13"/>
        <v>26714927.990956001</v>
      </c>
      <c r="AE118" s="8">
        <f t="shared" si="14"/>
        <v>218974.81959800003</v>
      </c>
      <c r="AF118" s="8">
        <f t="shared" si="15"/>
        <v>127005395.36684</v>
      </c>
      <c r="AG118" s="8">
        <f t="shared" si="16"/>
        <v>44232913.558796003</v>
      </c>
      <c r="AH118" s="8">
        <f t="shared" si="17"/>
        <v>0</v>
      </c>
      <c r="AI118" s="8">
        <f t="shared" si="18"/>
        <v>0</v>
      </c>
    </row>
    <row r="119" spans="1:35" x14ac:dyDescent="0.55000000000000004">
      <c r="A119" s="1">
        <v>117</v>
      </c>
      <c r="B119" s="1" t="s">
        <v>20</v>
      </c>
      <c r="C119" s="1">
        <v>10</v>
      </c>
      <c r="D119" s="1">
        <v>10</v>
      </c>
      <c r="E119" s="1" t="s">
        <v>39</v>
      </c>
      <c r="F119" s="1" t="s">
        <v>40</v>
      </c>
      <c r="G119" s="1">
        <v>20</v>
      </c>
      <c r="H119" s="1">
        <v>2</v>
      </c>
      <c r="I119" s="1">
        <v>20100000</v>
      </c>
      <c r="J119" s="1">
        <v>743</v>
      </c>
      <c r="K119" s="1">
        <v>0</v>
      </c>
      <c r="L119" s="1">
        <v>13744</v>
      </c>
      <c r="M119" s="1">
        <v>13.365479000000001</v>
      </c>
      <c r="N119" s="1">
        <v>101.35556</v>
      </c>
      <c r="O119" s="1">
        <v>4.72</v>
      </c>
      <c r="P119" s="1">
        <v>0</v>
      </c>
      <c r="Q119" s="1">
        <v>0.28999999999999998</v>
      </c>
      <c r="R119" s="1">
        <v>1.99</v>
      </c>
      <c r="S119" s="1">
        <v>0.03</v>
      </c>
      <c r="T119" s="1">
        <v>15.75</v>
      </c>
      <c r="U119" s="1">
        <v>11.08</v>
      </c>
      <c r="V119" s="1">
        <v>0.01</v>
      </c>
      <c r="W119" s="1">
        <v>0</v>
      </c>
      <c r="X119" s="1">
        <v>25985.889819</v>
      </c>
      <c r="Y119" s="1">
        <v>19156923.375300001</v>
      </c>
      <c r="Z119" t="str">
        <f>VLOOKUP(G119,'Code Pro'!$A$2:$B$9,2,FALSE)</f>
        <v>จ.ชลบุรี</v>
      </c>
      <c r="AA119" s="8">
        <f t="shared" si="10"/>
        <v>90420678.331415996</v>
      </c>
      <c r="AB119" s="8">
        <f t="shared" si="11"/>
        <v>0</v>
      </c>
      <c r="AC119" s="8">
        <f t="shared" si="12"/>
        <v>5555507.778837</v>
      </c>
      <c r="AD119" s="8">
        <f t="shared" si="13"/>
        <v>38122277.516847</v>
      </c>
      <c r="AE119" s="8">
        <f t="shared" si="14"/>
        <v>574707.70125899999</v>
      </c>
      <c r="AF119" s="8">
        <f t="shared" si="15"/>
        <v>301721543.16097504</v>
      </c>
      <c r="AG119" s="8">
        <f t="shared" si="16"/>
        <v>212258710.99832401</v>
      </c>
      <c r="AH119" s="8">
        <f t="shared" si="17"/>
        <v>191569.23375300001</v>
      </c>
      <c r="AI119" s="8">
        <f t="shared" si="18"/>
        <v>0</v>
      </c>
    </row>
    <row r="120" spans="1:35" x14ac:dyDescent="0.55000000000000004">
      <c r="A120" s="1">
        <v>118</v>
      </c>
      <c r="B120" s="1" t="s">
        <v>20</v>
      </c>
      <c r="C120" s="1">
        <v>10</v>
      </c>
      <c r="D120" s="1">
        <v>10</v>
      </c>
      <c r="E120" s="1" t="s">
        <v>39</v>
      </c>
      <c r="F120" s="1" t="s">
        <v>40</v>
      </c>
      <c r="G120" s="1">
        <v>20</v>
      </c>
      <c r="H120" s="1">
        <v>2</v>
      </c>
      <c r="I120" s="1">
        <v>20100000</v>
      </c>
      <c r="J120" s="1">
        <v>744</v>
      </c>
      <c r="K120" s="1">
        <v>0</v>
      </c>
      <c r="L120" s="1">
        <v>13385</v>
      </c>
      <c r="M120" s="1">
        <v>13.122719</v>
      </c>
      <c r="N120" s="1">
        <v>101.4387</v>
      </c>
      <c r="O120" s="1">
        <v>0.02</v>
      </c>
      <c r="P120" s="1">
        <v>8.1999999999999993</v>
      </c>
      <c r="Q120" s="1">
        <v>0.01</v>
      </c>
      <c r="R120" s="1">
        <v>0.35</v>
      </c>
      <c r="S120" s="1">
        <v>9.27</v>
      </c>
      <c r="T120" s="1">
        <v>8.6999999999999993</v>
      </c>
      <c r="U120" s="1">
        <v>6.24</v>
      </c>
      <c r="V120" s="1">
        <v>0.41</v>
      </c>
      <c r="W120" s="1">
        <v>0.02</v>
      </c>
      <c r="X120" s="1">
        <v>19443.363211</v>
      </c>
      <c r="Y120" s="1">
        <v>12298194.755799999</v>
      </c>
      <c r="Z120" t="str">
        <f>VLOOKUP(G120,'Code Pro'!$A$2:$B$9,2,FALSE)</f>
        <v>จ.ชลบุรี</v>
      </c>
      <c r="AA120" s="8">
        <f t="shared" si="10"/>
        <v>245963.895116</v>
      </c>
      <c r="AB120" s="8">
        <f t="shared" si="11"/>
        <v>100845196.99755998</v>
      </c>
      <c r="AC120" s="8">
        <f t="shared" si="12"/>
        <v>122981.947558</v>
      </c>
      <c r="AD120" s="8">
        <f t="shared" si="13"/>
        <v>4304368.1645299997</v>
      </c>
      <c r="AE120" s="8">
        <f t="shared" si="14"/>
        <v>114004265.38626599</v>
      </c>
      <c r="AF120" s="8">
        <f t="shared" si="15"/>
        <v>106994294.37545998</v>
      </c>
      <c r="AG120" s="8">
        <f t="shared" si="16"/>
        <v>76740735.276191995</v>
      </c>
      <c r="AH120" s="8">
        <f t="shared" si="17"/>
        <v>5042259.8498779992</v>
      </c>
      <c r="AI120" s="8">
        <f t="shared" si="18"/>
        <v>245963.895116</v>
      </c>
    </row>
    <row r="121" spans="1:35" x14ac:dyDescent="0.55000000000000004">
      <c r="A121" s="1">
        <v>119</v>
      </c>
      <c r="B121" s="1" t="s">
        <v>20</v>
      </c>
      <c r="C121" s="1">
        <v>10</v>
      </c>
      <c r="D121" s="1">
        <v>10</v>
      </c>
      <c r="E121" s="1" t="s">
        <v>39</v>
      </c>
      <c r="F121" s="1" t="s">
        <v>40</v>
      </c>
      <c r="G121" s="1">
        <v>20</v>
      </c>
      <c r="H121" s="1">
        <v>2</v>
      </c>
      <c r="I121" s="1">
        <v>20100000</v>
      </c>
      <c r="J121" s="1">
        <v>745</v>
      </c>
      <c r="K121" s="1">
        <v>0</v>
      </c>
      <c r="L121" s="1">
        <v>13386</v>
      </c>
      <c r="M121" s="1">
        <v>13.122719</v>
      </c>
      <c r="N121" s="1">
        <v>101.52182999999999</v>
      </c>
      <c r="O121" s="1">
        <v>0.87</v>
      </c>
      <c r="P121" s="1">
        <v>0.16</v>
      </c>
      <c r="Q121" s="1">
        <v>0.3</v>
      </c>
      <c r="R121" s="1">
        <v>0.68</v>
      </c>
      <c r="S121" s="1">
        <v>5.83</v>
      </c>
      <c r="T121" s="1">
        <v>4.1100000000000003</v>
      </c>
      <c r="U121" s="1">
        <v>9.27</v>
      </c>
      <c r="V121" s="1">
        <v>0.76</v>
      </c>
      <c r="W121" s="1">
        <v>0.14000000000000001</v>
      </c>
      <c r="X121" s="1">
        <v>35479.408029999999</v>
      </c>
      <c r="Y121" s="1">
        <v>44230695.658</v>
      </c>
      <c r="Z121" t="str">
        <f>VLOOKUP(G121,'Code Pro'!$A$2:$B$9,2,FALSE)</f>
        <v>จ.ชลบุรี</v>
      </c>
      <c r="AA121" s="8">
        <f t="shared" si="10"/>
        <v>38480705.222460002</v>
      </c>
      <c r="AB121" s="8">
        <f t="shared" si="11"/>
        <v>7076911.30528</v>
      </c>
      <c r="AC121" s="8">
        <f t="shared" si="12"/>
        <v>13269208.6974</v>
      </c>
      <c r="AD121" s="8">
        <f t="shared" si="13"/>
        <v>30076873.047440004</v>
      </c>
      <c r="AE121" s="8">
        <f t="shared" si="14"/>
        <v>257864955.68614</v>
      </c>
      <c r="AF121" s="8">
        <f t="shared" si="15"/>
        <v>181788159.15438002</v>
      </c>
      <c r="AG121" s="8">
        <f t="shared" si="16"/>
        <v>410018548.74965996</v>
      </c>
      <c r="AH121" s="8">
        <f t="shared" si="17"/>
        <v>33615328.70008</v>
      </c>
      <c r="AI121" s="8">
        <f t="shared" si="18"/>
        <v>6192297.3921200009</v>
      </c>
    </row>
    <row r="122" spans="1:35" x14ac:dyDescent="0.55000000000000004">
      <c r="A122" s="1">
        <v>120</v>
      </c>
      <c r="B122" s="1" t="s">
        <v>20</v>
      </c>
      <c r="C122" s="1">
        <v>10</v>
      </c>
      <c r="D122" s="1">
        <v>10</v>
      </c>
      <c r="E122" s="1" t="s">
        <v>39</v>
      </c>
      <c r="F122" s="1" t="s">
        <v>40</v>
      </c>
      <c r="G122" s="1">
        <v>20</v>
      </c>
      <c r="H122" s="1">
        <v>2</v>
      </c>
      <c r="I122" s="1">
        <v>20100000</v>
      </c>
      <c r="J122" s="1">
        <v>746</v>
      </c>
      <c r="K122" s="1">
        <v>0</v>
      </c>
      <c r="L122" s="1">
        <v>13626</v>
      </c>
      <c r="M122" s="1">
        <v>13.284592</v>
      </c>
      <c r="N122" s="1">
        <v>101.52182999999999</v>
      </c>
      <c r="O122" s="1">
        <v>0.28000000000000003</v>
      </c>
      <c r="P122" s="1">
        <v>0.03</v>
      </c>
      <c r="Q122" s="1">
        <v>0.73</v>
      </c>
      <c r="R122" s="1">
        <v>0.7</v>
      </c>
      <c r="S122" s="1">
        <v>0.61</v>
      </c>
      <c r="T122" s="1">
        <v>24.77</v>
      </c>
      <c r="U122" s="1">
        <v>5.64</v>
      </c>
      <c r="V122" s="1">
        <v>0.02</v>
      </c>
      <c r="W122" s="1">
        <v>0</v>
      </c>
      <c r="X122" s="1">
        <v>35936.990746000003</v>
      </c>
      <c r="Y122" s="1">
        <v>80715882.189300001</v>
      </c>
      <c r="Z122" t="str">
        <f>VLOOKUP(G122,'Code Pro'!$A$2:$B$9,2,FALSE)</f>
        <v>จ.ชลบุรี</v>
      </c>
      <c r="AA122" s="8">
        <f t="shared" si="10"/>
        <v>22600447.013004001</v>
      </c>
      <c r="AB122" s="8">
        <f t="shared" si="11"/>
        <v>2421476.4656790001</v>
      </c>
      <c r="AC122" s="8">
        <f t="shared" si="12"/>
        <v>58922593.998189002</v>
      </c>
      <c r="AD122" s="8">
        <f t="shared" si="13"/>
        <v>56501117.532509997</v>
      </c>
      <c r="AE122" s="8">
        <f t="shared" si="14"/>
        <v>49236688.135472998</v>
      </c>
      <c r="AF122" s="8">
        <f t="shared" si="15"/>
        <v>1999332401.8289609</v>
      </c>
      <c r="AG122" s="8">
        <f t="shared" si="16"/>
        <v>455237575.54765201</v>
      </c>
      <c r="AH122" s="8">
        <f t="shared" si="17"/>
        <v>1614317.6437860001</v>
      </c>
      <c r="AI122" s="8">
        <f t="shared" si="18"/>
        <v>0</v>
      </c>
    </row>
    <row r="123" spans="1:35" x14ac:dyDescent="0.55000000000000004">
      <c r="A123" s="1">
        <v>121</v>
      </c>
      <c r="B123" s="1" t="s">
        <v>20</v>
      </c>
      <c r="C123" s="1">
        <v>10</v>
      </c>
      <c r="D123" s="1">
        <v>10</v>
      </c>
      <c r="E123" s="1" t="s">
        <v>39</v>
      </c>
      <c r="F123" s="1" t="s">
        <v>40</v>
      </c>
      <c r="G123" s="1">
        <v>20</v>
      </c>
      <c r="H123" s="1">
        <v>2</v>
      </c>
      <c r="I123" s="1">
        <v>20100000</v>
      </c>
      <c r="J123" s="1">
        <v>747</v>
      </c>
      <c r="K123" s="1">
        <v>0</v>
      </c>
      <c r="L123" s="1">
        <v>13505</v>
      </c>
      <c r="M123" s="1">
        <v>13.203666999999999</v>
      </c>
      <c r="N123" s="1">
        <v>101.4387</v>
      </c>
      <c r="O123" s="1">
        <v>0.26</v>
      </c>
      <c r="P123" s="1">
        <v>0.2</v>
      </c>
      <c r="Q123" s="1">
        <v>0.82</v>
      </c>
      <c r="R123" s="1">
        <v>4.0999999999999996</v>
      </c>
      <c r="S123" s="1">
        <v>0.01</v>
      </c>
      <c r="T123" s="1">
        <v>31.610001</v>
      </c>
      <c r="U123" s="1">
        <v>12</v>
      </c>
      <c r="V123" s="1">
        <v>6.41</v>
      </c>
      <c r="W123" s="1">
        <v>0</v>
      </c>
      <c r="X123" s="1">
        <v>34679.034273999998</v>
      </c>
      <c r="Y123" s="1">
        <v>76319834.417199999</v>
      </c>
      <c r="Z123" t="str">
        <f>VLOOKUP(G123,'Code Pro'!$A$2:$B$9,2,FALSE)</f>
        <v>จ.ชลบุรี</v>
      </c>
      <c r="AA123" s="8">
        <f t="shared" si="10"/>
        <v>19843156.948472001</v>
      </c>
      <c r="AB123" s="8">
        <f t="shared" si="11"/>
        <v>15263966.883440001</v>
      </c>
      <c r="AC123" s="8">
        <f t="shared" si="12"/>
        <v>62582264.222103998</v>
      </c>
      <c r="AD123" s="8">
        <f t="shared" si="13"/>
        <v>312911321.11051995</v>
      </c>
      <c r="AE123" s="8">
        <f t="shared" si="14"/>
        <v>763198.34417199995</v>
      </c>
      <c r="AF123" s="8">
        <f t="shared" si="15"/>
        <v>2412470042.2475266</v>
      </c>
      <c r="AG123" s="8">
        <f t="shared" si="16"/>
        <v>915838013.00639999</v>
      </c>
      <c r="AH123" s="8">
        <f t="shared" si="17"/>
        <v>489210138.61425203</v>
      </c>
      <c r="AI123" s="8">
        <f t="shared" si="18"/>
        <v>0</v>
      </c>
    </row>
    <row r="124" spans="1:35" x14ac:dyDescent="0.55000000000000004">
      <c r="A124" s="1">
        <v>122</v>
      </c>
      <c r="B124" s="1" t="s">
        <v>20</v>
      </c>
      <c r="C124" s="1">
        <v>10</v>
      </c>
      <c r="D124" s="1">
        <v>10</v>
      </c>
      <c r="E124" s="1" t="s">
        <v>39</v>
      </c>
      <c r="F124" s="1" t="s">
        <v>40</v>
      </c>
      <c r="G124" s="1">
        <v>20</v>
      </c>
      <c r="H124" s="1">
        <v>2</v>
      </c>
      <c r="I124" s="1">
        <v>20100000</v>
      </c>
      <c r="J124" s="1">
        <v>748</v>
      </c>
      <c r="K124" s="1">
        <v>0</v>
      </c>
      <c r="L124" s="1">
        <v>13506</v>
      </c>
      <c r="M124" s="1">
        <v>13.203666999999999</v>
      </c>
      <c r="N124" s="1">
        <v>101.52182999999999</v>
      </c>
      <c r="O124" s="1">
        <v>5.58</v>
      </c>
      <c r="P124" s="1">
        <v>0.06</v>
      </c>
      <c r="Q124" s="1">
        <v>0.17</v>
      </c>
      <c r="R124" s="1">
        <v>16.209999</v>
      </c>
      <c r="S124" s="1">
        <v>11.68</v>
      </c>
      <c r="T124" s="1">
        <v>8.2899999999999991</v>
      </c>
      <c r="U124" s="1">
        <v>22.75</v>
      </c>
      <c r="V124" s="1">
        <v>3.54</v>
      </c>
      <c r="W124" s="1">
        <v>0.02</v>
      </c>
      <c r="X124" s="1">
        <v>35949.606694000002</v>
      </c>
      <c r="Y124" s="1">
        <v>80772574.329099998</v>
      </c>
      <c r="Z124" t="str">
        <f>VLOOKUP(G124,'Code Pro'!$A$2:$B$9,2,FALSE)</f>
        <v>จ.ชลบุรี</v>
      </c>
      <c r="AA124" s="8">
        <f t="shared" si="10"/>
        <v>450710964.756378</v>
      </c>
      <c r="AB124" s="8">
        <f t="shared" si="11"/>
        <v>4846354.4597459994</v>
      </c>
      <c r="AC124" s="8">
        <f t="shared" si="12"/>
        <v>13731337.635947</v>
      </c>
      <c r="AD124" s="8">
        <f t="shared" si="13"/>
        <v>1309323349.1021366</v>
      </c>
      <c r="AE124" s="8">
        <f t="shared" si="14"/>
        <v>943423668.16388798</v>
      </c>
      <c r="AF124" s="8">
        <f t="shared" si="15"/>
        <v>669604641.18823886</v>
      </c>
      <c r="AG124" s="8">
        <f t="shared" si="16"/>
        <v>1837576065.987025</v>
      </c>
      <c r="AH124" s="8">
        <f t="shared" si="17"/>
        <v>285934913.12501401</v>
      </c>
      <c r="AI124" s="8">
        <f t="shared" si="18"/>
        <v>1615451.486582</v>
      </c>
    </row>
    <row r="125" spans="1:35" x14ac:dyDescent="0.55000000000000004">
      <c r="A125" s="1">
        <v>123</v>
      </c>
      <c r="B125" s="1" t="s">
        <v>20</v>
      </c>
      <c r="C125" s="1">
        <v>10</v>
      </c>
      <c r="D125" s="1">
        <v>10</v>
      </c>
      <c r="E125" s="1" t="s">
        <v>39</v>
      </c>
      <c r="F125" s="1" t="s">
        <v>40</v>
      </c>
      <c r="G125" s="1">
        <v>20</v>
      </c>
      <c r="H125" s="1">
        <v>2</v>
      </c>
      <c r="I125" s="1">
        <v>20100000</v>
      </c>
      <c r="J125" s="1">
        <v>750</v>
      </c>
      <c r="K125" s="1">
        <v>0</v>
      </c>
      <c r="L125" s="1">
        <v>13625</v>
      </c>
      <c r="M125" s="1">
        <v>13.284592</v>
      </c>
      <c r="N125" s="1">
        <v>101.4387</v>
      </c>
      <c r="O125" s="1">
        <v>0.52</v>
      </c>
      <c r="P125" s="1">
        <v>0.02</v>
      </c>
      <c r="Q125" s="1">
        <v>3.15</v>
      </c>
      <c r="R125" s="1">
        <v>0.95</v>
      </c>
      <c r="S125" s="1">
        <v>7.0000000000000007E-2</v>
      </c>
      <c r="T125" s="1">
        <v>19.809999000000001</v>
      </c>
      <c r="U125" s="1">
        <v>4.3600000000000003</v>
      </c>
      <c r="V125" s="1">
        <v>5.85</v>
      </c>
      <c r="W125" s="1">
        <v>0</v>
      </c>
      <c r="X125" s="1">
        <v>35935.380038000003</v>
      </c>
      <c r="Y125" s="1">
        <v>80708639.160099998</v>
      </c>
      <c r="Z125" t="str">
        <f>VLOOKUP(G125,'Code Pro'!$A$2:$B$9,2,FALSE)</f>
        <v>จ.ชลบุรี</v>
      </c>
      <c r="AA125" s="8">
        <f t="shared" si="10"/>
        <v>41968492.363251999</v>
      </c>
      <c r="AB125" s="8">
        <f t="shared" si="11"/>
        <v>1614172.783202</v>
      </c>
      <c r="AC125" s="8">
        <f t="shared" si="12"/>
        <v>254232213.35431498</v>
      </c>
      <c r="AD125" s="8">
        <f t="shared" si="13"/>
        <v>76673207.202095002</v>
      </c>
      <c r="AE125" s="8">
        <f t="shared" si="14"/>
        <v>5649604.7412070008</v>
      </c>
      <c r="AF125" s="8">
        <f t="shared" si="15"/>
        <v>1598838061.0529418</v>
      </c>
      <c r="AG125" s="8">
        <f t="shared" si="16"/>
        <v>351889666.73803604</v>
      </c>
      <c r="AH125" s="8">
        <f t="shared" si="17"/>
        <v>472145539.08658499</v>
      </c>
      <c r="AI125" s="8">
        <f t="shared" si="18"/>
        <v>0</v>
      </c>
    </row>
    <row r="126" spans="1:35" x14ac:dyDescent="0.55000000000000004">
      <c r="A126" s="1">
        <v>124</v>
      </c>
      <c r="B126" s="1" t="s">
        <v>20</v>
      </c>
      <c r="C126" s="1">
        <v>10</v>
      </c>
      <c r="D126" s="1">
        <v>10</v>
      </c>
      <c r="E126" s="1" t="s">
        <v>39</v>
      </c>
      <c r="F126" s="1" t="s">
        <v>40</v>
      </c>
      <c r="G126" s="1">
        <v>20</v>
      </c>
      <c r="H126" s="1">
        <v>2</v>
      </c>
      <c r="I126" s="1">
        <v>20100000</v>
      </c>
      <c r="J126" s="1">
        <v>751</v>
      </c>
      <c r="K126" s="1">
        <v>0</v>
      </c>
      <c r="L126" s="1">
        <v>13745</v>
      </c>
      <c r="M126" s="1">
        <v>13.365479000000001</v>
      </c>
      <c r="N126" s="1">
        <v>101.4387</v>
      </c>
      <c r="O126" s="1">
        <v>9.82</v>
      </c>
      <c r="P126" s="1">
        <v>0</v>
      </c>
      <c r="Q126" s="1">
        <v>0.92</v>
      </c>
      <c r="R126" s="1">
        <v>2.5299999999999998</v>
      </c>
      <c r="S126" s="1">
        <v>0.99</v>
      </c>
      <c r="T126" s="1">
        <v>8.8000000000000007</v>
      </c>
      <c r="U126" s="1">
        <v>10.49</v>
      </c>
      <c r="V126" s="1">
        <v>0.02</v>
      </c>
      <c r="W126" s="1">
        <v>0</v>
      </c>
      <c r="X126" s="1">
        <v>26840.157727000002</v>
      </c>
      <c r="Y126" s="1">
        <v>36280878.077100001</v>
      </c>
      <c r="Z126" t="str">
        <f>VLOOKUP(G126,'Code Pro'!$A$2:$B$9,2,FALSE)</f>
        <v>จ.ชลบุรี</v>
      </c>
      <c r="AA126" s="8">
        <f t="shared" si="10"/>
        <v>356278222.71712202</v>
      </c>
      <c r="AB126" s="8">
        <f t="shared" si="11"/>
        <v>0</v>
      </c>
      <c r="AC126" s="8">
        <f t="shared" si="12"/>
        <v>33378407.830932003</v>
      </c>
      <c r="AD126" s="8">
        <f t="shared" si="13"/>
        <v>91790621.535062999</v>
      </c>
      <c r="AE126" s="8">
        <f t="shared" si="14"/>
        <v>35918069.296328999</v>
      </c>
      <c r="AF126" s="8">
        <f t="shared" si="15"/>
        <v>319271727.07848006</v>
      </c>
      <c r="AG126" s="8">
        <f t="shared" si="16"/>
        <v>380586411.02877903</v>
      </c>
      <c r="AH126" s="8">
        <f t="shared" si="17"/>
        <v>725617.56154200004</v>
      </c>
      <c r="AI126" s="8">
        <f t="shared" si="18"/>
        <v>0</v>
      </c>
    </row>
    <row r="127" spans="1:35" x14ac:dyDescent="0.55000000000000004">
      <c r="A127" s="1">
        <v>125</v>
      </c>
      <c r="B127" s="1" t="s">
        <v>20</v>
      </c>
      <c r="C127" s="1">
        <v>10</v>
      </c>
      <c r="D127" s="1">
        <v>10</v>
      </c>
      <c r="E127" s="1" t="s">
        <v>39</v>
      </c>
      <c r="F127" s="1" t="s">
        <v>40</v>
      </c>
      <c r="G127" s="1">
        <v>20</v>
      </c>
      <c r="H127" s="1">
        <v>2</v>
      </c>
      <c r="I127" s="1">
        <v>20100000</v>
      </c>
      <c r="J127" s="1">
        <v>753</v>
      </c>
      <c r="K127" s="1">
        <v>0</v>
      </c>
      <c r="L127" s="1">
        <v>13746</v>
      </c>
      <c r="M127" s="1">
        <v>13.365479000000001</v>
      </c>
      <c r="N127" s="1">
        <v>101.52182999999999</v>
      </c>
      <c r="O127" s="1">
        <v>2.58</v>
      </c>
      <c r="P127" s="1">
        <v>0.37</v>
      </c>
      <c r="Q127" s="1">
        <v>5.22</v>
      </c>
      <c r="R127" s="1">
        <v>0.3</v>
      </c>
      <c r="S127" s="1">
        <v>2.71</v>
      </c>
      <c r="T127" s="1">
        <v>19.52</v>
      </c>
      <c r="U127" s="1">
        <v>9.2100000000000009</v>
      </c>
      <c r="V127" s="1">
        <v>0</v>
      </c>
      <c r="W127" s="1">
        <v>0</v>
      </c>
      <c r="X127" s="1">
        <v>30084.719453000002</v>
      </c>
      <c r="Y127" s="1">
        <v>45335046.218900003</v>
      </c>
      <c r="Z127" t="str">
        <f>VLOOKUP(G127,'Code Pro'!$A$2:$B$9,2,FALSE)</f>
        <v>จ.ชลบุรี</v>
      </c>
      <c r="AA127" s="8">
        <f t="shared" si="10"/>
        <v>116964419.244762</v>
      </c>
      <c r="AB127" s="8">
        <f t="shared" si="11"/>
        <v>16773967.100993</v>
      </c>
      <c r="AC127" s="8">
        <f t="shared" si="12"/>
        <v>236648941.262658</v>
      </c>
      <c r="AD127" s="8">
        <f t="shared" si="13"/>
        <v>13600513.865670001</v>
      </c>
      <c r="AE127" s="8">
        <f t="shared" si="14"/>
        <v>122857975.25321901</v>
      </c>
      <c r="AF127" s="8">
        <f t="shared" si="15"/>
        <v>884940102.19292808</v>
      </c>
      <c r="AG127" s="8">
        <f t="shared" si="16"/>
        <v>417535775.67606908</v>
      </c>
      <c r="AH127" s="8">
        <f t="shared" si="17"/>
        <v>0</v>
      </c>
      <c r="AI127" s="8">
        <f t="shared" si="18"/>
        <v>0</v>
      </c>
    </row>
    <row r="128" spans="1:35" x14ac:dyDescent="0.55000000000000004">
      <c r="A128" s="1">
        <v>126</v>
      </c>
      <c r="B128" s="1" t="s">
        <v>20</v>
      </c>
      <c r="C128" s="1">
        <v>10</v>
      </c>
      <c r="D128" s="1">
        <v>10</v>
      </c>
      <c r="E128" s="1" t="s">
        <v>39</v>
      </c>
      <c r="F128" s="1" t="s">
        <v>40</v>
      </c>
      <c r="G128" s="1">
        <v>20</v>
      </c>
      <c r="H128" s="1">
        <v>2</v>
      </c>
      <c r="I128" s="1">
        <v>20100000</v>
      </c>
      <c r="J128" s="1">
        <v>754</v>
      </c>
      <c r="K128" s="1">
        <v>0</v>
      </c>
      <c r="L128" s="1">
        <v>13387</v>
      </c>
      <c r="M128" s="1">
        <v>13.122719</v>
      </c>
      <c r="N128" s="1">
        <v>101.60496500000001</v>
      </c>
      <c r="O128" s="1">
        <v>4.76</v>
      </c>
      <c r="P128" s="1">
        <v>0</v>
      </c>
      <c r="Q128" s="1">
        <v>0.18</v>
      </c>
      <c r="R128" s="1">
        <v>0.41</v>
      </c>
      <c r="S128" s="1">
        <v>17.709999</v>
      </c>
      <c r="T128" s="1">
        <v>5.65</v>
      </c>
      <c r="U128" s="1">
        <v>7.1</v>
      </c>
      <c r="V128" s="1">
        <v>2.09</v>
      </c>
      <c r="W128" s="1">
        <v>1.71</v>
      </c>
      <c r="X128" s="1">
        <v>33591.145987999997</v>
      </c>
      <c r="Y128" s="1">
        <v>31544107.741099998</v>
      </c>
      <c r="Z128" t="str">
        <f>VLOOKUP(G128,'Code Pro'!$A$2:$B$9,2,FALSE)</f>
        <v>จ.ชลบุรี</v>
      </c>
      <c r="AA128" s="8">
        <f t="shared" si="10"/>
        <v>150149952.84763598</v>
      </c>
      <c r="AB128" s="8">
        <f t="shared" si="11"/>
        <v>0</v>
      </c>
      <c r="AC128" s="8">
        <f t="shared" si="12"/>
        <v>5677939.3933979999</v>
      </c>
      <c r="AD128" s="8">
        <f t="shared" si="13"/>
        <v>12933084.173850998</v>
      </c>
      <c r="AE128" s="8">
        <f t="shared" si="14"/>
        <v>558646116.55077326</v>
      </c>
      <c r="AF128" s="8">
        <f t="shared" si="15"/>
        <v>178224208.73721501</v>
      </c>
      <c r="AG128" s="8">
        <f t="shared" si="16"/>
        <v>223963164.96180996</v>
      </c>
      <c r="AH128" s="8">
        <f t="shared" si="17"/>
        <v>65927185.17889899</v>
      </c>
      <c r="AI128" s="8">
        <f t="shared" si="18"/>
        <v>53940424.237280995</v>
      </c>
    </row>
    <row r="129" spans="1:35" x14ac:dyDescent="0.55000000000000004">
      <c r="A129" s="1">
        <v>127</v>
      </c>
      <c r="B129" s="1" t="s">
        <v>20</v>
      </c>
      <c r="C129" s="1">
        <v>10</v>
      </c>
      <c r="D129" s="1">
        <v>10</v>
      </c>
      <c r="E129" s="1" t="s">
        <v>39</v>
      </c>
      <c r="F129" s="1" t="s">
        <v>40</v>
      </c>
      <c r="G129" s="1">
        <v>20</v>
      </c>
      <c r="H129" s="1">
        <v>2</v>
      </c>
      <c r="I129" s="1">
        <v>20100000</v>
      </c>
      <c r="J129" s="1">
        <v>755</v>
      </c>
      <c r="K129" s="1">
        <v>0</v>
      </c>
      <c r="L129" s="1">
        <v>13388</v>
      </c>
      <c r="M129" s="1">
        <v>13.122719</v>
      </c>
      <c r="N129" s="1">
        <v>101.68810000000001</v>
      </c>
      <c r="O129" s="1">
        <v>11.11</v>
      </c>
      <c r="P129" s="1">
        <v>0.39</v>
      </c>
      <c r="Q129" s="1">
        <v>0.03</v>
      </c>
      <c r="R129" s="1">
        <v>0.1</v>
      </c>
      <c r="S129" s="1">
        <v>15.51</v>
      </c>
      <c r="T129" s="1">
        <v>19.079999999999998</v>
      </c>
      <c r="U129" s="1">
        <v>8.93</v>
      </c>
      <c r="V129" s="1">
        <v>0.32</v>
      </c>
      <c r="W129" s="1">
        <v>0.18</v>
      </c>
      <c r="X129" s="1">
        <v>17043.709103000001</v>
      </c>
      <c r="Y129" s="1">
        <v>6571257.2045200001</v>
      </c>
      <c r="Z129" t="str">
        <f>VLOOKUP(G129,'Code Pro'!$A$2:$B$9,2,FALSE)</f>
        <v>จ.ชลบุรี</v>
      </c>
      <c r="AA129" s="8">
        <f t="shared" si="10"/>
        <v>73006667.542217195</v>
      </c>
      <c r="AB129" s="8">
        <f t="shared" si="11"/>
        <v>2562790.3097628001</v>
      </c>
      <c r="AC129" s="8">
        <f t="shared" si="12"/>
        <v>197137.7161356</v>
      </c>
      <c r="AD129" s="8">
        <f t="shared" si="13"/>
        <v>657125.72045200004</v>
      </c>
      <c r="AE129" s="8">
        <f t="shared" si="14"/>
        <v>101920199.2421052</v>
      </c>
      <c r="AF129" s="8">
        <f t="shared" si="15"/>
        <v>125379587.46224159</v>
      </c>
      <c r="AG129" s="8">
        <f t="shared" si="16"/>
        <v>58681326.836363599</v>
      </c>
      <c r="AH129" s="8">
        <f t="shared" si="17"/>
        <v>2102802.3054464003</v>
      </c>
      <c r="AI129" s="8">
        <f t="shared" si="18"/>
        <v>1182826.2968136</v>
      </c>
    </row>
    <row r="130" spans="1:35" x14ac:dyDescent="0.55000000000000004">
      <c r="A130" s="1">
        <v>128</v>
      </c>
      <c r="B130" s="1" t="s">
        <v>20</v>
      </c>
      <c r="C130" s="1">
        <v>10</v>
      </c>
      <c r="D130" s="1">
        <v>10</v>
      </c>
      <c r="E130" s="1" t="s">
        <v>39</v>
      </c>
      <c r="F130" s="1" t="s">
        <v>40</v>
      </c>
      <c r="G130" s="1">
        <v>20</v>
      </c>
      <c r="H130" s="1">
        <v>2</v>
      </c>
      <c r="I130" s="1">
        <v>20100000</v>
      </c>
      <c r="J130" s="1">
        <v>756</v>
      </c>
      <c r="K130" s="1">
        <v>0</v>
      </c>
      <c r="L130" s="1">
        <v>13628</v>
      </c>
      <c r="M130" s="1">
        <v>13.284592</v>
      </c>
      <c r="N130" s="1">
        <v>101.68810000000001</v>
      </c>
      <c r="O130" s="1">
        <v>0.83</v>
      </c>
      <c r="P130" s="1">
        <v>0.08</v>
      </c>
      <c r="Q130" s="1">
        <v>0.53</v>
      </c>
      <c r="R130" s="1">
        <v>0.23</v>
      </c>
      <c r="S130" s="1">
        <v>19.620000999999998</v>
      </c>
      <c r="T130" s="1">
        <v>10.66</v>
      </c>
      <c r="U130" s="1">
        <v>29.82</v>
      </c>
      <c r="V130" s="1">
        <v>0.01</v>
      </c>
      <c r="W130" s="1">
        <v>0.01</v>
      </c>
      <c r="X130" s="1">
        <v>15757.882425</v>
      </c>
      <c r="Y130" s="1">
        <v>11300139.304300001</v>
      </c>
      <c r="Z130" t="str">
        <f>VLOOKUP(G130,'Code Pro'!$A$2:$B$9,2,FALSE)</f>
        <v>จ.ชลบุรี</v>
      </c>
      <c r="AA130" s="8">
        <f t="shared" si="10"/>
        <v>9379115.6225690003</v>
      </c>
      <c r="AB130" s="8">
        <f t="shared" si="11"/>
        <v>904011.14434400015</v>
      </c>
      <c r="AC130" s="8">
        <f t="shared" si="12"/>
        <v>5989073.8312790012</v>
      </c>
      <c r="AD130" s="8">
        <f t="shared" si="13"/>
        <v>2599032.0399890002</v>
      </c>
      <c r="AE130" s="8">
        <f t="shared" si="14"/>
        <v>221708744.45050532</v>
      </c>
      <c r="AF130" s="8">
        <f t="shared" si="15"/>
        <v>120459484.98383801</v>
      </c>
      <c r="AG130" s="8">
        <f t="shared" si="16"/>
        <v>336970154.05422604</v>
      </c>
      <c r="AH130" s="8">
        <f t="shared" si="17"/>
        <v>113001.39304300002</v>
      </c>
      <c r="AI130" s="8">
        <f t="shared" si="18"/>
        <v>113001.39304300002</v>
      </c>
    </row>
    <row r="131" spans="1:35" x14ac:dyDescent="0.55000000000000004">
      <c r="A131" s="1">
        <v>129</v>
      </c>
      <c r="B131" s="1" t="s">
        <v>20</v>
      </c>
      <c r="C131" s="1">
        <v>10</v>
      </c>
      <c r="D131" s="1">
        <v>10</v>
      </c>
      <c r="E131" s="1" t="s">
        <v>39</v>
      </c>
      <c r="F131" s="1" t="s">
        <v>40</v>
      </c>
      <c r="G131" s="1">
        <v>20</v>
      </c>
      <c r="H131" s="1">
        <v>2</v>
      </c>
      <c r="I131" s="1">
        <v>20100000</v>
      </c>
      <c r="J131" s="1">
        <v>757</v>
      </c>
      <c r="K131" s="1">
        <v>0</v>
      </c>
      <c r="L131" s="1">
        <v>13507</v>
      </c>
      <c r="M131" s="1">
        <v>13.203666999999999</v>
      </c>
      <c r="N131" s="1">
        <v>101.60496500000001</v>
      </c>
      <c r="O131" s="1">
        <v>1.23</v>
      </c>
      <c r="P131" s="1">
        <v>0.01</v>
      </c>
      <c r="Q131" s="1">
        <v>0.04</v>
      </c>
      <c r="R131" s="1">
        <v>3.6</v>
      </c>
      <c r="S131" s="1">
        <v>3.45</v>
      </c>
      <c r="T131" s="1">
        <v>15.52</v>
      </c>
      <c r="U131" s="1">
        <v>6.4</v>
      </c>
      <c r="V131" s="1">
        <v>14.17</v>
      </c>
      <c r="W131" s="1">
        <v>0</v>
      </c>
      <c r="X131" s="1">
        <v>35952.376394999999</v>
      </c>
      <c r="Y131" s="1">
        <v>80785013.162</v>
      </c>
      <c r="Z131" t="str">
        <f>VLOOKUP(G131,'Code Pro'!$A$2:$B$9,2,FALSE)</f>
        <v>จ.ชลบุรี</v>
      </c>
      <c r="AA131" s="8">
        <f t="shared" ref="AA131:AA194" si="19">+O131*$Y131</f>
        <v>99365566.189260006</v>
      </c>
      <c r="AB131" s="8">
        <f t="shared" ref="AB131:AB194" si="20">+P131*$Y131</f>
        <v>807850.13162</v>
      </c>
      <c r="AC131" s="8">
        <f t="shared" ref="AC131:AC194" si="21">+Q131*$Y131</f>
        <v>3231400.52648</v>
      </c>
      <c r="AD131" s="8">
        <f t="shared" ref="AD131:AD194" si="22">+R131*$Y131</f>
        <v>290826047.38319999</v>
      </c>
      <c r="AE131" s="8">
        <f t="shared" ref="AE131:AE194" si="23">+S131*$Y131</f>
        <v>278708295.40890002</v>
      </c>
      <c r="AF131" s="8">
        <f t="shared" ref="AF131:AF194" si="24">+T131*$Y131</f>
        <v>1253783404.27424</v>
      </c>
      <c r="AG131" s="8">
        <f t="shared" ref="AG131:AG194" si="25">+U131*$Y131</f>
        <v>517024084.23680001</v>
      </c>
      <c r="AH131" s="8">
        <f t="shared" ref="AH131:AH194" si="26">+V131*$Y131</f>
        <v>1144723636.5055399</v>
      </c>
      <c r="AI131" s="8">
        <f t="shared" ref="AI131:AI194" si="27">+W131*$Y131</f>
        <v>0</v>
      </c>
    </row>
    <row r="132" spans="1:35" x14ac:dyDescent="0.55000000000000004">
      <c r="A132" s="1">
        <v>130</v>
      </c>
      <c r="B132" s="1" t="s">
        <v>20</v>
      </c>
      <c r="C132" s="1">
        <v>10</v>
      </c>
      <c r="D132" s="1">
        <v>10</v>
      </c>
      <c r="E132" s="1" t="s">
        <v>39</v>
      </c>
      <c r="F132" s="1" t="s">
        <v>40</v>
      </c>
      <c r="G132" s="1">
        <v>20</v>
      </c>
      <c r="H132" s="1">
        <v>2</v>
      </c>
      <c r="I132" s="1">
        <v>20100000</v>
      </c>
      <c r="J132" s="1">
        <v>758</v>
      </c>
      <c r="K132" s="1">
        <v>0</v>
      </c>
      <c r="L132" s="1">
        <v>13508</v>
      </c>
      <c r="M132" s="1">
        <v>13.203666999999999</v>
      </c>
      <c r="N132" s="1">
        <v>101.68810000000001</v>
      </c>
      <c r="O132" s="1">
        <v>7.24</v>
      </c>
      <c r="P132" s="1">
        <v>0.11</v>
      </c>
      <c r="Q132" s="1">
        <v>0.27</v>
      </c>
      <c r="R132" s="1">
        <v>0.15</v>
      </c>
      <c r="S132" s="1">
        <v>34.200001</v>
      </c>
      <c r="T132" s="1">
        <v>43.549999</v>
      </c>
      <c r="U132" s="1">
        <v>12.57</v>
      </c>
      <c r="V132" s="1">
        <v>6.21</v>
      </c>
      <c r="W132" s="1">
        <v>0.05</v>
      </c>
      <c r="X132" s="1">
        <v>31236.980565000002</v>
      </c>
      <c r="Y132" s="1">
        <v>56740261.780199997</v>
      </c>
      <c r="Z132" t="str">
        <f>VLOOKUP(G132,'Code Pro'!$A$2:$B$9,2,FALSE)</f>
        <v>จ.ชลบุรี</v>
      </c>
      <c r="AA132" s="8">
        <f t="shared" si="19"/>
        <v>410799495.28864801</v>
      </c>
      <c r="AB132" s="8">
        <f t="shared" si="20"/>
        <v>6241428.7958220001</v>
      </c>
      <c r="AC132" s="8">
        <f t="shared" si="21"/>
        <v>15319870.680654</v>
      </c>
      <c r="AD132" s="8">
        <f t="shared" si="22"/>
        <v>8511039.2670299988</v>
      </c>
      <c r="AE132" s="8">
        <f t="shared" si="23"/>
        <v>1940517009.6231017</v>
      </c>
      <c r="AF132" s="8">
        <f t="shared" si="24"/>
        <v>2471038343.7874479</v>
      </c>
      <c r="AG132" s="8">
        <f t="shared" si="25"/>
        <v>713225090.57711399</v>
      </c>
      <c r="AH132" s="8">
        <f t="shared" si="26"/>
        <v>352357025.65504199</v>
      </c>
      <c r="AI132" s="8">
        <f t="shared" si="27"/>
        <v>2837013.0890100002</v>
      </c>
    </row>
    <row r="133" spans="1:35" x14ac:dyDescent="0.55000000000000004">
      <c r="A133" s="1">
        <v>131</v>
      </c>
      <c r="B133" s="1" t="s">
        <v>20</v>
      </c>
      <c r="C133" s="1">
        <v>10</v>
      </c>
      <c r="D133" s="1">
        <v>10</v>
      </c>
      <c r="E133" s="1" t="s">
        <v>39</v>
      </c>
      <c r="F133" s="1" t="s">
        <v>40</v>
      </c>
      <c r="G133" s="1">
        <v>20</v>
      </c>
      <c r="H133" s="1">
        <v>2</v>
      </c>
      <c r="I133" s="1">
        <v>20100000</v>
      </c>
      <c r="J133" s="1">
        <v>760</v>
      </c>
      <c r="K133" s="1">
        <v>0</v>
      </c>
      <c r="L133" s="1">
        <v>13627</v>
      </c>
      <c r="M133" s="1">
        <v>13.284592</v>
      </c>
      <c r="N133" s="1">
        <v>101.60496500000001</v>
      </c>
      <c r="O133" s="1">
        <v>0.1</v>
      </c>
      <c r="P133" s="1">
        <v>0.17</v>
      </c>
      <c r="Q133" s="1">
        <v>0.02</v>
      </c>
      <c r="R133" s="1">
        <v>0.34</v>
      </c>
      <c r="S133" s="1">
        <v>2.35</v>
      </c>
      <c r="T133" s="1">
        <v>23.09</v>
      </c>
      <c r="U133" s="1">
        <v>24.9</v>
      </c>
      <c r="V133" s="1">
        <v>0.13</v>
      </c>
      <c r="W133" s="1">
        <v>0</v>
      </c>
      <c r="X133" s="1">
        <v>34757.908232000002</v>
      </c>
      <c r="Y133" s="1">
        <v>62836409.1039</v>
      </c>
      <c r="Z133" t="str">
        <f>VLOOKUP(G133,'Code Pro'!$A$2:$B$9,2,FALSE)</f>
        <v>จ.ชลบุรี</v>
      </c>
      <c r="AA133" s="8">
        <f t="shared" si="19"/>
        <v>6283640.9103900008</v>
      </c>
      <c r="AB133" s="8">
        <f t="shared" si="20"/>
        <v>10682189.547663001</v>
      </c>
      <c r="AC133" s="8">
        <f t="shared" si="21"/>
        <v>1256728.1820779999</v>
      </c>
      <c r="AD133" s="8">
        <f t="shared" si="22"/>
        <v>21364379.095326003</v>
      </c>
      <c r="AE133" s="8">
        <f t="shared" si="23"/>
        <v>147665561.39416501</v>
      </c>
      <c r="AF133" s="8">
        <f t="shared" si="24"/>
        <v>1450892686.2090509</v>
      </c>
      <c r="AG133" s="8">
        <f t="shared" si="25"/>
        <v>1564626586.6871099</v>
      </c>
      <c r="AH133" s="8">
        <f t="shared" si="26"/>
        <v>8168733.1835070001</v>
      </c>
      <c r="AI133" s="8">
        <f t="shared" si="27"/>
        <v>0</v>
      </c>
    </row>
    <row r="134" spans="1:35" x14ac:dyDescent="0.55000000000000004">
      <c r="A134" s="1">
        <v>132</v>
      </c>
      <c r="B134" s="1" t="s">
        <v>20</v>
      </c>
      <c r="C134" s="1">
        <v>10</v>
      </c>
      <c r="D134" s="1">
        <v>10</v>
      </c>
      <c r="E134" s="1" t="s">
        <v>39</v>
      </c>
      <c r="F134" s="1" t="s">
        <v>40</v>
      </c>
      <c r="G134" s="1">
        <v>20</v>
      </c>
      <c r="H134" s="1">
        <v>2</v>
      </c>
      <c r="I134" s="1">
        <v>20100000</v>
      </c>
      <c r="J134" s="1">
        <v>761</v>
      </c>
      <c r="K134" s="1">
        <v>0</v>
      </c>
      <c r="L134" s="1">
        <v>13747</v>
      </c>
      <c r="M134" s="1">
        <v>13.365479000000001</v>
      </c>
      <c r="N134" s="1">
        <v>101.60496500000001</v>
      </c>
      <c r="O134" s="1">
        <v>5.31</v>
      </c>
      <c r="P134" s="1">
        <v>8.61</v>
      </c>
      <c r="Q134" s="1">
        <v>0.78</v>
      </c>
      <c r="R134" s="1">
        <v>0</v>
      </c>
      <c r="S134" s="1">
        <v>1.48</v>
      </c>
      <c r="T134" s="1">
        <v>7.16</v>
      </c>
      <c r="U134" s="1">
        <v>15.18</v>
      </c>
      <c r="V134" s="1">
        <v>0</v>
      </c>
      <c r="W134" s="1">
        <v>0</v>
      </c>
      <c r="X134" s="1">
        <v>7885.1171770000001</v>
      </c>
      <c r="Y134" s="1">
        <v>1620090.19395</v>
      </c>
      <c r="Z134" t="str">
        <f>VLOOKUP(G134,'Code Pro'!$A$2:$B$9,2,FALSE)</f>
        <v>จ.ชลบุรี</v>
      </c>
      <c r="AA134" s="8">
        <f t="shared" si="19"/>
        <v>8602678.9298744984</v>
      </c>
      <c r="AB134" s="8">
        <f t="shared" si="20"/>
        <v>13948976.569909498</v>
      </c>
      <c r="AC134" s="8">
        <f t="shared" si="21"/>
        <v>1263670.3512810001</v>
      </c>
      <c r="AD134" s="8">
        <f t="shared" si="22"/>
        <v>0</v>
      </c>
      <c r="AE134" s="8">
        <f t="shared" si="23"/>
        <v>2397733.4870460001</v>
      </c>
      <c r="AF134" s="8">
        <f t="shared" si="24"/>
        <v>11599845.788682001</v>
      </c>
      <c r="AG134" s="8">
        <f t="shared" si="25"/>
        <v>24592969.144161001</v>
      </c>
      <c r="AH134" s="8">
        <f t="shared" si="26"/>
        <v>0</v>
      </c>
      <c r="AI134" s="8">
        <f t="shared" si="27"/>
        <v>0</v>
      </c>
    </row>
    <row r="135" spans="1:35" x14ac:dyDescent="0.55000000000000004">
      <c r="A135" s="1">
        <v>133</v>
      </c>
      <c r="B135" s="1" t="s">
        <v>20</v>
      </c>
      <c r="C135" s="1">
        <v>11</v>
      </c>
      <c r="D135" s="1">
        <v>11</v>
      </c>
      <c r="E135" s="1" t="s">
        <v>41</v>
      </c>
      <c r="F135" s="1" t="s">
        <v>42</v>
      </c>
      <c r="G135" s="1">
        <v>20</v>
      </c>
      <c r="H135" s="1">
        <v>2</v>
      </c>
      <c r="I135" s="1">
        <v>20110000</v>
      </c>
      <c r="J135" s="1">
        <v>741</v>
      </c>
      <c r="K135" s="1">
        <v>0</v>
      </c>
      <c r="L135" s="1">
        <v>13743</v>
      </c>
      <c r="M135" s="1">
        <v>13.365479000000001</v>
      </c>
      <c r="N135" s="1">
        <v>101.27242</v>
      </c>
      <c r="O135" s="1">
        <v>0.32</v>
      </c>
      <c r="P135" s="1">
        <v>0.06</v>
      </c>
      <c r="Q135" s="1">
        <v>0.02</v>
      </c>
      <c r="R135" s="1">
        <v>2.44</v>
      </c>
      <c r="S135" s="1">
        <v>0.02</v>
      </c>
      <c r="T135" s="1">
        <v>11.6</v>
      </c>
      <c r="U135" s="1">
        <v>4.04</v>
      </c>
      <c r="V135" s="1">
        <v>0</v>
      </c>
      <c r="W135" s="1">
        <v>0</v>
      </c>
      <c r="X135" s="1">
        <v>23065.784765</v>
      </c>
      <c r="Y135" s="1">
        <v>30958359.2557</v>
      </c>
      <c r="Z135" t="str">
        <f>VLOOKUP(G135,'Code Pro'!$A$2:$B$9,2,FALSE)</f>
        <v>จ.ชลบุรี</v>
      </c>
      <c r="AA135" s="8">
        <f t="shared" si="19"/>
        <v>9906674.9618239999</v>
      </c>
      <c r="AB135" s="8">
        <f t="shared" si="20"/>
        <v>1857501.555342</v>
      </c>
      <c r="AC135" s="8">
        <f t="shared" si="21"/>
        <v>619167.18511399999</v>
      </c>
      <c r="AD135" s="8">
        <f t="shared" si="22"/>
        <v>75538396.583907992</v>
      </c>
      <c r="AE135" s="8">
        <f t="shared" si="23"/>
        <v>619167.18511399999</v>
      </c>
      <c r="AF135" s="8">
        <f t="shared" si="24"/>
        <v>359116967.36611998</v>
      </c>
      <c r="AG135" s="8">
        <f t="shared" si="25"/>
        <v>125071771.39302801</v>
      </c>
      <c r="AH135" s="8">
        <f t="shared" si="26"/>
        <v>0</v>
      </c>
      <c r="AI135" s="8">
        <f t="shared" si="27"/>
        <v>0</v>
      </c>
    </row>
    <row r="136" spans="1:35" x14ac:dyDescent="0.55000000000000004">
      <c r="A136" s="1">
        <v>134</v>
      </c>
      <c r="B136" s="1" t="s">
        <v>20</v>
      </c>
      <c r="C136" s="1">
        <v>11</v>
      </c>
      <c r="D136" s="1">
        <v>11</v>
      </c>
      <c r="E136" s="1" t="s">
        <v>41</v>
      </c>
      <c r="F136" s="1" t="s">
        <v>42</v>
      </c>
      <c r="G136" s="1">
        <v>20</v>
      </c>
      <c r="H136" s="1">
        <v>2</v>
      </c>
      <c r="I136" s="1">
        <v>20110000</v>
      </c>
      <c r="J136" s="1">
        <v>742</v>
      </c>
      <c r="K136" s="1">
        <v>0</v>
      </c>
      <c r="L136" s="1">
        <v>13863</v>
      </c>
      <c r="M136" s="1">
        <v>13.446358</v>
      </c>
      <c r="N136" s="1">
        <v>101.27242</v>
      </c>
      <c r="O136" s="1">
        <v>8.0299999999999994</v>
      </c>
      <c r="P136" s="1">
        <v>0</v>
      </c>
      <c r="Q136" s="1">
        <v>0.08</v>
      </c>
      <c r="R136" s="1">
        <v>3.96</v>
      </c>
      <c r="S136" s="1">
        <v>0</v>
      </c>
      <c r="T136" s="1">
        <v>6.12</v>
      </c>
      <c r="U136" s="1">
        <v>2.2400000000000002</v>
      </c>
      <c r="V136" s="1">
        <v>0</v>
      </c>
      <c r="W136" s="1">
        <v>0</v>
      </c>
      <c r="X136" s="1">
        <v>15519.235801000001</v>
      </c>
      <c r="Y136" s="1">
        <v>13549035.5584</v>
      </c>
      <c r="Z136" t="str">
        <f>VLOOKUP(G136,'Code Pro'!$A$2:$B$9,2,FALSE)</f>
        <v>จ.ชลบุรี</v>
      </c>
      <c r="AA136" s="8">
        <f t="shared" si="19"/>
        <v>108798755.53395198</v>
      </c>
      <c r="AB136" s="8">
        <f t="shared" si="20"/>
        <v>0</v>
      </c>
      <c r="AC136" s="8">
        <f t="shared" si="21"/>
        <v>1083922.844672</v>
      </c>
      <c r="AD136" s="8">
        <f t="shared" si="22"/>
        <v>53654180.811264001</v>
      </c>
      <c r="AE136" s="8">
        <f t="shared" si="23"/>
        <v>0</v>
      </c>
      <c r="AF136" s="8">
        <f t="shared" si="24"/>
        <v>82920097.617407992</v>
      </c>
      <c r="AG136" s="8">
        <f t="shared" si="25"/>
        <v>30349839.650816001</v>
      </c>
      <c r="AH136" s="8">
        <f t="shared" si="26"/>
        <v>0</v>
      </c>
      <c r="AI136" s="8">
        <f t="shared" si="27"/>
        <v>0</v>
      </c>
    </row>
    <row r="137" spans="1:35" x14ac:dyDescent="0.55000000000000004">
      <c r="A137" s="1">
        <v>135</v>
      </c>
      <c r="B137" s="1" t="s">
        <v>20</v>
      </c>
      <c r="C137" s="1">
        <v>11</v>
      </c>
      <c r="D137" s="1">
        <v>11</v>
      </c>
      <c r="E137" s="1" t="s">
        <v>41</v>
      </c>
      <c r="F137" s="1" t="s">
        <v>42</v>
      </c>
      <c r="G137" s="1">
        <v>20</v>
      </c>
      <c r="H137" s="1">
        <v>2</v>
      </c>
      <c r="I137" s="1">
        <v>20110000</v>
      </c>
      <c r="J137" s="1">
        <v>743</v>
      </c>
      <c r="K137" s="1">
        <v>0</v>
      </c>
      <c r="L137" s="1">
        <v>13744</v>
      </c>
      <c r="M137" s="1">
        <v>13.365479000000001</v>
      </c>
      <c r="N137" s="1">
        <v>101.35556</v>
      </c>
      <c r="O137" s="1">
        <v>4.72</v>
      </c>
      <c r="P137" s="1">
        <v>0</v>
      </c>
      <c r="Q137" s="1">
        <v>0.28999999999999998</v>
      </c>
      <c r="R137" s="1">
        <v>1.99</v>
      </c>
      <c r="S137" s="1">
        <v>0.03</v>
      </c>
      <c r="T137" s="1">
        <v>15.75</v>
      </c>
      <c r="U137" s="1">
        <v>11.08</v>
      </c>
      <c r="V137" s="1">
        <v>0.01</v>
      </c>
      <c r="W137" s="1">
        <v>0</v>
      </c>
      <c r="X137" s="1">
        <v>32328.039144999999</v>
      </c>
      <c r="Y137" s="1">
        <v>61497902.368500002</v>
      </c>
      <c r="Z137" t="str">
        <f>VLOOKUP(G137,'Code Pro'!$A$2:$B$9,2,FALSE)</f>
        <v>จ.ชลบุรี</v>
      </c>
      <c r="AA137" s="8">
        <f t="shared" si="19"/>
        <v>290270099.17931998</v>
      </c>
      <c r="AB137" s="8">
        <f t="shared" si="20"/>
        <v>0</v>
      </c>
      <c r="AC137" s="8">
        <f t="shared" si="21"/>
        <v>17834391.686864998</v>
      </c>
      <c r="AD137" s="8">
        <f t="shared" si="22"/>
        <v>122380825.71331501</v>
      </c>
      <c r="AE137" s="8">
        <f t="shared" si="23"/>
        <v>1844937.0710549999</v>
      </c>
      <c r="AF137" s="8">
        <f t="shared" si="24"/>
        <v>968591962.30387497</v>
      </c>
      <c r="AG137" s="8">
        <f t="shared" si="25"/>
        <v>681396758.24298</v>
      </c>
      <c r="AH137" s="8">
        <f t="shared" si="26"/>
        <v>614979.02368500002</v>
      </c>
      <c r="AI137" s="8">
        <f t="shared" si="27"/>
        <v>0</v>
      </c>
    </row>
    <row r="138" spans="1:35" x14ac:dyDescent="0.55000000000000004">
      <c r="A138" s="1">
        <v>136</v>
      </c>
      <c r="B138" s="1" t="s">
        <v>20</v>
      </c>
      <c r="C138" s="1">
        <v>11</v>
      </c>
      <c r="D138" s="1">
        <v>11</v>
      </c>
      <c r="E138" s="1" t="s">
        <v>41</v>
      </c>
      <c r="F138" s="1" t="s">
        <v>42</v>
      </c>
      <c r="G138" s="1">
        <v>20</v>
      </c>
      <c r="H138" s="1">
        <v>2</v>
      </c>
      <c r="I138" s="1">
        <v>20110000</v>
      </c>
      <c r="J138" s="1">
        <v>749</v>
      </c>
      <c r="K138" s="1">
        <v>0</v>
      </c>
      <c r="L138" s="1">
        <v>13864</v>
      </c>
      <c r="M138" s="1">
        <v>13.446358</v>
      </c>
      <c r="N138" s="1">
        <v>101.35556</v>
      </c>
      <c r="O138" s="1">
        <v>32.409999999999997</v>
      </c>
      <c r="P138" s="1">
        <v>0</v>
      </c>
      <c r="Q138" s="1">
        <v>0.01</v>
      </c>
      <c r="R138" s="1">
        <v>0.28999999999999998</v>
      </c>
      <c r="S138" s="1">
        <v>0</v>
      </c>
      <c r="T138" s="1">
        <v>8.4700000000000006</v>
      </c>
      <c r="U138" s="1">
        <v>5.85</v>
      </c>
      <c r="V138" s="1">
        <v>0</v>
      </c>
      <c r="W138" s="1">
        <v>0</v>
      </c>
      <c r="X138" s="1">
        <v>33907.980648999997</v>
      </c>
      <c r="Y138" s="1">
        <v>41836427.870899998</v>
      </c>
      <c r="Z138" t="str">
        <f>VLOOKUP(G138,'Code Pro'!$A$2:$B$9,2,FALSE)</f>
        <v>จ.ชลบุรี</v>
      </c>
      <c r="AA138" s="8">
        <f t="shared" si="19"/>
        <v>1355918627.2958689</v>
      </c>
      <c r="AB138" s="8">
        <f t="shared" si="20"/>
        <v>0</v>
      </c>
      <c r="AC138" s="8">
        <f t="shared" si="21"/>
        <v>418364.27870899998</v>
      </c>
      <c r="AD138" s="8">
        <f t="shared" si="22"/>
        <v>12132564.082560999</v>
      </c>
      <c r="AE138" s="8">
        <f t="shared" si="23"/>
        <v>0</v>
      </c>
      <c r="AF138" s="8">
        <f t="shared" si="24"/>
        <v>354354544.06652302</v>
      </c>
      <c r="AG138" s="8">
        <f t="shared" si="25"/>
        <v>244743103.04476497</v>
      </c>
      <c r="AH138" s="8">
        <f t="shared" si="26"/>
        <v>0</v>
      </c>
      <c r="AI138" s="8">
        <f t="shared" si="27"/>
        <v>0</v>
      </c>
    </row>
    <row r="139" spans="1:35" x14ac:dyDescent="0.55000000000000004">
      <c r="A139" s="1">
        <v>137</v>
      </c>
      <c r="B139" s="1" t="s">
        <v>20</v>
      </c>
      <c r="C139" s="1">
        <v>11</v>
      </c>
      <c r="D139" s="1">
        <v>11</v>
      </c>
      <c r="E139" s="1" t="s">
        <v>41</v>
      </c>
      <c r="F139" s="1" t="s">
        <v>42</v>
      </c>
      <c r="G139" s="1">
        <v>20</v>
      </c>
      <c r="H139" s="1">
        <v>2</v>
      </c>
      <c r="I139" s="1">
        <v>20110000</v>
      </c>
      <c r="J139" s="1">
        <v>751</v>
      </c>
      <c r="K139" s="1">
        <v>0</v>
      </c>
      <c r="L139" s="1">
        <v>13745</v>
      </c>
      <c r="M139" s="1">
        <v>13.365479000000001</v>
      </c>
      <c r="N139" s="1">
        <v>101.4387</v>
      </c>
      <c r="O139" s="1">
        <v>9.82</v>
      </c>
      <c r="P139" s="1">
        <v>0</v>
      </c>
      <c r="Q139" s="1">
        <v>0.92</v>
      </c>
      <c r="R139" s="1">
        <v>2.5299999999999998</v>
      </c>
      <c r="S139" s="1">
        <v>0.99</v>
      </c>
      <c r="T139" s="1">
        <v>8.8000000000000007</v>
      </c>
      <c r="U139" s="1">
        <v>10.49</v>
      </c>
      <c r="V139" s="1">
        <v>0.02</v>
      </c>
      <c r="W139" s="1">
        <v>0</v>
      </c>
      <c r="X139" s="1">
        <v>31527.239683</v>
      </c>
      <c r="Y139" s="1">
        <v>44378430.3235</v>
      </c>
      <c r="Z139" t="str">
        <f>VLOOKUP(G139,'Code Pro'!$A$2:$B$9,2,FALSE)</f>
        <v>จ.ชลบุรี</v>
      </c>
      <c r="AA139" s="8">
        <f t="shared" si="19"/>
        <v>435796185.77677</v>
      </c>
      <c r="AB139" s="8">
        <f t="shared" si="20"/>
        <v>0</v>
      </c>
      <c r="AC139" s="8">
        <f t="shared" si="21"/>
        <v>40828155.89762</v>
      </c>
      <c r="AD139" s="8">
        <f t="shared" si="22"/>
        <v>112277428.71845499</v>
      </c>
      <c r="AE139" s="8">
        <f t="shared" si="23"/>
        <v>43934646.020264998</v>
      </c>
      <c r="AF139" s="8">
        <f t="shared" si="24"/>
        <v>390530186.84680003</v>
      </c>
      <c r="AG139" s="8">
        <f t="shared" si="25"/>
        <v>465529734.09351504</v>
      </c>
      <c r="AH139" s="8">
        <f t="shared" si="26"/>
        <v>887568.60647</v>
      </c>
      <c r="AI139" s="8">
        <f t="shared" si="27"/>
        <v>0</v>
      </c>
    </row>
    <row r="140" spans="1:35" x14ac:dyDescent="0.55000000000000004">
      <c r="A140" s="1">
        <v>138</v>
      </c>
      <c r="B140" s="1" t="s">
        <v>20</v>
      </c>
      <c r="C140" s="1">
        <v>11</v>
      </c>
      <c r="D140" s="1">
        <v>11</v>
      </c>
      <c r="E140" s="1" t="s">
        <v>41</v>
      </c>
      <c r="F140" s="1" t="s">
        <v>42</v>
      </c>
      <c r="G140" s="1">
        <v>20</v>
      </c>
      <c r="H140" s="1">
        <v>2</v>
      </c>
      <c r="I140" s="1">
        <v>20110000</v>
      </c>
      <c r="J140" s="1">
        <v>752</v>
      </c>
      <c r="K140" s="1">
        <v>0</v>
      </c>
      <c r="L140" s="1">
        <v>13865</v>
      </c>
      <c r="M140" s="1">
        <v>13.446358</v>
      </c>
      <c r="N140" s="1">
        <v>101.4387</v>
      </c>
      <c r="O140" s="1">
        <v>24.1</v>
      </c>
      <c r="P140" s="1">
        <v>0</v>
      </c>
      <c r="Q140" s="1">
        <v>0.03</v>
      </c>
      <c r="R140" s="1">
        <v>0.35</v>
      </c>
      <c r="S140" s="1">
        <v>0.6</v>
      </c>
      <c r="T140" s="1">
        <v>6.82</v>
      </c>
      <c r="U140" s="1">
        <v>10.59</v>
      </c>
      <c r="V140" s="1">
        <v>0</v>
      </c>
      <c r="W140" s="1">
        <v>0</v>
      </c>
      <c r="X140" s="1">
        <v>35304.077505000001</v>
      </c>
      <c r="Y140" s="1">
        <v>38515499.891599998</v>
      </c>
      <c r="Z140" t="str">
        <f>VLOOKUP(G140,'Code Pro'!$A$2:$B$9,2,FALSE)</f>
        <v>จ.ชลบุรี</v>
      </c>
      <c r="AA140" s="8">
        <f t="shared" si="19"/>
        <v>928223547.38756001</v>
      </c>
      <c r="AB140" s="8">
        <f t="shared" si="20"/>
        <v>0</v>
      </c>
      <c r="AC140" s="8">
        <f t="shared" si="21"/>
        <v>1155464.9967479999</v>
      </c>
      <c r="AD140" s="8">
        <f t="shared" si="22"/>
        <v>13480424.962059999</v>
      </c>
      <c r="AE140" s="8">
        <f t="shared" si="23"/>
        <v>23109299.934959996</v>
      </c>
      <c r="AF140" s="8">
        <f t="shared" si="24"/>
        <v>262675709.260712</v>
      </c>
      <c r="AG140" s="8">
        <f t="shared" si="25"/>
        <v>407879143.85204399</v>
      </c>
      <c r="AH140" s="8">
        <f t="shared" si="26"/>
        <v>0</v>
      </c>
      <c r="AI140" s="8">
        <f t="shared" si="27"/>
        <v>0</v>
      </c>
    </row>
    <row r="141" spans="1:35" x14ac:dyDescent="0.55000000000000004">
      <c r="A141" s="1">
        <v>139</v>
      </c>
      <c r="B141" s="1" t="s">
        <v>20</v>
      </c>
      <c r="C141" s="1">
        <v>11</v>
      </c>
      <c r="D141" s="1">
        <v>11</v>
      </c>
      <c r="E141" s="1" t="s">
        <v>41</v>
      </c>
      <c r="F141" s="1" t="s">
        <v>42</v>
      </c>
      <c r="G141" s="1">
        <v>20</v>
      </c>
      <c r="H141" s="1">
        <v>2</v>
      </c>
      <c r="I141" s="1">
        <v>20110000</v>
      </c>
      <c r="J141" s="1">
        <v>753</v>
      </c>
      <c r="K141" s="1">
        <v>0</v>
      </c>
      <c r="L141" s="1">
        <v>13746</v>
      </c>
      <c r="M141" s="1">
        <v>13.365479000000001</v>
      </c>
      <c r="N141" s="1">
        <v>101.52182999999999</v>
      </c>
      <c r="O141" s="1">
        <v>2.58</v>
      </c>
      <c r="P141" s="1">
        <v>0.37</v>
      </c>
      <c r="Q141" s="1">
        <v>5.22</v>
      </c>
      <c r="R141" s="1">
        <v>0.3</v>
      </c>
      <c r="S141" s="1">
        <v>2.71</v>
      </c>
      <c r="T141" s="1">
        <v>19.52</v>
      </c>
      <c r="U141" s="1">
        <v>9.2100000000000009</v>
      </c>
      <c r="V141" s="1">
        <v>0</v>
      </c>
      <c r="W141" s="1">
        <v>0</v>
      </c>
      <c r="X141" s="1">
        <v>24219.837916</v>
      </c>
      <c r="Y141" s="1">
        <v>26275063.485800002</v>
      </c>
      <c r="Z141" t="str">
        <f>VLOOKUP(G141,'Code Pro'!$A$2:$B$9,2,FALSE)</f>
        <v>จ.ชลบุรี</v>
      </c>
      <c r="AA141" s="8">
        <f t="shared" si="19"/>
        <v>67789663.793364003</v>
      </c>
      <c r="AB141" s="8">
        <f t="shared" si="20"/>
        <v>9721773.4897460006</v>
      </c>
      <c r="AC141" s="8">
        <f t="shared" si="21"/>
        <v>137155831.39587599</v>
      </c>
      <c r="AD141" s="8">
        <f t="shared" si="22"/>
        <v>7882519.04574</v>
      </c>
      <c r="AE141" s="8">
        <f t="shared" si="23"/>
        <v>71205422.046517998</v>
      </c>
      <c r="AF141" s="8">
        <f t="shared" si="24"/>
        <v>512889239.24281603</v>
      </c>
      <c r="AG141" s="8">
        <f t="shared" si="25"/>
        <v>241993334.70421803</v>
      </c>
      <c r="AH141" s="8">
        <f t="shared" si="26"/>
        <v>0</v>
      </c>
      <c r="AI141" s="8">
        <f t="shared" si="27"/>
        <v>0</v>
      </c>
    </row>
    <row r="142" spans="1:35" x14ac:dyDescent="0.55000000000000004">
      <c r="A142" s="1">
        <v>140</v>
      </c>
      <c r="B142" s="1" t="s">
        <v>20</v>
      </c>
      <c r="C142" s="1">
        <v>11</v>
      </c>
      <c r="D142" s="1">
        <v>11</v>
      </c>
      <c r="E142" s="1" t="s">
        <v>41</v>
      </c>
      <c r="F142" s="1" t="s">
        <v>42</v>
      </c>
      <c r="G142" s="1">
        <v>20</v>
      </c>
      <c r="H142" s="1">
        <v>2</v>
      </c>
      <c r="I142" s="1">
        <v>20110000</v>
      </c>
      <c r="J142" s="1">
        <v>759</v>
      </c>
      <c r="K142" s="1">
        <v>0</v>
      </c>
      <c r="L142" s="1">
        <v>13866</v>
      </c>
      <c r="M142" s="1">
        <v>13.446358</v>
      </c>
      <c r="N142" s="1">
        <v>101.52182999999999</v>
      </c>
      <c r="O142" s="1">
        <v>24.77</v>
      </c>
      <c r="P142" s="1">
        <v>0.04</v>
      </c>
      <c r="Q142" s="1">
        <v>7.0000000000000007E-2</v>
      </c>
      <c r="R142" s="1">
        <v>0.24</v>
      </c>
      <c r="S142" s="1">
        <v>3.86</v>
      </c>
      <c r="T142" s="1">
        <v>17.459999</v>
      </c>
      <c r="U142" s="1">
        <v>8.1199999999999992</v>
      </c>
      <c r="V142" s="1">
        <v>0</v>
      </c>
      <c r="W142" s="1">
        <v>0</v>
      </c>
      <c r="X142" s="1">
        <v>23301.059209999999</v>
      </c>
      <c r="Y142" s="1">
        <v>12195791.433599999</v>
      </c>
      <c r="Z142" t="str">
        <f>VLOOKUP(G142,'Code Pro'!$A$2:$B$9,2,FALSE)</f>
        <v>จ.ชลบุรี</v>
      </c>
      <c r="AA142" s="8">
        <f t="shared" si="19"/>
        <v>302089753.81027198</v>
      </c>
      <c r="AB142" s="8">
        <f t="shared" si="20"/>
        <v>487831.65734399995</v>
      </c>
      <c r="AC142" s="8">
        <f t="shared" si="21"/>
        <v>853705.40035200003</v>
      </c>
      <c r="AD142" s="8">
        <f t="shared" si="22"/>
        <v>2926989.9440639997</v>
      </c>
      <c r="AE142" s="8">
        <f t="shared" si="23"/>
        <v>47075754.933695994</v>
      </c>
      <c r="AF142" s="8">
        <f t="shared" si="24"/>
        <v>212938506.23486456</v>
      </c>
      <c r="AG142" s="8">
        <f t="shared" si="25"/>
        <v>99029826.440831989</v>
      </c>
      <c r="AH142" s="8">
        <f t="shared" si="26"/>
        <v>0</v>
      </c>
      <c r="AI142" s="8">
        <f t="shared" si="27"/>
        <v>0</v>
      </c>
    </row>
    <row r="143" spans="1:35" x14ac:dyDescent="0.55000000000000004">
      <c r="A143" s="1">
        <v>141</v>
      </c>
      <c r="B143" s="1" t="s">
        <v>20</v>
      </c>
      <c r="C143" s="1">
        <v>12</v>
      </c>
      <c r="D143" s="1">
        <v>12</v>
      </c>
      <c r="E143" s="1" t="s">
        <v>27</v>
      </c>
      <c r="F143" s="1" t="s">
        <v>28</v>
      </c>
      <c r="G143" s="1">
        <v>20</v>
      </c>
      <c r="H143" s="1">
        <v>2</v>
      </c>
      <c r="I143" s="1">
        <v>20120000</v>
      </c>
      <c r="J143" s="1">
        <v>203</v>
      </c>
      <c r="K143" s="1">
        <v>0</v>
      </c>
      <c r="L143" s="1">
        <v>13137</v>
      </c>
      <c r="M143" s="1">
        <v>12.960724000000001</v>
      </c>
      <c r="N143" s="1">
        <v>100.773605</v>
      </c>
      <c r="O143" s="1">
        <v>3.36</v>
      </c>
      <c r="P143" s="1">
        <v>0</v>
      </c>
      <c r="Q143" s="1">
        <v>1</v>
      </c>
      <c r="R143" s="1">
        <v>0</v>
      </c>
      <c r="S143" s="1">
        <v>0.55000000000000004</v>
      </c>
      <c r="T143" s="1">
        <v>71.279999000000004</v>
      </c>
      <c r="U143" s="1">
        <v>7.41</v>
      </c>
      <c r="V143" s="1">
        <v>9.17</v>
      </c>
      <c r="W143" s="1">
        <v>1.68</v>
      </c>
      <c r="X143" s="1">
        <v>10876.380464</v>
      </c>
      <c r="Y143" s="1">
        <v>2014828.02455</v>
      </c>
      <c r="Z143" t="str">
        <f>VLOOKUP(G143,'Code Pro'!$A$2:$B$9,2,FALSE)</f>
        <v>จ.ชลบุรี</v>
      </c>
      <c r="AA143" s="8">
        <f t="shared" si="19"/>
        <v>6769822.1624879995</v>
      </c>
      <c r="AB143" s="8">
        <f t="shared" si="20"/>
        <v>0</v>
      </c>
      <c r="AC143" s="8">
        <f t="shared" si="21"/>
        <v>2014828.02455</v>
      </c>
      <c r="AD143" s="8">
        <f t="shared" si="22"/>
        <v>0</v>
      </c>
      <c r="AE143" s="8">
        <f t="shared" si="23"/>
        <v>1108155.4135025002</v>
      </c>
      <c r="AF143" s="8">
        <f t="shared" si="24"/>
        <v>143616939.57509598</v>
      </c>
      <c r="AG143" s="8">
        <f t="shared" si="25"/>
        <v>14929875.6619155</v>
      </c>
      <c r="AH143" s="8">
        <f t="shared" si="26"/>
        <v>18475972.9851235</v>
      </c>
      <c r="AI143" s="8">
        <f t="shared" si="27"/>
        <v>3384911.0812439998</v>
      </c>
    </row>
    <row r="144" spans="1:35" x14ac:dyDescent="0.55000000000000004">
      <c r="A144" s="1">
        <v>142</v>
      </c>
      <c r="B144" s="1" t="s">
        <v>20</v>
      </c>
      <c r="C144" s="1">
        <v>12</v>
      </c>
      <c r="D144" s="1">
        <v>12</v>
      </c>
      <c r="E144" s="1" t="s">
        <v>27</v>
      </c>
      <c r="F144" s="1" t="s">
        <v>28</v>
      </c>
      <c r="G144" s="1">
        <v>20</v>
      </c>
      <c r="H144" s="1">
        <v>2</v>
      </c>
      <c r="I144" s="1">
        <v>20120000</v>
      </c>
      <c r="J144" s="1">
        <v>205</v>
      </c>
      <c r="K144" s="1">
        <v>0</v>
      </c>
      <c r="L144" s="1">
        <v>13017</v>
      </c>
      <c r="M144" s="1">
        <v>12.8797</v>
      </c>
      <c r="N144" s="1">
        <v>100.773605</v>
      </c>
      <c r="O144" s="1">
        <v>0.12</v>
      </c>
      <c r="P144" s="1">
        <v>0</v>
      </c>
      <c r="Q144" s="1">
        <v>0.33</v>
      </c>
      <c r="R144" s="1">
        <v>0</v>
      </c>
      <c r="S144" s="1">
        <v>0.39</v>
      </c>
      <c r="T144" s="1">
        <v>13.32</v>
      </c>
      <c r="U144" s="1">
        <v>6.94</v>
      </c>
      <c r="V144" s="1">
        <v>29.57</v>
      </c>
      <c r="W144" s="1">
        <v>1.45</v>
      </c>
      <c r="X144" s="1">
        <v>8283.7965399999994</v>
      </c>
      <c r="Y144" s="1">
        <v>3193234.15925</v>
      </c>
      <c r="Z144" t="str">
        <f>VLOOKUP(G144,'Code Pro'!$A$2:$B$9,2,FALSE)</f>
        <v>จ.ชลบุรี</v>
      </c>
      <c r="AA144" s="8">
        <f t="shared" si="19"/>
        <v>383188.09911000001</v>
      </c>
      <c r="AB144" s="8">
        <f t="shared" si="20"/>
        <v>0</v>
      </c>
      <c r="AC144" s="8">
        <f t="shared" si="21"/>
        <v>1053767.2725525</v>
      </c>
      <c r="AD144" s="8">
        <f t="shared" si="22"/>
        <v>0</v>
      </c>
      <c r="AE144" s="8">
        <f t="shared" si="23"/>
        <v>1245361.3221075002</v>
      </c>
      <c r="AF144" s="8">
        <f t="shared" si="24"/>
        <v>42533879.001210004</v>
      </c>
      <c r="AG144" s="8">
        <f t="shared" si="25"/>
        <v>22161045.065195002</v>
      </c>
      <c r="AH144" s="8">
        <f t="shared" si="26"/>
        <v>94423934.089022502</v>
      </c>
      <c r="AI144" s="8">
        <f t="shared" si="27"/>
        <v>4630189.5309124999</v>
      </c>
    </row>
    <row r="145" spans="1:35" x14ac:dyDescent="0.55000000000000004">
      <c r="A145" s="1">
        <v>143</v>
      </c>
      <c r="B145" s="1" t="s">
        <v>20</v>
      </c>
      <c r="C145" s="1">
        <v>12</v>
      </c>
      <c r="D145" s="1">
        <v>12</v>
      </c>
      <c r="E145" s="1" t="s">
        <v>27</v>
      </c>
      <c r="F145" s="1" t="s">
        <v>28</v>
      </c>
      <c r="G145" s="1">
        <v>20</v>
      </c>
      <c r="H145" s="1">
        <v>2</v>
      </c>
      <c r="I145" s="1">
        <v>20120000</v>
      </c>
      <c r="J145" s="1">
        <v>206</v>
      </c>
      <c r="K145" s="1">
        <v>0</v>
      </c>
      <c r="L145" s="1">
        <v>12898</v>
      </c>
      <c r="M145" s="1">
        <v>12.798636999999999</v>
      </c>
      <c r="N145" s="1">
        <v>100.85674</v>
      </c>
      <c r="O145" s="1">
        <v>0.12</v>
      </c>
      <c r="P145" s="1">
        <v>0.08</v>
      </c>
      <c r="Q145" s="1">
        <v>2.17</v>
      </c>
      <c r="R145" s="1">
        <v>0</v>
      </c>
      <c r="S145" s="1">
        <v>1.1100000000000001</v>
      </c>
      <c r="T145" s="1">
        <v>10.38</v>
      </c>
      <c r="U145" s="1">
        <v>11.23</v>
      </c>
      <c r="V145" s="1">
        <v>15.2</v>
      </c>
      <c r="W145" s="1">
        <v>5.66</v>
      </c>
      <c r="X145" s="1">
        <v>2805.2715910000002</v>
      </c>
      <c r="Y145" s="1">
        <v>260640.73831300001</v>
      </c>
      <c r="Z145" t="str">
        <f>VLOOKUP(G145,'Code Pro'!$A$2:$B$9,2,FALSE)</f>
        <v>จ.ชลบุรี</v>
      </c>
      <c r="AA145" s="8">
        <f t="shared" si="19"/>
        <v>31276.888597559999</v>
      </c>
      <c r="AB145" s="8">
        <f t="shared" si="20"/>
        <v>20851.259065040002</v>
      </c>
      <c r="AC145" s="8">
        <f t="shared" si="21"/>
        <v>565590.40213921003</v>
      </c>
      <c r="AD145" s="8">
        <f t="shared" si="22"/>
        <v>0</v>
      </c>
      <c r="AE145" s="8">
        <f t="shared" si="23"/>
        <v>289311.21952743002</v>
      </c>
      <c r="AF145" s="8">
        <f t="shared" si="24"/>
        <v>2705450.8636889402</v>
      </c>
      <c r="AG145" s="8">
        <f t="shared" si="25"/>
        <v>2926995.49125499</v>
      </c>
      <c r="AH145" s="8">
        <f t="shared" si="26"/>
        <v>3961739.2223576</v>
      </c>
      <c r="AI145" s="8">
        <f t="shared" si="27"/>
        <v>1475226.5788515802</v>
      </c>
    </row>
    <row r="146" spans="1:35" x14ac:dyDescent="0.55000000000000004">
      <c r="A146" s="1">
        <v>144</v>
      </c>
      <c r="B146" s="1" t="s">
        <v>20</v>
      </c>
      <c r="C146" s="1">
        <v>12</v>
      </c>
      <c r="D146" s="1">
        <v>12</v>
      </c>
      <c r="E146" s="1" t="s">
        <v>27</v>
      </c>
      <c r="F146" s="1" t="s">
        <v>28</v>
      </c>
      <c r="G146" s="1">
        <v>20</v>
      </c>
      <c r="H146" s="1">
        <v>2</v>
      </c>
      <c r="I146" s="1">
        <v>20120000</v>
      </c>
      <c r="J146" s="1">
        <v>212</v>
      </c>
      <c r="K146" s="1">
        <v>0</v>
      </c>
      <c r="L146" s="1">
        <v>13018</v>
      </c>
      <c r="M146" s="1">
        <v>12.8797</v>
      </c>
      <c r="N146" s="1">
        <v>100.85674</v>
      </c>
      <c r="O146" s="1">
        <v>1.61</v>
      </c>
      <c r="P146" s="1">
        <v>0.4</v>
      </c>
      <c r="Q146" s="1">
        <v>1.37</v>
      </c>
      <c r="R146" s="1">
        <v>0.06</v>
      </c>
      <c r="S146" s="1">
        <v>0.5</v>
      </c>
      <c r="T146" s="1">
        <v>5.49</v>
      </c>
      <c r="U146" s="1">
        <v>6.44</v>
      </c>
      <c r="V146" s="1">
        <v>22.969999000000001</v>
      </c>
      <c r="W146" s="1">
        <v>0</v>
      </c>
      <c r="X146" s="1">
        <v>18705.966761</v>
      </c>
      <c r="Y146" s="1">
        <v>17335354.0099</v>
      </c>
      <c r="Z146" t="str">
        <f>VLOOKUP(G146,'Code Pro'!$A$2:$B$9,2,FALSE)</f>
        <v>จ.ชลบุรี</v>
      </c>
      <c r="AA146" s="8">
        <f t="shared" si="19"/>
        <v>27909919.955939002</v>
      </c>
      <c r="AB146" s="8">
        <f t="shared" si="20"/>
        <v>6934141.60396</v>
      </c>
      <c r="AC146" s="8">
        <f t="shared" si="21"/>
        <v>23749434.993563</v>
      </c>
      <c r="AD146" s="8">
        <f t="shared" si="22"/>
        <v>1040121.240594</v>
      </c>
      <c r="AE146" s="8">
        <f t="shared" si="23"/>
        <v>8667677.00495</v>
      </c>
      <c r="AF146" s="8">
        <f t="shared" si="24"/>
        <v>95171093.51435101</v>
      </c>
      <c r="AG146" s="8">
        <f t="shared" si="25"/>
        <v>111639679.82375601</v>
      </c>
      <c r="AH146" s="8">
        <f t="shared" si="26"/>
        <v>398193064.27204901</v>
      </c>
      <c r="AI146" s="8">
        <f t="shared" si="27"/>
        <v>0</v>
      </c>
    </row>
    <row r="147" spans="1:35" x14ac:dyDescent="0.55000000000000004">
      <c r="A147" s="1">
        <v>145</v>
      </c>
      <c r="B147" s="1" t="s">
        <v>20</v>
      </c>
      <c r="C147" s="1">
        <v>12</v>
      </c>
      <c r="D147" s="1">
        <v>12</v>
      </c>
      <c r="E147" s="1" t="s">
        <v>27</v>
      </c>
      <c r="F147" s="1" t="s">
        <v>28</v>
      </c>
      <c r="G147" s="1">
        <v>20</v>
      </c>
      <c r="H147" s="1">
        <v>2</v>
      </c>
      <c r="I147" s="1">
        <v>20120000</v>
      </c>
      <c r="J147" s="1">
        <v>217</v>
      </c>
      <c r="K147" s="1">
        <v>0</v>
      </c>
      <c r="L147" s="1">
        <v>13019</v>
      </c>
      <c r="M147" s="1">
        <v>12.8797</v>
      </c>
      <c r="N147" s="1">
        <v>100.93988</v>
      </c>
      <c r="O147" s="1">
        <v>0.05</v>
      </c>
      <c r="P147" s="1">
        <v>3.2</v>
      </c>
      <c r="Q147" s="1">
        <v>1.32</v>
      </c>
      <c r="R147" s="1">
        <v>0.17</v>
      </c>
      <c r="S147" s="1">
        <v>4.05</v>
      </c>
      <c r="T147" s="1">
        <v>15.27</v>
      </c>
      <c r="U147" s="1">
        <v>5.31</v>
      </c>
      <c r="V147" s="1">
        <v>29.57</v>
      </c>
      <c r="W147" s="1">
        <v>2.63</v>
      </c>
      <c r="X147" s="1">
        <v>14553.258511</v>
      </c>
      <c r="Y147" s="1">
        <v>4825170.7319499999</v>
      </c>
      <c r="Z147" t="str">
        <f>VLOOKUP(G147,'Code Pro'!$A$2:$B$9,2,FALSE)</f>
        <v>จ.ชลบุรี</v>
      </c>
      <c r="AA147" s="8">
        <f t="shared" si="19"/>
        <v>241258.5365975</v>
      </c>
      <c r="AB147" s="8">
        <f t="shared" si="20"/>
        <v>15440546.34224</v>
      </c>
      <c r="AC147" s="8">
        <f t="shared" si="21"/>
        <v>6369225.3661740003</v>
      </c>
      <c r="AD147" s="8">
        <f t="shared" si="22"/>
        <v>820279.0244315</v>
      </c>
      <c r="AE147" s="8">
        <f t="shared" si="23"/>
        <v>19541941.464397497</v>
      </c>
      <c r="AF147" s="8">
        <f t="shared" si="24"/>
        <v>73680357.076876491</v>
      </c>
      <c r="AG147" s="8">
        <f t="shared" si="25"/>
        <v>25621656.586654499</v>
      </c>
      <c r="AH147" s="8">
        <f t="shared" si="26"/>
        <v>142680298.54376149</v>
      </c>
      <c r="AI147" s="8">
        <f t="shared" si="27"/>
        <v>12690199.025028499</v>
      </c>
    </row>
    <row r="148" spans="1:35" x14ac:dyDescent="0.55000000000000004">
      <c r="A148" s="1">
        <v>146</v>
      </c>
      <c r="B148" s="1" t="s">
        <v>20</v>
      </c>
      <c r="C148" s="1">
        <v>12</v>
      </c>
      <c r="D148" s="1">
        <v>12</v>
      </c>
      <c r="E148" s="1" t="s">
        <v>27</v>
      </c>
      <c r="F148" s="1" t="s">
        <v>28</v>
      </c>
      <c r="G148" s="1">
        <v>20</v>
      </c>
      <c r="H148" s="1">
        <v>2</v>
      </c>
      <c r="I148" s="1">
        <v>20120000</v>
      </c>
      <c r="J148" s="1">
        <v>219</v>
      </c>
      <c r="K148" s="1">
        <v>0</v>
      </c>
      <c r="L148" s="1">
        <v>13139</v>
      </c>
      <c r="M148" s="1">
        <v>12.960724000000001</v>
      </c>
      <c r="N148" s="1">
        <v>100.93988</v>
      </c>
      <c r="O148" s="1">
        <v>2.61</v>
      </c>
      <c r="P148" s="1">
        <v>6.89</v>
      </c>
      <c r="Q148" s="1">
        <v>5.4</v>
      </c>
      <c r="R148" s="1">
        <v>0.12</v>
      </c>
      <c r="S148" s="1">
        <v>13.99</v>
      </c>
      <c r="T148" s="1">
        <v>18.899999999999999</v>
      </c>
      <c r="U148" s="1">
        <v>6.12</v>
      </c>
      <c r="V148" s="1">
        <v>33.659999999999997</v>
      </c>
      <c r="W148" s="1">
        <v>0</v>
      </c>
      <c r="X148" s="1">
        <v>7828.5057699999998</v>
      </c>
      <c r="Y148" s="1">
        <v>1638918.17417</v>
      </c>
      <c r="Z148" t="str">
        <f>VLOOKUP(G148,'Code Pro'!$A$2:$B$9,2,FALSE)</f>
        <v>จ.ชลบุรี</v>
      </c>
      <c r="AA148" s="8">
        <f t="shared" si="19"/>
        <v>4277576.4345837003</v>
      </c>
      <c r="AB148" s="8">
        <f t="shared" si="20"/>
        <v>11292146.220031299</v>
      </c>
      <c r="AC148" s="8">
        <f t="shared" si="21"/>
        <v>8850158.1405180003</v>
      </c>
      <c r="AD148" s="8">
        <f t="shared" si="22"/>
        <v>196670.18090039998</v>
      </c>
      <c r="AE148" s="8">
        <f t="shared" si="23"/>
        <v>22928465.2566383</v>
      </c>
      <c r="AF148" s="8">
        <f t="shared" si="24"/>
        <v>30975553.491812997</v>
      </c>
      <c r="AG148" s="8">
        <f t="shared" si="25"/>
        <v>10030179.2259204</v>
      </c>
      <c r="AH148" s="8">
        <f t="shared" si="26"/>
        <v>55165985.742562197</v>
      </c>
      <c r="AI148" s="8">
        <f t="shared" si="27"/>
        <v>0</v>
      </c>
    </row>
    <row r="149" spans="1:35" x14ac:dyDescent="0.55000000000000004">
      <c r="A149" s="1">
        <v>147</v>
      </c>
      <c r="B149" s="1" t="s">
        <v>20</v>
      </c>
      <c r="C149" s="1">
        <v>12</v>
      </c>
      <c r="D149" s="1">
        <v>12</v>
      </c>
      <c r="E149" s="1" t="s">
        <v>27</v>
      </c>
      <c r="F149" s="1" t="s">
        <v>28</v>
      </c>
      <c r="G149" s="1">
        <v>20</v>
      </c>
      <c r="H149" s="1">
        <v>2</v>
      </c>
      <c r="I149" s="1">
        <v>20120000</v>
      </c>
      <c r="J149" s="1">
        <v>220</v>
      </c>
      <c r="K149" s="1">
        <v>0</v>
      </c>
      <c r="L149" s="1">
        <v>13138</v>
      </c>
      <c r="M149" s="1">
        <v>12.960724000000001</v>
      </c>
      <c r="N149" s="1">
        <v>100.85674</v>
      </c>
      <c r="O149" s="1">
        <v>9.16</v>
      </c>
      <c r="P149" s="1">
        <v>0.34</v>
      </c>
      <c r="Q149" s="1">
        <v>1.53</v>
      </c>
      <c r="R149" s="1">
        <v>0.56000000000000005</v>
      </c>
      <c r="S149" s="1">
        <v>8.58</v>
      </c>
      <c r="T149" s="1">
        <v>13.63</v>
      </c>
      <c r="U149" s="1">
        <v>4.38</v>
      </c>
      <c r="V149" s="1">
        <v>9.85</v>
      </c>
      <c r="W149" s="1">
        <v>0</v>
      </c>
      <c r="X149" s="1">
        <v>15431.379617000001</v>
      </c>
      <c r="Y149" s="1">
        <v>7579271.0850299997</v>
      </c>
      <c r="Z149" t="str">
        <f>VLOOKUP(G149,'Code Pro'!$A$2:$B$9,2,FALSE)</f>
        <v>จ.ชลบุรี</v>
      </c>
      <c r="AA149" s="8">
        <f t="shared" si="19"/>
        <v>69426123.138874799</v>
      </c>
      <c r="AB149" s="8">
        <f t="shared" si="20"/>
        <v>2576952.1689102002</v>
      </c>
      <c r="AC149" s="8">
        <f t="shared" si="21"/>
        <v>11596284.7600959</v>
      </c>
      <c r="AD149" s="8">
        <f t="shared" si="22"/>
        <v>4244391.8076168001</v>
      </c>
      <c r="AE149" s="8">
        <f t="shared" si="23"/>
        <v>65030145.909557395</v>
      </c>
      <c r="AF149" s="8">
        <f t="shared" si="24"/>
        <v>103305464.8889589</v>
      </c>
      <c r="AG149" s="8">
        <f t="shared" si="25"/>
        <v>33197207.352431398</v>
      </c>
      <c r="AH149" s="8">
        <f t="shared" si="26"/>
        <v>74655820.187545493</v>
      </c>
      <c r="AI149" s="8">
        <f t="shared" si="27"/>
        <v>0</v>
      </c>
    </row>
    <row r="150" spans="1:35" x14ac:dyDescent="0.55000000000000004">
      <c r="A150" s="1">
        <v>148</v>
      </c>
      <c r="B150" s="1" t="s">
        <v>20</v>
      </c>
      <c r="C150" s="1">
        <v>13</v>
      </c>
      <c r="D150" s="1">
        <v>1</v>
      </c>
      <c r="E150" s="1" t="s">
        <v>43</v>
      </c>
      <c r="F150" s="1" t="s">
        <v>44</v>
      </c>
      <c r="G150" s="1">
        <v>21</v>
      </c>
      <c r="H150" s="1">
        <v>2</v>
      </c>
      <c r="I150" s="1">
        <v>21010000</v>
      </c>
      <c r="J150" s="1">
        <v>211</v>
      </c>
      <c r="K150" s="1">
        <v>0</v>
      </c>
      <c r="L150" s="1">
        <v>12901</v>
      </c>
      <c r="M150" s="1">
        <v>12.798636999999999</v>
      </c>
      <c r="N150" s="1">
        <v>101.10615</v>
      </c>
      <c r="O150" s="1">
        <v>0.01</v>
      </c>
      <c r="P150" s="1">
        <v>0.1</v>
      </c>
      <c r="Q150" s="1">
        <v>0</v>
      </c>
      <c r="R150" s="1">
        <v>0.05</v>
      </c>
      <c r="S150" s="1">
        <v>5.25</v>
      </c>
      <c r="T150" s="1">
        <v>13.88</v>
      </c>
      <c r="U150" s="1">
        <v>7.12</v>
      </c>
      <c r="V150" s="1">
        <v>22.43</v>
      </c>
      <c r="W150" s="1">
        <v>0.99</v>
      </c>
      <c r="X150" s="1">
        <v>25376.131280000001</v>
      </c>
      <c r="Y150" s="1">
        <v>31874070.265799999</v>
      </c>
      <c r="Z150" t="str">
        <f>VLOOKUP(G150,'Code Pro'!$A$2:$B$9,2,FALSE)</f>
        <v>จ.ระยอง</v>
      </c>
      <c r="AA150" s="8">
        <f t="shared" si="19"/>
        <v>318740.70265799999</v>
      </c>
      <c r="AB150" s="8">
        <f t="shared" si="20"/>
        <v>3187407.0265800003</v>
      </c>
      <c r="AC150" s="8">
        <f t="shared" si="21"/>
        <v>0</v>
      </c>
      <c r="AD150" s="8">
        <f t="shared" si="22"/>
        <v>1593703.5132900001</v>
      </c>
      <c r="AE150" s="8">
        <f t="shared" si="23"/>
        <v>167338868.89545</v>
      </c>
      <c r="AF150" s="8">
        <f t="shared" si="24"/>
        <v>442412095.28930402</v>
      </c>
      <c r="AG150" s="8">
        <f t="shared" si="25"/>
        <v>226943380.292496</v>
      </c>
      <c r="AH150" s="8">
        <f t="shared" si="26"/>
        <v>714935396.06189394</v>
      </c>
      <c r="AI150" s="8">
        <f t="shared" si="27"/>
        <v>31555329.563141998</v>
      </c>
    </row>
    <row r="151" spans="1:35" x14ac:dyDescent="0.55000000000000004">
      <c r="A151" s="1">
        <v>149</v>
      </c>
      <c r="B151" s="1" t="s">
        <v>20</v>
      </c>
      <c r="C151" s="1">
        <v>13</v>
      </c>
      <c r="D151" s="1">
        <v>1</v>
      </c>
      <c r="E151" s="1" t="s">
        <v>43</v>
      </c>
      <c r="F151" s="1" t="s">
        <v>44</v>
      </c>
      <c r="G151" s="1">
        <v>21</v>
      </c>
      <c r="H151" s="1">
        <v>2</v>
      </c>
      <c r="I151" s="1">
        <v>21010000</v>
      </c>
      <c r="J151" s="1">
        <v>214</v>
      </c>
      <c r="K151" s="1">
        <v>0</v>
      </c>
      <c r="L151" s="1">
        <v>12661</v>
      </c>
      <c r="M151" s="1">
        <v>12.636443999999999</v>
      </c>
      <c r="N151" s="1">
        <v>101.10615</v>
      </c>
      <c r="O151" s="1">
        <v>0</v>
      </c>
      <c r="P151" s="1">
        <v>0.79</v>
      </c>
      <c r="Q151" s="1">
        <v>0.94</v>
      </c>
      <c r="R151" s="1">
        <v>0.01</v>
      </c>
      <c r="S151" s="1">
        <v>0.52</v>
      </c>
      <c r="T151" s="1">
        <v>13.99</v>
      </c>
      <c r="U151" s="1">
        <v>10.51</v>
      </c>
      <c r="V151" s="1">
        <v>11.41</v>
      </c>
      <c r="W151" s="1">
        <v>0.81</v>
      </c>
      <c r="X151" s="1">
        <v>4576.7399459999997</v>
      </c>
      <c r="Y151" s="1">
        <v>329426.86579700001</v>
      </c>
      <c r="Z151" t="str">
        <f>VLOOKUP(G151,'Code Pro'!$A$2:$B$9,2,FALSE)</f>
        <v>จ.ระยอง</v>
      </c>
      <c r="AA151" s="8">
        <f t="shared" si="19"/>
        <v>0</v>
      </c>
      <c r="AB151" s="8">
        <f t="shared" si="20"/>
        <v>260247.22397963001</v>
      </c>
      <c r="AC151" s="8">
        <f t="shared" si="21"/>
        <v>309661.25384918001</v>
      </c>
      <c r="AD151" s="8">
        <f t="shared" si="22"/>
        <v>3294.2686579700003</v>
      </c>
      <c r="AE151" s="8">
        <f t="shared" si="23"/>
        <v>171301.97021444002</v>
      </c>
      <c r="AF151" s="8">
        <f t="shared" si="24"/>
        <v>4608681.8525000298</v>
      </c>
      <c r="AG151" s="8">
        <f t="shared" si="25"/>
        <v>3462276.3595264698</v>
      </c>
      <c r="AH151" s="8">
        <f t="shared" si="26"/>
        <v>3758760.5387437702</v>
      </c>
      <c r="AI151" s="8">
        <f t="shared" si="27"/>
        <v>266835.76129557</v>
      </c>
    </row>
    <row r="152" spans="1:35" x14ac:dyDescent="0.55000000000000004">
      <c r="A152" s="1">
        <v>150</v>
      </c>
      <c r="B152" s="1" t="s">
        <v>20</v>
      </c>
      <c r="C152" s="1">
        <v>13</v>
      </c>
      <c r="D152" s="1">
        <v>1</v>
      </c>
      <c r="E152" s="1" t="s">
        <v>43</v>
      </c>
      <c r="F152" s="1" t="s">
        <v>44</v>
      </c>
      <c r="G152" s="1">
        <v>21</v>
      </c>
      <c r="H152" s="1">
        <v>2</v>
      </c>
      <c r="I152" s="1">
        <v>21010000</v>
      </c>
      <c r="J152" s="1">
        <v>215</v>
      </c>
      <c r="K152" s="1">
        <v>0</v>
      </c>
      <c r="L152" s="1">
        <v>12781</v>
      </c>
      <c r="M152" s="1">
        <v>12.717560000000001</v>
      </c>
      <c r="N152" s="1">
        <v>101.10615</v>
      </c>
      <c r="O152" s="1">
        <v>0.77</v>
      </c>
      <c r="P152" s="1">
        <v>0.48</v>
      </c>
      <c r="Q152" s="1">
        <v>0.02</v>
      </c>
      <c r="R152" s="1">
        <v>2.78</v>
      </c>
      <c r="S152" s="1">
        <v>27.65</v>
      </c>
      <c r="T152" s="1">
        <v>12.42</v>
      </c>
      <c r="U152" s="1">
        <v>8.75</v>
      </c>
      <c r="V152" s="1">
        <v>24.299999</v>
      </c>
      <c r="W152" s="1">
        <v>6.02</v>
      </c>
      <c r="X152" s="1">
        <v>30475.331741999998</v>
      </c>
      <c r="Y152" s="1">
        <v>46088940.859899998</v>
      </c>
      <c r="Z152" t="str">
        <f>VLOOKUP(G152,'Code Pro'!$A$2:$B$9,2,FALSE)</f>
        <v>จ.ระยอง</v>
      </c>
      <c r="AA152" s="8">
        <f t="shared" si="19"/>
        <v>35488484.462122999</v>
      </c>
      <c r="AB152" s="8">
        <f t="shared" si="20"/>
        <v>22122691.612751998</v>
      </c>
      <c r="AC152" s="8">
        <f t="shared" si="21"/>
        <v>921778.81719799992</v>
      </c>
      <c r="AD152" s="8">
        <f t="shared" si="22"/>
        <v>128127255.59052199</v>
      </c>
      <c r="AE152" s="8">
        <f t="shared" si="23"/>
        <v>1274359214.7762349</v>
      </c>
      <c r="AF152" s="8">
        <f t="shared" si="24"/>
        <v>572424645.47995794</v>
      </c>
      <c r="AG152" s="8">
        <f t="shared" si="25"/>
        <v>403278232.52412498</v>
      </c>
      <c r="AH152" s="8">
        <f t="shared" si="26"/>
        <v>1119961216.8066292</v>
      </c>
      <c r="AI152" s="8">
        <f t="shared" si="27"/>
        <v>277455423.97659796</v>
      </c>
    </row>
    <row r="153" spans="1:35" x14ac:dyDescent="0.55000000000000004">
      <c r="A153" s="1">
        <v>151</v>
      </c>
      <c r="B153" s="1" t="s">
        <v>20</v>
      </c>
      <c r="C153" s="1">
        <v>13</v>
      </c>
      <c r="D153" s="1">
        <v>1</v>
      </c>
      <c r="E153" s="1" t="s">
        <v>43</v>
      </c>
      <c r="F153" s="1" t="s">
        <v>44</v>
      </c>
      <c r="G153" s="1">
        <v>21</v>
      </c>
      <c r="H153" s="1">
        <v>2</v>
      </c>
      <c r="I153" s="1">
        <v>21010000</v>
      </c>
      <c r="J153" s="1">
        <v>238</v>
      </c>
      <c r="K153" s="1">
        <v>0</v>
      </c>
      <c r="L153" s="1">
        <v>12662</v>
      </c>
      <c r="M153" s="1">
        <v>12.636443999999999</v>
      </c>
      <c r="N153" s="1">
        <v>101.189285</v>
      </c>
      <c r="O153" s="1">
        <v>0</v>
      </c>
      <c r="P153" s="1">
        <v>1.43</v>
      </c>
      <c r="Q153" s="1">
        <v>0.21</v>
      </c>
      <c r="R153" s="1">
        <v>0.01</v>
      </c>
      <c r="S153" s="1">
        <v>1.58</v>
      </c>
      <c r="T153" s="1">
        <v>80.150002000000001</v>
      </c>
      <c r="U153" s="1">
        <v>3.07</v>
      </c>
      <c r="V153" s="1">
        <v>19.18</v>
      </c>
      <c r="W153" s="1">
        <v>4.88</v>
      </c>
      <c r="X153" s="1">
        <v>21363.327988000001</v>
      </c>
      <c r="Y153" s="1">
        <v>7829115.5012299996</v>
      </c>
      <c r="Z153" t="str">
        <f>VLOOKUP(G153,'Code Pro'!$A$2:$B$9,2,FALSE)</f>
        <v>จ.ระยอง</v>
      </c>
      <c r="AA153" s="8">
        <f t="shared" si="19"/>
        <v>0</v>
      </c>
      <c r="AB153" s="8">
        <f t="shared" si="20"/>
        <v>11195635.166758899</v>
      </c>
      <c r="AC153" s="8">
        <f t="shared" si="21"/>
        <v>1644114.2552582999</v>
      </c>
      <c r="AD153" s="8">
        <f t="shared" si="22"/>
        <v>78291.155012299991</v>
      </c>
      <c r="AE153" s="8">
        <f t="shared" si="23"/>
        <v>12370002.4919434</v>
      </c>
      <c r="AF153" s="8">
        <f t="shared" si="24"/>
        <v>627503623.08181548</v>
      </c>
      <c r="AG153" s="8">
        <f t="shared" si="25"/>
        <v>24035384.588776097</v>
      </c>
      <c r="AH153" s="8">
        <f t="shared" si="26"/>
        <v>150162435.31359139</v>
      </c>
      <c r="AI153" s="8">
        <f t="shared" si="27"/>
        <v>38206083.646002397</v>
      </c>
    </row>
    <row r="154" spans="1:35" x14ac:dyDescent="0.55000000000000004">
      <c r="A154" s="1">
        <v>152</v>
      </c>
      <c r="B154" s="1" t="s">
        <v>20</v>
      </c>
      <c r="C154" s="1">
        <v>13</v>
      </c>
      <c r="D154" s="1">
        <v>1</v>
      </c>
      <c r="E154" s="1" t="s">
        <v>43</v>
      </c>
      <c r="F154" s="1" t="s">
        <v>44</v>
      </c>
      <c r="G154" s="1">
        <v>21</v>
      </c>
      <c r="H154" s="1">
        <v>2</v>
      </c>
      <c r="I154" s="1">
        <v>21010000</v>
      </c>
      <c r="J154" s="1">
        <v>241</v>
      </c>
      <c r="K154" s="1">
        <v>0</v>
      </c>
      <c r="L154" s="1">
        <v>12663</v>
      </c>
      <c r="M154" s="1">
        <v>12.636443999999999</v>
      </c>
      <c r="N154" s="1">
        <v>101.27242</v>
      </c>
      <c r="O154" s="1">
        <v>0.16</v>
      </c>
      <c r="P154" s="1">
        <v>0.34</v>
      </c>
      <c r="Q154" s="1">
        <v>0.04</v>
      </c>
      <c r="R154" s="1">
        <v>1.88</v>
      </c>
      <c r="S154" s="1">
        <v>4.99</v>
      </c>
      <c r="T154" s="1">
        <v>61.709999000000003</v>
      </c>
      <c r="U154" s="1">
        <v>14.23</v>
      </c>
      <c r="V154" s="1">
        <v>35.419998</v>
      </c>
      <c r="W154" s="1">
        <v>16.809999000000001</v>
      </c>
      <c r="X154" s="1">
        <v>23388.433957000001</v>
      </c>
      <c r="Y154" s="1">
        <v>21002844.107900001</v>
      </c>
      <c r="Z154" t="str">
        <f>VLOOKUP(G154,'Code Pro'!$A$2:$B$9,2,FALSE)</f>
        <v>จ.ระยอง</v>
      </c>
      <c r="AA154" s="8">
        <f t="shared" si="19"/>
        <v>3360455.0572640002</v>
      </c>
      <c r="AB154" s="8">
        <f t="shared" si="20"/>
        <v>7140966.9966860013</v>
      </c>
      <c r="AC154" s="8">
        <f t="shared" si="21"/>
        <v>840113.76431600004</v>
      </c>
      <c r="AD154" s="8">
        <f t="shared" si="22"/>
        <v>39485346.922852002</v>
      </c>
      <c r="AE154" s="8">
        <f t="shared" si="23"/>
        <v>104804192.09842101</v>
      </c>
      <c r="AF154" s="8">
        <f t="shared" si="24"/>
        <v>1296085488.8956649</v>
      </c>
      <c r="AG154" s="8">
        <f t="shared" si="25"/>
        <v>298870471.65541703</v>
      </c>
      <c r="AH154" s="8">
        <f t="shared" si="26"/>
        <v>743920696.29612982</v>
      </c>
      <c r="AI154" s="8">
        <f t="shared" si="27"/>
        <v>353057788.45095491</v>
      </c>
    </row>
    <row r="155" spans="1:35" x14ac:dyDescent="0.55000000000000004">
      <c r="A155" s="1">
        <v>153</v>
      </c>
      <c r="B155" s="1" t="s">
        <v>20</v>
      </c>
      <c r="C155" s="1">
        <v>13</v>
      </c>
      <c r="D155" s="1">
        <v>1</v>
      </c>
      <c r="E155" s="1" t="s">
        <v>43</v>
      </c>
      <c r="F155" s="1" t="s">
        <v>44</v>
      </c>
      <c r="G155" s="1">
        <v>21</v>
      </c>
      <c r="H155" s="1">
        <v>2</v>
      </c>
      <c r="I155" s="1">
        <v>21010000</v>
      </c>
      <c r="J155" s="1">
        <v>244</v>
      </c>
      <c r="K155" s="1">
        <v>0</v>
      </c>
      <c r="L155" s="1">
        <v>12545</v>
      </c>
      <c r="M155" s="1">
        <v>12.555313</v>
      </c>
      <c r="N155" s="1">
        <v>101.4387</v>
      </c>
      <c r="O155" s="1">
        <v>0</v>
      </c>
      <c r="P155" s="1">
        <v>0</v>
      </c>
      <c r="Q155" s="1">
        <v>0.04</v>
      </c>
      <c r="R155" s="1">
        <v>2.97</v>
      </c>
      <c r="S155" s="1">
        <v>3.09</v>
      </c>
      <c r="T155" s="1">
        <v>4.82</v>
      </c>
      <c r="U155" s="1">
        <v>5.82</v>
      </c>
      <c r="V155" s="1">
        <v>8.7799999999999994</v>
      </c>
      <c r="W155" s="1">
        <v>24.629999000000002</v>
      </c>
      <c r="X155" s="1">
        <v>24741.437199</v>
      </c>
      <c r="Y155" s="1">
        <v>6803667.3824500004</v>
      </c>
      <c r="Z155" t="str">
        <f>VLOOKUP(G155,'Code Pro'!$A$2:$B$9,2,FALSE)</f>
        <v>จ.ระยอง</v>
      </c>
      <c r="AA155" s="8">
        <f t="shared" si="19"/>
        <v>0</v>
      </c>
      <c r="AB155" s="8">
        <f t="shared" si="20"/>
        <v>0</v>
      </c>
      <c r="AC155" s="8">
        <f t="shared" si="21"/>
        <v>272146.69529800001</v>
      </c>
      <c r="AD155" s="8">
        <f t="shared" si="22"/>
        <v>20206892.125876501</v>
      </c>
      <c r="AE155" s="8">
        <f t="shared" si="23"/>
        <v>21023332.211770501</v>
      </c>
      <c r="AF155" s="8">
        <f t="shared" si="24"/>
        <v>32793676.783409003</v>
      </c>
      <c r="AG155" s="8">
        <f t="shared" si="25"/>
        <v>39597344.165859006</v>
      </c>
      <c r="AH155" s="8">
        <f t="shared" si="26"/>
        <v>59736199.617910996</v>
      </c>
      <c r="AI155" s="8">
        <f t="shared" si="27"/>
        <v>167574320.82607615</v>
      </c>
    </row>
    <row r="156" spans="1:35" x14ac:dyDescent="0.55000000000000004">
      <c r="A156" s="1">
        <v>154</v>
      </c>
      <c r="B156" s="1" t="s">
        <v>20</v>
      </c>
      <c r="C156" s="1">
        <v>13</v>
      </c>
      <c r="D156" s="1">
        <v>1</v>
      </c>
      <c r="E156" s="1" t="s">
        <v>43</v>
      </c>
      <c r="F156" s="1" t="s">
        <v>44</v>
      </c>
      <c r="G156" s="1">
        <v>21</v>
      </c>
      <c r="H156" s="1">
        <v>2</v>
      </c>
      <c r="I156" s="1">
        <v>21010000</v>
      </c>
      <c r="J156" s="1">
        <v>246</v>
      </c>
      <c r="K156" s="1">
        <v>0</v>
      </c>
      <c r="L156" s="1">
        <v>12665</v>
      </c>
      <c r="M156" s="1">
        <v>12.636443999999999</v>
      </c>
      <c r="N156" s="1">
        <v>101.4387</v>
      </c>
      <c r="O156" s="1">
        <v>0.01</v>
      </c>
      <c r="P156" s="1">
        <v>0.14000000000000001</v>
      </c>
      <c r="Q156" s="1">
        <v>0.06</v>
      </c>
      <c r="R156" s="1">
        <v>0.01</v>
      </c>
      <c r="S156" s="1">
        <v>25.02</v>
      </c>
      <c r="T156" s="1">
        <v>8.5299999999999994</v>
      </c>
      <c r="U156" s="1">
        <v>49.169998</v>
      </c>
      <c r="V156" s="1">
        <v>34.270000000000003</v>
      </c>
      <c r="W156" s="1">
        <v>13.55</v>
      </c>
      <c r="X156" s="1">
        <v>34295.082148000001</v>
      </c>
      <c r="Y156" s="1">
        <v>58431763.349299997</v>
      </c>
      <c r="Z156" t="str">
        <f>VLOOKUP(G156,'Code Pro'!$A$2:$B$9,2,FALSE)</f>
        <v>จ.ระยอง</v>
      </c>
      <c r="AA156" s="8">
        <f t="shared" si="19"/>
        <v>584317.63349299994</v>
      </c>
      <c r="AB156" s="8">
        <f t="shared" si="20"/>
        <v>8180446.8689020006</v>
      </c>
      <c r="AC156" s="8">
        <f t="shared" si="21"/>
        <v>3505905.8009579997</v>
      </c>
      <c r="AD156" s="8">
        <f t="shared" si="22"/>
        <v>584317.63349299994</v>
      </c>
      <c r="AE156" s="8">
        <f t="shared" si="23"/>
        <v>1461962718.999486</v>
      </c>
      <c r="AF156" s="8">
        <f t="shared" si="24"/>
        <v>498422941.36952895</v>
      </c>
      <c r="AG156" s="8">
        <f t="shared" si="25"/>
        <v>2873089687.021554</v>
      </c>
      <c r="AH156" s="8">
        <f t="shared" si="26"/>
        <v>2002456529.9805112</v>
      </c>
      <c r="AI156" s="8">
        <f t="shared" si="27"/>
        <v>791750393.38301504</v>
      </c>
    </row>
    <row r="157" spans="1:35" x14ac:dyDescent="0.55000000000000004">
      <c r="A157" s="1">
        <v>155</v>
      </c>
      <c r="B157" s="1" t="s">
        <v>20</v>
      </c>
      <c r="C157" s="1">
        <v>13</v>
      </c>
      <c r="D157" s="1">
        <v>1</v>
      </c>
      <c r="E157" s="1" t="s">
        <v>43</v>
      </c>
      <c r="F157" s="1" t="s">
        <v>44</v>
      </c>
      <c r="G157" s="1">
        <v>21</v>
      </c>
      <c r="H157" s="1">
        <v>2</v>
      </c>
      <c r="I157" s="1">
        <v>21010000</v>
      </c>
      <c r="J157" s="1">
        <v>247</v>
      </c>
      <c r="K157" s="1">
        <v>0</v>
      </c>
      <c r="L157" s="1">
        <v>12664</v>
      </c>
      <c r="M157" s="1">
        <v>12.636443999999999</v>
      </c>
      <c r="N157" s="1">
        <v>101.35556</v>
      </c>
      <c r="O157" s="1">
        <v>0</v>
      </c>
      <c r="P157" s="1">
        <v>0.04</v>
      </c>
      <c r="Q157" s="1">
        <v>0.26</v>
      </c>
      <c r="R157" s="1">
        <v>1.39</v>
      </c>
      <c r="S157" s="1">
        <v>24.26</v>
      </c>
      <c r="T157" s="1">
        <v>5.16</v>
      </c>
      <c r="U157" s="1">
        <v>10.9</v>
      </c>
      <c r="V157" s="1">
        <v>22.85</v>
      </c>
      <c r="W157" s="1">
        <v>53.509998000000003</v>
      </c>
      <c r="X157" s="1">
        <v>30866.520372999999</v>
      </c>
      <c r="Y157" s="1">
        <v>52111121.7086</v>
      </c>
      <c r="Z157" t="str">
        <f>VLOOKUP(G157,'Code Pro'!$A$2:$B$9,2,FALSE)</f>
        <v>จ.ระยอง</v>
      </c>
      <c r="AA157" s="8">
        <f t="shared" si="19"/>
        <v>0</v>
      </c>
      <c r="AB157" s="8">
        <f t="shared" si="20"/>
        <v>2084444.8683440001</v>
      </c>
      <c r="AC157" s="8">
        <f t="shared" si="21"/>
        <v>13548891.644236</v>
      </c>
      <c r="AD157" s="8">
        <f t="shared" si="22"/>
        <v>72434459.174953997</v>
      </c>
      <c r="AE157" s="8">
        <f t="shared" si="23"/>
        <v>1264215812.650636</v>
      </c>
      <c r="AF157" s="8">
        <f t="shared" si="24"/>
        <v>268893388.01637602</v>
      </c>
      <c r="AG157" s="8">
        <f t="shared" si="25"/>
        <v>568011226.62373996</v>
      </c>
      <c r="AH157" s="8">
        <f t="shared" si="26"/>
        <v>1190739131.0415101</v>
      </c>
      <c r="AI157" s="8">
        <f t="shared" si="27"/>
        <v>2788466018.4049425</v>
      </c>
    </row>
    <row r="158" spans="1:35" x14ac:dyDescent="0.55000000000000004">
      <c r="A158" s="1">
        <v>156</v>
      </c>
      <c r="B158" s="1" t="s">
        <v>20</v>
      </c>
      <c r="C158" s="1">
        <v>13</v>
      </c>
      <c r="D158" s="1">
        <v>1</v>
      </c>
      <c r="E158" s="1" t="s">
        <v>43</v>
      </c>
      <c r="F158" s="1" t="s">
        <v>44</v>
      </c>
      <c r="G158" s="1">
        <v>21</v>
      </c>
      <c r="H158" s="1">
        <v>2</v>
      </c>
      <c r="I158" s="1">
        <v>21010000</v>
      </c>
      <c r="J158" s="1">
        <v>261</v>
      </c>
      <c r="K158" s="1">
        <v>0</v>
      </c>
      <c r="L158" s="1">
        <v>12666</v>
      </c>
      <c r="M158" s="1">
        <v>12.636443999999999</v>
      </c>
      <c r="N158" s="1">
        <v>101.52182999999999</v>
      </c>
      <c r="O158" s="1">
        <v>0.01</v>
      </c>
      <c r="P158" s="1">
        <v>1.7</v>
      </c>
      <c r="Q158" s="1">
        <v>0.43</v>
      </c>
      <c r="R158" s="1">
        <v>1.97</v>
      </c>
      <c r="S158" s="1">
        <v>4.09</v>
      </c>
      <c r="T158" s="1">
        <v>49.369999</v>
      </c>
      <c r="U158" s="1">
        <v>8.17</v>
      </c>
      <c r="V158" s="1">
        <v>23.860001</v>
      </c>
      <c r="W158" s="1">
        <v>13.09</v>
      </c>
      <c r="X158" s="1">
        <v>18019.818350000001</v>
      </c>
      <c r="Y158" s="1">
        <v>19408198.949099999</v>
      </c>
      <c r="Z158" t="str">
        <f>VLOOKUP(G158,'Code Pro'!$A$2:$B$9,2,FALSE)</f>
        <v>จ.ระยอง</v>
      </c>
      <c r="AA158" s="8">
        <f t="shared" si="19"/>
        <v>194081.98949099999</v>
      </c>
      <c r="AB158" s="8">
        <f t="shared" si="20"/>
        <v>32993938.213469997</v>
      </c>
      <c r="AC158" s="8">
        <f t="shared" si="21"/>
        <v>8345525.5481129996</v>
      </c>
      <c r="AD158" s="8">
        <f t="shared" si="22"/>
        <v>38234151.929726996</v>
      </c>
      <c r="AE158" s="8">
        <f t="shared" si="23"/>
        <v>79379533.701818988</v>
      </c>
      <c r="AF158" s="8">
        <f t="shared" si="24"/>
        <v>958182762.70886803</v>
      </c>
      <c r="AG158" s="8">
        <f t="shared" si="25"/>
        <v>158564985.41414699</v>
      </c>
      <c r="AH158" s="8">
        <f t="shared" si="26"/>
        <v>463079646.33372492</v>
      </c>
      <c r="AI158" s="8">
        <f t="shared" si="27"/>
        <v>254053324.24371898</v>
      </c>
    </row>
    <row r="159" spans="1:35" x14ac:dyDescent="0.55000000000000004">
      <c r="A159" s="1">
        <v>157</v>
      </c>
      <c r="B159" s="1" t="s">
        <v>20</v>
      </c>
      <c r="C159" s="1">
        <v>13</v>
      </c>
      <c r="D159" s="1">
        <v>1</v>
      </c>
      <c r="E159" s="1" t="s">
        <v>43</v>
      </c>
      <c r="F159" s="1" t="s">
        <v>44</v>
      </c>
      <c r="G159" s="1">
        <v>21</v>
      </c>
      <c r="H159" s="1">
        <v>2</v>
      </c>
      <c r="I159" s="1">
        <v>21010000</v>
      </c>
      <c r="J159" s="1">
        <v>270</v>
      </c>
      <c r="K159" s="1">
        <v>0</v>
      </c>
      <c r="L159" s="1">
        <v>12783</v>
      </c>
      <c r="M159" s="1">
        <v>12.717560000000001</v>
      </c>
      <c r="N159" s="1">
        <v>101.27242</v>
      </c>
      <c r="O159" s="1">
        <v>0.2</v>
      </c>
      <c r="P159" s="1">
        <v>5.66</v>
      </c>
      <c r="Q159" s="1">
        <v>0.28000000000000003</v>
      </c>
      <c r="R159" s="1">
        <v>20.530000999999999</v>
      </c>
      <c r="S159" s="1">
        <v>21.32</v>
      </c>
      <c r="T159" s="1">
        <v>7.22</v>
      </c>
      <c r="U159" s="1">
        <v>5.61</v>
      </c>
      <c r="V159" s="1">
        <v>56.59</v>
      </c>
      <c r="W159" s="1">
        <v>11.67</v>
      </c>
      <c r="X159" s="1">
        <v>33612.303241000001</v>
      </c>
      <c r="Y159" s="1">
        <v>47586540.411399998</v>
      </c>
      <c r="Z159" t="str">
        <f>VLOOKUP(G159,'Code Pro'!$A$2:$B$9,2,FALSE)</f>
        <v>จ.ระยอง</v>
      </c>
      <c r="AA159" s="8">
        <f t="shared" si="19"/>
        <v>9517308.0822800007</v>
      </c>
      <c r="AB159" s="8">
        <f t="shared" si="20"/>
        <v>269339818.72852397</v>
      </c>
      <c r="AC159" s="8">
        <f t="shared" si="21"/>
        <v>13324231.315192001</v>
      </c>
      <c r="AD159" s="8">
        <f t="shared" si="22"/>
        <v>976951722.23258233</v>
      </c>
      <c r="AE159" s="8">
        <f t="shared" si="23"/>
        <v>1014545041.571048</v>
      </c>
      <c r="AF159" s="8">
        <f t="shared" si="24"/>
        <v>343574821.77030796</v>
      </c>
      <c r="AG159" s="8">
        <f t="shared" si="25"/>
        <v>266960491.70795399</v>
      </c>
      <c r="AH159" s="8">
        <f t="shared" si="26"/>
        <v>2692922321.8811259</v>
      </c>
      <c r="AI159" s="8">
        <f t="shared" si="27"/>
        <v>555334926.60103798</v>
      </c>
    </row>
    <row r="160" spans="1:35" x14ac:dyDescent="0.55000000000000004">
      <c r="A160" s="1">
        <v>158</v>
      </c>
      <c r="B160" s="1" t="s">
        <v>20</v>
      </c>
      <c r="C160" s="1">
        <v>13</v>
      </c>
      <c r="D160" s="1">
        <v>1</v>
      </c>
      <c r="E160" s="1" t="s">
        <v>43</v>
      </c>
      <c r="F160" s="1" t="s">
        <v>44</v>
      </c>
      <c r="G160" s="1">
        <v>21</v>
      </c>
      <c r="H160" s="1">
        <v>2</v>
      </c>
      <c r="I160" s="1">
        <v>21010000</v>
      </c>
      <c r="J160" s="1">
        <v>271</v>
      </c>
      <c r="K160" s="1">
        <v>0</v>
      </c>
      <c r="L160" s="1">
        <v>12902</v>
      </c>
      <c r="M160" s="1">
        <v>12.798636999999999</v>
      </c>
      <c r="N160" s="1">
        <v>101.189285</v>
      </c>
      <c r="O160" s="1">
        <v>0.01</v>
      </c>
      <c r="P160" s="1">
        <v>0.13</v>
      </c>
      <c r="Q160" s="1">
        <v>0.27</v>
      </c>
      <c r="R160" s="1">
        <v>0.36</v>
      </c>
      <c r="S160" s="1">
        <v>38.709999000000003</v>
      </c>
      <c r="T160" s="1">
        <v>7.87</v>
      </c>
      <c r="U160" s="1">
        <v>6.24</v>
      </c>
      <c r="V160" s="1">
        <v>26.75</v>
      </c>
      <c r="W160" s="1">
        <v>0.01</v>
      </c>
      <c r="X160" s="1">
        <v>12088.520526</v>
      </c>
      <c r="Y160" s="1">
        <v>3515089.2889200002</v>
      </c>
      <c r="Z160" t="str">
        <f>VLOOKUP(G160,'Code Pro'!$A$2:$B$9,2,FALSE)</f>
        <v>จ.ระยอง</v>
      </c>
      <c r="AA160" s="8">
        <f t="shared" si="19"/>
        <v>35150.892889200004</v>
      </c>
      <c r="AB160" s="8">
        <f t="shared" si="20"/>
        <v>456961.60755960003</v>
      </c>
      <c r="AC160" s="8">
        <f t="shared" si="21"/>
        <v>949074.10800840007</v>
      </c>
      <c r="AD160" s="8">
        <f t="shared" si="22"/>
        <v>1265432.1440111999</v>
      </c>
      <c r="AE160" s="8">
        <f t="shared" si="23"/>
        <v>136069102.85900393</v>
      </c>
      <c r="AF160" s="8">
        <f t="shared" si="24"/>
        <v>27663752.703800403</v>
      </c>
      <c r="AG160" s="8">
        <f t="shared" si="25"/>
        <v>21934157.162860803</v>
      </c>
      <c r="AH160" s="8">
        <f t="shared" si="26"/>
        <v>94028638.478610009</v>
      </c>
      <c r="AI160" s="8">
        <f t="shared" si="27"/>
        <v>35150.892889200004</v>
      </c>
    </row>
    <row r="161" spans="1:35" x14ac:dyDescent="0.55000000000000004">
      <c r="A161" s="1">
        <v>159</v>
      </c>
      <c r="B161" s="1" t="s">
        <v>20</v>
      </c>
      <c r="C161" s="1">
        <v>13</v>
      </c>
      <c r="D161" s="1">
        <v>1</v>
      </c>
      <c r="E161" s="1" t="s">
        <v>43</v>
      </c>
      <c r="F161" s="1" t="s">
        <v>44</v>
      </c>
      <c r="G161" s="1">
        <v>21</v>
      </c>
      <c r="H161" s="1">
        <v>2</v>
      </c>
      <c r="I161" s="1">
        <v>21010000</v>
      </c>
      <c r="J161" s="1">
        <v>279</v>
      </c>
      <c r="K161" s="1">
        <v>0</v>
      </c>
      <c r="L161" s="1">
        <v>12784</v>
      </c>
      <c r="M161" s="1">
        <v>12.717560000000001</v>
      </c>
      <c r="N161" s="1">
        <v>101.35556</v>
      </c>
      <c r="O161" s="1">
        <v>0</v>
      </c>
      <c r="P161" s="1">
        <v>1.04</v>
      </c>
      <c r="Q161" s="1">
        <v>0.28000000000000003</v>
      </c>
      <c r="R161" s="1">
        <v>1.1100000000000001</v>
      </c>
      <c r="S161" s="1">
        <v>15.67</v>
      </c>
      <c r="T161" s="1">
        <v>4.26</v>
      </c>
      <c r="U161" s="1">
        <v>9.6</v>
      </c>
      <c r="V161" s="1">
        <v>39.400002000000001</v>
      </c>
      <c r="W161" s="1">
        <v>15.55</v>
      </c>
      <c r="X161" s="1">
        <v>33318.372045999997</v>
      </c>
      <c r="Y161" s="1">
        <v>66619159.590000004</v>
      </c>
      <c r="Z161" t="str">
        <f>VLOOKUP(G161,'Code Pro'!$A$2:$B$9,2,FALSE)</f>
        <v>จ.ระยอง</v>
      </c>
      <c r="AA161" s="8">
        <f t="shared" si="19"/>
        <v>0</v>
      </c>
      <c r="AB161" s="8">
        <f t="shared" si="20"/>
        <v>69283925.9736</v>
      </c>
      <c r="AC161" s="8">
        <f t="shared" si="21"/>
        <v>18653364.685200002</v>
      </c>
      <c r="AD161" s="8">
        <f t="shared" si="22"/>
        <v>73947267.144900009</v>
      </c>
      <c r="AE161" s="8">
        <f t="shared" si="23"/>
        <v>1043922230.7753</v>
      </c>
      <c r="AF161" s="8">
        <f t="shared" si="24"/>
        <v>283797619.85339999</v>
      </c>
      <c r="AG161" s="8">
        <f t="shared" si="25"/>
        <v>639543932.06400001</v>
      </c>
      <c r="AH161" s="8">
        <f t="shared" si="26"/>
        <v>2624795021.0843196</v>
      </c>
      <c r="AI161" s="8">
        <f t="shared" si="27"/>
        <v>1035927931.6245002</v>
      </c>
    </row>
    <row r="162" spans="1:35" x14ac:dyDescent="0.55000000000000004">
      <c r="A162" s="1">
        <v>160</v>
      </c>
      <c r="B162" s="1" t="s">
        <v>20</v>
      </c>
      <c r="C162" s="1">
        <v>13</v>
      </c>
      <c r="D162" s="1">
        <v>1</v>
      </c>
      <c r="E162" s="1" t="s">
        <v>43</v>
      </c>
      <c r="F162" s="1" t="s">
        <v>44</v>
      </c>
      <c r="G162" s="1">
        <v>21</v>
      </c>
      <c r="H162" s="1">
        <v>2</v>
      </c>
      <c r="I162" s="1">
        <v>21010000</v>
      </c>
      <c r="J162" s="1">
        <v>280</v>
      </c>
      <c r="K162" s="1">
        <v>0</v>
      </c>
      <c r="L162" s="1">
        <v>12904</v>
      </c>
      <c r="M162" s="1">
        <v>12.798636999999999</v>
      </c>
      <c r="N162" s="1">
        <v>101.35556</v>
      </c>
      <c r="O162" s="1">
        <v>0.01</v>
      </c>
      <c r="P162" s="1">
        <v>11.46</v>
      </c>
      <c r="Q162" s="1">
        <v>0.54</v>
      </c>
      <c r="R162" s="1">
        <v>1.1200000000000001</v>
      </c>
      <c r="S162" s="1">
        <v>2.78</v>
      </c>
      <c r="T162" s="1">
        <v>5.71</v>
      </c>
      <c r="U162" s="1">
        <v>3.87</v>
      </c>
      <c r="V162" s="1">
        <v>39.5</v>
      </c>
      <c r="W162" s="1">
        <v>1.83</v>
      </c>
      <c r="X162" s="1">
        <v>9450.6654359999993</v>
      </c>
      <c r="Y162" s="1">
        <v>3161722.0562</v>
      </c>
      <c r="Z162" t="str">
        <f>VLOOKUP(G162,'Code Pro'!$A$2:$B$9,2,FALSE)</f>
        <v>จ.ระยอง</v>
      </c>
      <c r="AA162" s="8">
        <f t="shared" si="19"/>
        <v>31617.220562000002</v>
      </c>
      <c r="AB162" s="8">
        <f t="shared" si="20"/>
        <v>36233334.764052004</v>
      </c>
      <c r="AC162" s="8">
        <f t="shared" si="21"/>
        <v>1707329.910348</v>
      </c>
      <c r="AD162" s="8">
        <f t="shared" si="22"/>
        <v>3541128.7029440003</v>
      </c>
      <c r="AE162" s="8">
        <f t="shared" si="23"/>
        <v>8789587.3162359986</v>
      </c>
      <c r="AF162" s="8">
        <f t="shared" si="24"/>
        <v>18053432.940901998</v>
      </c>
      <c r="AG162" s="8">
        <f t="shared" si="25"/>
        <v>12235864.357494</v>
      </c>
      <c r="AH162" s="8">
        <f t="shared" si="26"/>
        <v>124888021.2199</v>
      </c>
      <c r="AI162" s="8">
        <f t="shared" si="27"/>
        <v>5785951.3628460001</v>
      </c>
    </row>
    <row r="163" spans="1:35" x14ac:dyDescent="0.55000000000000004">
      <c r="A163" s="1">
        <v>161</v>
      </c>
      <c r="B163" s="1" t="s">
        <v>20</v>
      </c>
      <c r="C163" s="1">
        <v>13</v>
      </c>
      <c r="D163" s="1">
        <v>1</v>
      </c>
      <c r="E163" s="1" t="s">
        <v>43</v>
      </c>
      <c r="F163" s="1" t="s">
        <v>44</v>
      </c>
      <c r="G163" s="1">
        <v>21</v>
      </c>
      <c r="H163" s="1">
        <v>2</v>
      </c>
      <c r="I163" s="1">
        <v>21010000</v>
      </c>
      <c r="J163" s="1">
        <v>281</v>
      </c>
      <c r="K163" s="1">
        <v>0</v>
      </c>
      <c r="L163" s="1">
        <v>12785</v>
      </c>
      <c r="M163" s="1">
        <v>12.717560000000001</v>
      </c>
      <c r="N163" s="1">
        <v>101.4387</v>
      </c>
      <c r="O163" s="1">
        <v>0</v>
      </c>
      <c r="P163" s="1">
        <v>0.42</v>
      </c>
      <c r="Q163" s="1">
        <v>0.1</v>
      </c>
      <c r="R163" s="1">
        <v>0.8</v>
      </c>
      <c r="S163" s="1">
        <v>29.99</v>
      </c>
      <c r="T163" s="1">
        <v>2.93</v>
      </c>
      <c r="U163" s="1">
        <v>4.93</v>
      </c>
      <c r="V163" s="1">
        <v>49.18</v>
      </c>
      <c r="W163" s="1">
        <v>19.760000000000002</v>
      </c>
      <c r="X163" s="1">
        <v>36017.884797999999</v>
      </c>
      <c r="Y163" s="1">
        <v>81079675.644700006</v>
      </c>
      <c r="Z163" t="str">
        <f>VLOOKUP(G163,'Code Pro'!$A$2:$B$9,2,FALSE)</f>
        <v>จ.ระยอง</v>
      </c>
      <c r="AA163" s="8">
        <f t="shared" si="19"/>
        <v>0</v>
      </c>
      <c r="AB163" s="8">
        <f t="shared" si="20"/>
        <v>34053463.770773999</v>
      </c>
      <c r="AC163" s="8">
        <f t="shared" si="21"/>
        <v>8107967.5644700006</v>
      </c>
      <c r="AD163" s="8">
        <f t="shared" si="22"/>
        <v>64863740.515760005</v>
      </c>
      <c r="AE163" s="8">
        <f t="shared" si="23"/>
        <v>2431579472.5845532</v>
      </c>
      <c r="AF163" s="8">
        <f t="shared" si="24"/>
        <v>237563449.63897103</v>
      </c>
      <c r="AG163" s="8">
        <f t="shared" si="25"/>
        <v>399722800.92837101</v>
      </c>
      <c r="AH163" s="8">
        <f t="shared" si="26"/>
        <v>3987498448.206346</v>
      </c>
      <c r="AI163" s="8">
        <f t="shared" si="27"/>
        <v>1602134390.7392724</v>
      </c>
    </row>
    <row r="164" spans="1:35" x14ac:dyDescent="0.55000000000000004">
      <c r="A164" s="1">
        <v>162</v>
      </c>
      <c r="B164" s="1" t="s">
        <v>20</v>
      </c>
      <c r="C164" s="1">
        <v>13</v>
      </c>
      <c r="D164" s="1">
        <v>1</v>
      </c>
      <c r="E164" s="1" t="s">
        <v>43</v>
      </c>
      <c r="F164" s="1" t="s">
        <v>44</v>
      </c>
      <c r="G164" s="1">
        <v>21</v>
      </c>
      <c r="H164" s="1">
        <v>2</v>
      </c>
      <c r="I164" s="1">
        <v>21010000</v>
      </c>
      <c r="J164" s="1">
        <v>282</v>
      </c>
      <c r="K164" s="1">
        <v>0</v>
      </c>
      <c r="L164" s="1">
        <v>12905</v>
      </c>
      <c r="M164" s="1">
        <v>12.798636999999999</v>
      </c>
      <c r="N164" s="1">
        <v>101.4387</v>
      </c>
      <c r="O164" s="1">
        <v>0</v>
      </c>
      <c r="P164" s="1">
        <v>1.05</v>
      </c>
      <c r="Q164" s="1">
        <v>0.24</v>
      </c>
      <c r="R164" s="1">
        <v>1.73</v>
      </c>
      <c r="S164" s="1">
        <v>1.04</v>
      </c>
      <c r="T164" s="1">
        <v>16.700001</v>
      </c>
      <c r="U164" s="1">
        <v>7.95</v>
      </c>
      <c r="V164" s="1">
        <v>48.18</v>
      </c>
      <c r="W164" s="1">
        <v>10.89</v>
      </c>
      <c r="X164" s="1">
        <v>36951.767197000001</v>
      </c>
      <c r="Y164" s="1">
        <v>62694781.598200001</v>
      </c>
      <c r="Z164" t="str">
        <f>VLOOKUP(G164,'Code Pro'!$A$2:$B$9,2,FALSE)</f>
        <v>จ.ระยอง</v>
      </c>
      <c r="AA164" s="8">
        <f t="shared" si="19"/>
        <v>0</v>
      </c>
      <c r="AB164" s="8">
        <f t="shared" si="20"/>
        <v>65829520.678110003</v>
      </c>
      <c r="AC164" s="8">
        <f t="shared" si="21"/>
        <v>15046747.583567999</v>
      </c>
      <c r="AD164" s="8">
        <f t="shared" si="22"/>
        <v>108461972.164886</v>
      </c>
      <c r="AE164" s="8">
        <f t="shared" si="23"/>
        <v>65202572.862128004</v>
      </c>
      <c r="AF164" s="8">
        <f t="shared" si="24"/>
        <v>1047002915.3847216</v>
      </c>
      <c r="AG164" s="8">
        <f t="shared" si="25"/>
        <v>498423513.70569003</v>
      </c>
      <c r="AH164" s="8">
        <f t="shared" si="26"/>
        <v>3020634577.4012761</v>
      </c>
      <c r="AI164" s="8">
        <f t="shared" si="27"/>
        <v>682746171.60439801</v>
      </c>
    </row>
    <row r="165" spans="1:35" x14ac:dyDescent="0.55000000000000004">
      <c r="A165" s="1">
        <v>163</v>
      </c>
      <c r="B165" s="1" t="s">
        <v>20</v>
      </c>
      <c r="C165" s="1">
        <v>13</v>
      </c>
      <c r="D165" s="1">
        <v>1</v>
      </c>
      <c r="E165" s="1" t="s">
        <v>43</v>
      </c>
      <c r="F165" s="1" t="s">
        <v>44</v>
      </c>
      <c r="G165" s="1">
        <v>21</v>
      </c>
      <c r="H165" s="1">
        <v>2</v>
      </c>
      <c r="I165" s="1">
        <v>21010000</v>
      </c>
      <c r="J165" s="1">
        <v>283</v>
      </c>
      <c r="K165" s="1">
        <v>0</v>
      </c>
      <c r="L165" s="1">
        <v>12786</v>
      </c>
      <c r="M165" s="1">
        <v>12.717560000000001</v>
      </c>
      <c r="N165" s="1">
        <v>101.52182999999999</v>
      </c>
      <c r="O165" s="1">
        <v>0</v>
      </c>
      <c r="P165" s="1">
        <v>0.43</v>
      </c>
      <c r="Q165" s="1">
        <v>0.08</v>
      </c>
      <c r="R165" s="1">
        <v>2.19</v>
      </c>
      <c r="S165" s="1">
        <v>4.05</v>
      </c>
      <c r="T165" s="1">
        <v>6.8</v>
      </c>
      <c r="U165" s="1">
        <v>16.370000999999998</v>
      </c>
      <c r="V165" s="1">
        <v>33.830002</v>
      </c>
      <c r="W165" s="1">
        <v>9.2799999999999994</v>
      </c>
      <c r="X165" s="1">
        <v>27816.579801</v>
      </c>
      <c r="Y165" s="1">
        <v>39315405.8957</v>
      </c>
      <c r="Z165" t="str">
        <f>VLOOKUP(G165,'Code Pro'!$A$2:$B$9,2,FALSE)</f>
        <v>จ.ระยอง</v>
      </c>
      <c r="AA165" s="8">
        <f t="shared" si="19"/>
        <v>0</v>
      </c>
      <c r="AB165" s="8">
        <f t="shared" si="20"/>
        <v>16905624.535151001</v>
      </c>
      <c r="AC165" s="8">
        <f t="shared" si="21"/>
        <v>3145232.4716560002</v>
      </c>
      <c r="AD165" s="8">
        <f t="shared" si="22"/>
        <v>86100738.911582991</v>
      </c>
      <c r="AE165" s="8">
        <f t="shared" si="23"/>
        <v>159227393.87758499</v>
      </c>
      <c r="AF165" s="8">
        <f t="shared" si="24"/>
        <v>267344760.09075999</v>
      </c>
      <c r="AG165" s="8">
        <f t="shared" si="25"/>
        <v>643593233.82801485</v>
      </c>
      <c r="AH165" s="8">
        <f t="shared" si="26"/>
        <v>1330040260.0823429</v>
      </c>
      <c r="AI165" s="8">
        <f t="shared" si="27"/>
        <v>364846966.71209598</v>
      </c>
    </row>
    <row r="166" spans="1:35" x14ac:dyDescent="0.55000000000000004">
      <c r="A166" s="1">
        <v>164</v>
      </c>
      <c r="B166" s="1" t="s">
        <v>20</v>
      </c>
      <c r="C166" s="1">
        <v>13</v>
      </c>
      <c r="D166" s="1">
        <v>1</v>
      </c>
      <c r="E166" s="1" t="s">
        <v>43</v>
      </c>
      <c r="F166" s="1" t="s">
        <v>44</v>
      </c>
      <c r="G166" s="1">
        <v>21</v>
      </c>
      <c r="H166" s="1">
        <v>2</v>
      </c>
      <c r="I166" s="1">
        <v>21010000</v>
      </c>
      <c r="J166" s="1">
        <v>287</v>
      </c>
      <c r="K166" s="1">
        <v>0</v>
      </c>
      <c r="L166" s="1">
        <v>13025</v>
      </c>
      <c r="M166" s="1">
        <v>12.8797</v>
      </c>
      <c r="N166" s="1">
        <v>101.4387</v>
      </c>
      <c r="O166" s="1">
        <v>7.54</v>
      </c>
      <c r="P166" s="1">
        <v>3.89</v>
      </c>
      <c r="Q166" s="1">
        <v>0.72</v>
      </c>
      <c r="R166" s="1">
        <v>1.35</v>
      </c>
      <c r="S166" s="1">
        <v>4.58</v>
      </c>
      <c r="T166" s="1">
        <v>11.99</v>
      </c>
      <c r="U166" s="1">
        <v>33.840000000000003</v>
      </c>
      <c r="V166" s="1">
        <v>4.0599999999999996</v>
      </c>
      <c r="W166" s="1">
        <v>4.41</v>
      </c>
      <c r="X166" s="1">
        <v>17576.105083999999</v>
      </c>
      <c r="Y166" s="1">
        <v>11813095.0866</v>
      </c>
      <c r="Z166" t="str">
        <f>VLOOKUP(G166,'Code Pro'!$A$2:$B$9,2,FALSE)</f>
        <v>จ.ระยอง</v>
      </c>
      <c r="AA166" s="8">
        <f t="shared" si="19"/>
        <v>89070736.952964008</v>
      </c>
      <c r="AB166" s="8">
        <f t="shared" si="20"/>
        <v>45952939.886874005</v>
      </c>
      <c r="AC166" s="8">
        <f t="shared" si="21"/>
        <v>8505428.4623520002</v>
      </c>
      <c r="AD166" s="8">
        <f t="shared" si="22"/>
        <v>15947678.366910001</v>
      </c>
      <c r="AE166" s="8">
        <f t="shared" si="23"/>
        <v>54103975.496628001</v>
      </c>
      <c r="AF166" s="8">
        <f t="shared" si="24"/>
        <v>141639010.08833399</v>
      </c>
      <c r="AG166" s="8">
        <f t="shared" si="25"/>
        <v>399755137.73054403</v>
      </c>
      <c r="AH166" s="8">
        <f t="shared" si="26"/>
        <v>47961166.051595993</v>
      </c>
      <c r="AI166" s="8">
        <f t="shared" si="27"/>
        <v>52095749.331905998</v>
      </c>
    </row>
    <row r="167" spans="1:35" x14ac:dyDescent="0.55000000000000004">
      <c r="A167" s="1">
        <v>165</v>
      </c>
      <c r="B167" s="1" t="s">
        <v>20</v>
      </c>
      <c r="C167" s="1">
        <v>13</v>
      </c>
      <c r="D167" s="1">
        <v>1</v>
      </c>
      <c r="E167" s="1" t="s">
        <v>43</v>
      </c>
      <c r="F167" s="1" t="s">
        <v>44</v>
      </c>
      <c r="G167" s="1">
        <v>21</v>
      </c>
      <c r="H167" s="1">
        <v>2</v>
      </c>
      <c r="I167" s="1">
        <v>21010000</v>
      </c>
      <c r="J167" s="1">
        <v>288</v>
      </c>
      <c r="K167" s="1">
        <v>0</v>
      </c>
      <c r="L167" s="1">
        <v>12906</v>
      </c>
      <c r="M167" s="1">
        <v>12.798636999999999</v>
      </c>
      <c r="N167" s="1">
        <v>101.52182999999999</v>
      </c>
      <c r="O167" s="1">
        <v>1.53</v>
      </c>
      <c r="P167" s="1">
        <v>0.23</v>
      </c>
      <c r="Q167" s="1">
        <v>0.14000000000000001</v>
      </c>
      <c r="R167" s="1">
        <v>24.02</v>
      </c>
      <c r="S167" s="1">
        <v>3.04</v>
      </c>
      <c r="T167" s="1">
        <v>12.02</v>
      </c>
      <c r="U167" s="1">
        <v>9.9700000000000006</v>
      </c>
      <c r="V167" s="1">
        <v>10.58</v>
      </c>
      <c r="W167" s="1">
        <v>7.01</v>
      </c>
      <c r="X167" s="1">
        <v>26752.748662000002</v>
      </c>
      <c r="Y167" s="1">
        <v>31412334.606600001</v>
      </c>
      <c r="Z167" t="str">
        <f>VLOOKUP(G167,'Code Pro'!$A$2:$B$9,2,FALSE)</f>
        <v>จ.ระยอง</v>
      </c>
      <c r="AA167" s="8">
        <f t="shared" si="19"/>
        <v>48060871.948098004</v>
      </c>
      <c r="AB167" s="8">
        <f t="shared" si="20"/>
        <v>7224836.9595180005</v>
      </c>
      <c r="AC167" s="8">
        <f t="shared" si="21"/>
        <v>4397726.844924001</v>
      </c>
      <c r="AD167" s="8">
        <f t="shared" si="22"/>
        <v>754524277.25053203</v>
      </c>
      <c r="AE167" s="8">
        <f t="shared" si="23"/>
        <v>95493497.204064012</v>
      </c>
      <c r="AF167" s="8">
        <f t="shared" si="24"/>
        <v>377576261.97133201</v>
      </c>
      <c r="AG167" s="8">
        <f t="shared" si="25"/>
        <v>313180976.02780205</v>
      </c>
      <c r="AH167" s="8">
        <f t="shared" si="26"/>
        <v>332342500.13782799</v>
      </c>
      <c r="AI167" s="8">
        <f t="shared" si="27"/>
        <v>220200465.59226599</v>
      </c>
    </row>
    <row r="168" spans="1:35" x14ac:dyDescent="0.55000000000000004">
      <c r="A168" s="1">
        <v>166</v>
      </c>
      <c r="B168" s="1" t="s">
        <v>20</v>
      </c>
      <c r="C168" s="1">
        <v>13</v>
      </c>
      <c r="D168" s="1">
        <v>1</v>
      </c>
      <c r="E168" s="1" t="s">
        <v>43</v>
      </c>
      <c r="F168" s="1" t="s">
        <v>44</v>
      </c>
      <c r="G168" s="1">
        <v>21</v>
      </c>
      <c r="H168" s="1">
        <v>2</v>
      </c>
      <c r="I168" s="1">
        <v>21010000</v>
      </c>
      <c r="J168" s="1">
        <v>291</v>
      </c>
      <c r="K168" s="1">
        <v>0</v>
      </c>
      <c r="L168" s="1">
        <v>12782</v>
      </c>
      <c r="M168" s="1">
        <v>12.717560000000001</v>
      </c>
      <c r="N168" s="1">
        <v>101.189285</v>
      </c>
      <c r="O168" s="1">
        <v>0.15</v>
      </c>
      <c r="P168" s="1">
        <v>3.69</v>
      </c>
      <c r="Q168" s="1">
        <v>2.58</v>
      </c>
      <c r="R168" s="1">
        <v>7.7</v>
      </c>
      <c r="S168" s="1">
        <v>74.230002999999996</v>
      </c>
      <c r="T168" s="1">
        <v>26.700001</v>
      </c>
      <c r="U168" s="1">
        <v>16.18</v>
      </c>
      <c r="V168" s="1">
        <v>39.130001</v>
      </c>
      <c r="W168" s="1">
        <v>4.7</v>
      </c>
      <c r="X168" s="1">
        <v>36085.629402999999</v>
      </c>
      <c r="Y168" s="1">
        <v>74666021.819999993</v>
      </c>
      <c r="Z168" t="str">
        <f>VLOOKUP(G168,'Code Pro'!$A$2:$B$9,2,FALSE)</f>
        <v>จ.ระยอง</v>
      </c>
      <c r="AA168" s="8">
        <f t="shared" si="19"/>
        <v>11199903.272999998</v>
      </c>
      <c r="AB168" s="8">
        <f t="shared" si="20"/>
        <v>275517620.5158</v>
      </c>
      <c r="AC168" s="8">
        <f t="shared" si="21"/>
        <v>192638336.2956</v>
      </c>
      <c r="AD168" s="8">
        <f t="shared" si="22"/>
        <v>574928368.01399994</v>
      </c>
      <c r="AE168" s="8">
        <f t="shared" si="23"/>
        <v>5542459023.6966648</v>
      </c>
      <c r="AF168" s="8">
        <f t="shared" si="24"/>
        <v>1993582857.2600217</v>
      </c>
      <c r="AG168" s="8">
        <f t="shared" si="25"/>
        <v>1208096233.0475998</v>
      </c>
      <c r="AH168" s="8">
        <f t="shared" si="26"/>
        <v>2921681508.4826217</v>
      </c>
      <c r="AI168" s="8">
        <f t="shared" si="27"/>
        <v>350930302.55399996</v>
      </c>
    </row>
    <row r="169" spans="1:35" x14ac:dyDescent="0.55000000000000004">
      <c r="A169" s="1">
        <v>167</v>
      </c>
      <c r="B169" s="1" t="s">
        <v>20</v>
      </c>
      <c r="C169" s="1">
        <v>13</v>
      </c>
      <c r="D169" s="1">
        <v>1</v>
      </c>
      <c r="E169" s="1" t="s">
        <v>43</v>
      </c>
      <c r="F169" s="1" t="s">
        <v>44</v>
      </c>
      <c r="G169" s="1">
        <v>21</v>
      </c>
      <c r="H169" s="1">
        <v>2</v>
      </c>
      <c r="I169" s="1">
        <v>21010000</v>
      </c>
      <c r="J169" s="1">
        <v>295</v>
      </c>
      <c r="K169" s="1">
        <v>0</v>
      </c>
      <c r="L169" s="1">
        <v>13026</v>
      </c>
      <c r="M169" s="1">
        <v>12.8797</v>
      </c>
      <c r="N169" s="1">
        <v>101.52182999999999</v>
      </c>
      <c r="O169" s="1">
        <v>9.2899999999999991</v>
      </c>
      <c r="P169" s="1">
        <v>7.0000000000000007E-2</v>
      </c>
      <c r="Q169" s="1">
        <v>0.38</v>
      </c>
      <c r="R169" s="1">
        <v>9.0500000000000007</v>
      </c>
      <c r="S169" s="1">
        <v>4.29</v>
      </c>
      <c r="T169" s="1">
        <v>11.61</v>
      </c>
      <c r="U169" s="1">
        <v>26.799999</v>
      </c>
      <c r="V169" s="1">
        <v>6.42</v>
      </c>
      <c r="W169" s="1">
        <v>0.57999999999999996</v>
      </c>
      <c r="X169" s="1">
        <v>12128.370476</v>
      </c>
      <c r="Y169" s="1">
        <v>8286214.0802199999</v>
      </c>
      <c r="Z169" t="str">
        <f>VLOOKUP(G169,'Code Pro'!$A$2:$B$9,2,FALSE)</f>
        <v>จ.ระยอง</v>
      </c>
      <c r="AA169" s="8">
        <f t="shared" si="19"/>
        <v>76978928.80524379</v>
      </c>
      <c r="AB169" s="8">
        <f t="shared" si="20"/>
        <v>580034.98561540002</v>
      </c>
      <c r="AC169" s="8">
        <f t="shared" si="21"/>
        <v>3148761.3504836001</v>
      </c>
      <c r="AD169" s="8">
        <f t="shared" si="22"/>
        <v>74990237.425990999</v>
      </c>
      <c r="AE169" s="8">
        <f t="shared" si="23"/>
        <v>35547858.404143803</v>
      </c>
      <c r="AF169" s="8">
        <f t="shared" si="24"/>
        <v>96202945.471354187</v>
      </c>
      <c r="AG169" s="8">
        <f t="shared" si="25"/>
        <v>222070529.0636819</v>
      </c>
      <c r="AH169" s="8">
        <f t="shared" si="26"/>
        <v>53197494.395012401</v>
      </c>
      <c r="AI169" s="8">
        <f t="shared" si="27"/>
        <v>4806004.1665276</v>
      </c>
    </row>
    <row r="170" spans="1:35" x14ac:dyDescent="0.55000000000000004">
      <c r="A170" s="1">
        <v>168</v>
      </c>
      <c r="B170" s="1" t="s">
        <v>20</v>
      </c>
      <c r="C170" s="1">
        <v>14</v>
      </c>
      <c r="D170" s="1">
        <v>2</v>
      </c>
      <c r="E170" s="1" t="s">
        <v>45</v>
      </c>
      <c r="F170" s="1" t="s">
        <v>46</v>
      </c>
      <c r="G170" s="1">
        <v>21</v>
      </c>
      <c r="H170" s="1">
        <v>2</v>
      </c>
      <c r="I170" s="1">
        <v>21020000</v>
      </c>
      <c r="J170" s="1">
        <v>187</v>
      </c>
      <c r="K170" s="1">
        <v>0</v>
      </c>
      <c r="L170" s="1">
        <v>12660</v>
      </c>
      <c r="M170" s="1">
        <v>12.636443999999999</v>
      </c>
      <c r="N170" s="1">
        <v>101.02302</v>
      </c>
      <c r="O170" s="1">
        <v>7.0000000000000007E-2</v>
      </c>
      <c r="P170" s="1">
        <v>0.2</v>
      </c>
      <c r="Q170" s="1">
        <v>0.7</v>
      </c>
      <c r="R170" s="1">
        <v>0.01</v>
      </c>
      <c r="S170" s="1">
        <v>2.78</v>
      </c>
      <c r="T170" s="1">
        <v>22.83</v>
      </c>
      <c r="U170" s="1">
        <v>24.77</v>
      </c>
      <c r="V170" s="1">
        <v>8.5</v>
      </c>
      <c r="W170" s="1">
        <v>5.24</v>
      </c>
      <c r="X170" s="1">
        <v>19097.801855999998</v>
      </c>
      <c r="Y170" s="1">
        <v>11584432.7731</v>
      </c>
      <c r="Z170" t="str">
        <f>VLOOKUP(G170,'Code Pro'!$A$2:$B$9,2,FALSE)</f>
        <v>จ.ระยอง</v>
      </c>
      <c r="AA170" s="8">
        <f t="shared" si="19"/>
        <v>810910.29411700007</v>
      </c>
      <c r="AB170" s="8">
        <f t="shared" si="20"/>
        <v>2316886.5546200001</v>
      </c>
      <c r="AC170" s="8">
        <f t="shared" si="21"/>
        <v>8109102.9411699995</v>
      </c>
      <c r="AD170" s="8">
        <f t="shared" si="22"/>
        <v>115844.327731</v>
      </c>
      <c r="AE170" s="8">
        <f t="shared" si="23"/>
        <v>32204723.109217998</v>
      </c>
      <c r="AF170" s="8">
        <f t="shared" si="24"/>
        <v>264472600.20987299</v>
      </c>
      <c r="AG170" s="8">
        <f t="shared" si="25"/>
        <v>286946399.78968698</v>
      </c>
      <c r="AH170" s="8">
        <f t="shared" si="26"/>
        <v>98467678.571349993</v>
      </c>
      <c r="AI170" s="8">
        <f t="shared" si="27"/>
        <v>60702427.731044002</v>
      </c>
    </row>
    <row r="171" spans="1:35" x14ac:dyDescent="0.55000000000000004">
      <c r="A171" s="1">
        <v>169</v>
      </c>
      <c r="B171" s="1" t="s">
        <v>20</v>
      </c>
      <c r="C171" s="1">
        <v>14</v>
      </c>
      <c r="D171" s="1">
        <v>2</v>
      </c>
      <c r="E171" s="1" t="s">
        <v>45</v>
      </c>
      <c r="F171" s="1" t="s">
        <v>46</v>
      </c>
      <c r="G171" s="1">
        <v>21</v>
      </c>
      <c r="H171" s="1">
        <v>2</v>
      </c>
      <c r="I171" s="1">
        <v>21020000</v>
      </c>
      <c r="J171" s="1">
        <v>209</v>
      </c>
      <c r="K171" s="1">
        <v>0</v>
      </c>
      <c r="L171" s="1">
        <v>12780</v>
      </c>
      <c r="M171" s="1">
        <v>12.717560000000001</v>
      </c>
      <c r="N171" s="1">
        <v>101.02302</v>
      </c>
      <c r="O171" s="1">
        <v>0.01</v>
      </c>
      <c r="P171" s="1">
        <v>4.8099999999999996</v>
      </c>
      <c r="Q171" s="1">
        <v>0.08</v>
      </c>
      <c r="R171" s="1">
        <v>1.99</v>
      </c>
      <c r="S171" s="1">
        <v>0.28000000000000003</v>
      </c>
      <c r="T171" s="1">
        <v>18.540001</v>
      </c>
      <c r="U171" s="1">
        <v>5.3</v>
      </c>
      <c r="V171" s="1">
        <v>12.78</v>
      </c>
      <c r="W171" s="1">
        <v>4.1500000000000004</v>
      </c>
      <c r="X171" s="1">
        <v>34149.722865999996</v>
      </c>
      <c r="Y171" s="1">
        <v>67223680.545000002</v>
      </c>
      <c r="Z171" t="str">
        <f>VLOOKUP(G171,'Code Pro'!$A$2:$B$9,2,FALSE)</f>
        <v>จ.ระยอง</v>
      </c>
      <c r="AA171" s="8">
        <f t="shared" si="19"/>
        <v>672236.80544999999</v>
      </c>
      <c r="AB171" s="8">
        <f t="shared" si="20"/>
        <v>323345903.42144996</v>
      </c>
      <c r="AC171" s="8">
        <f t="shared" si="21"/>
        <v>5377894.4435999999</v>
      </c>
      <c r="AD171" s="8">
        <f t="shared" si="22"/>
        <v>133775124.28455</v>
      </c>
      <c r="AE171" s="8">
        <f t="shared" si="23"/>
        <v>18822630.552600004</v>
      </c>
      <c r="AF171" s="8">
        <f t="shared" si="24"/>
        <v>1246327104.5279806</v>
      </c>
      <c r="AG171" s="8">
        <f t="shared" si="25"/>
        <v>356285506.88849998</v>
      </c>
      <c r="AH171" s="8">
        <f t="shared" si="26"/>
        <v>859118637.36510003</v>
      </c>
      <c r="AI171" s="8">
        <f t="shared" si="27"/>
        <v>278978274.26175004</v>
      </c>
    </row>
    <row r="172" spans="1:35" x14ac:dyDescent="0.55000000000000004">
      <c r="A172" s="1">
        <v>170</v>
      </c>
      <c r="B172" s="1" t="s">
        <v>20</v>
      </c>
      <c r="C172" s="1">
        <v>14</v>
      </c>
      <c r="D172" s="1">
        <v>2</v>
      </c>
      <c r="E172" s="1" t="s">
        <v>45</v>
      </c>
      <c r="F172" s="1" t="s">
        <v>46</v>
      </c>
      <c r="G172" s="1">
        <v>21</v>
      </c>
      <c r="H172" s="1">
        <v>2</v>
      </c>
      <c r="I172" s="1">
        <v>21020000</v>
      </c>
      <c r="J172" s="1">
        <v>211</v>
      </c>
      <c r="K172" s="1">
        <v>0</v>
      </c>
      <c r="L172" s="1">
        <v>12901</v>
      </c>
      <c r="M172" s="1">
        <v>12.798636999999999</v>
      </c>
      <c r="N172" s="1">
        <v>101.10615</v>
      </c>
      <c r="O172" s="1">
        <v>0.01</v>
      </c>
      <c r="P172" s="1">
        <v>0.1</v>
      </c>
      <c r="Q172" s="1">
        <v>0</v>
      </c>
      <c r="R172" s="1">
        <v>0.05</v>
      </c>
      <c r="S172" s="1">
        <v>5.25</v>
      </c>
      <c r="T172" s="1">
        <v>13.88</v>
      </c>
      <c r="U172" s="1">
        <v>7.12</v>
      </c>
      <c r="V172" s="1">
        <v>22.43</v>
      </c>
      <c r="W172" s="1">
        <v>0.99</v>
      </c>
      <c r="X172" s="1">
        <v>20696.971968999998</v>
      </c>
      <c r="Y172" s="1">
        <v>18166314.572000001</v>
      </c>
      <c r="Z172" t="str">
        <f>VLOOKUP(G172,'Code Pro'!$A$2:$B$9,2,FALSE)</f>
        <v>จ.ระยอง</v>
      </c>
      <c r="AA172" s="8">
        <f t="shared" si="19"/>
        <v>181663.14572</v>
      </c>
      <c r="AB172" s="8">
        <f t="shared" si="20"/>
        <v>1816631.4572000001</v>
      </c>
      <c r="AC172" s="8">
        <f t="shared" si="21"/>
        <v>0</v>
      </c>
      <c r="AD172" s="8">
        <f t="shared" si="22"/>
        <v>908315.72860000003</v>
      </c>
      <c r="AE172" s="8">
        <f t="shared" si="23"/>
        <v>95373151.503000006</v>
      </c>
      <c r="AF172" s="8">
        <f t="shared" si="24"/>
        <v>252148446.25936002</v>
      </c>
      <c r="AG172" s="8">
        <f t="shared" si="25"/>
        <v>129344159.75264001</v>
      </c>
      <c r="AH172" s="8">
        <f t="shared" si="26"/>
        <v>407470435.84996003</v>
      </c>
      <c r="AI172" s="8">
        <f t="shared" si="27"/>
        <v>17984651.426279999</v>
      </c>
    </row>
    <row r="173" spans="1:35" x14ac:dyDescent="0.55000000000000004">
      <c r="A173" s="1">
        <v>171</v>
      </c>
      <c r="B173" s="1" t="s">
        <v>20</v>
      </c>
      <c r="C173" s="1">
        <v>14</v>
      </c>
      <c r="D173" s="1">
        <v>2</v>
      </c>
      <c r="E173" s="1" t="s">
        <v>45</v>
      </c>
      <c r="F173" s="1" t="s">
        <v>46</v>
      </c>
      <c r="G173" s="1">
        <v>21</v>
      </c>
      <c r="H173" s="1">
        <v>2</v>
      </c>
      <c r="I173" s="1">
        <v>21020000</v>
      </c>
      <c r="J173" s="1">
        <v>214</v>
      </c>
      <c r="K173" s="1">
        <v>0</v>
      </c>
      <c r="L173" s="1">
        <v>12661</v>
      </c>
      <c r="M173" s="1">
        <v>12.636443999999999</v>
      </c>
      <c r="N173" s="1">
        <v>101.10615</v>
      </c>
      <c r="O173" s="1">
        <v>0</v>
      </c>
      <c r="P173" s="1">
        <v>0.79</v>
      </c>
      <c r="Q173" s="1">
        <v>0.94</v>
      </c>
      <c r="R173" s="1">
        <v>0.01</v>
      </c>
      <c r="S173" s="1">
        <v>0.52</v>
      </c>
      <c r="T173" s="1">
        <v>13.99</v>
      </c>
      <c r="U173" s="1">
        <v>10.51</v>
      </c>
      <c r="V173" s="1">
        <v>11.41</v>
      </c>
      <c r="W173" s="1">
        <v>0.81</v>
      </c>
      <c r="X173" s="1">
        <v>7119.1432500000001</v>
      </c>
      <c r="Y173" s="1">
        <v>596677.52986500005</v>
      </c>
      <c r="Z173" t="str">
        <f>VLOOKUP(G173,'Code Pro'!$A$2:$B$9,2,FALSE)</f>
        <v>จ.ระยอง</v>
      </c>
      <c r="AA173" s="8">
        <f t="shared" si="19"/>
        <v>0</v>
      </c>
      <c r="AB173" s="8">
        <f t="shared" si="20"/>
        <v>471375.24859335006</v>
      </c>
      <c r="AC173" s="8">
        <f t="shared" si="21"/>
        <v>560876.8780731</v>
      </c>
      <c r="AD173" s="8">
        <f t="shared" si="22"/>
        <v>5966.7752986500009</v>
      </c>
      <c r="AE173" s="8">
        <f t="shared" si="23"/>
        <v>310272.31552980002</v>
      </c>
      <c r="AF173" s="8">
        <f t="shared" si="24"/>
        <v>8347518.6428113505</v>
      </c>
      <c r="AG173" s="8">
        <f t="shared" si="25"/>
        <v>6271080.8388811508</v>
      </c>
      <c r="AH173" s="8">
        <f t="shared" si="26"/>
        <v>6808090.6157596502</v>
      </c>
      <c r="AI173" s="8">
        <f t="shared" si="27"/>
        <v>483308.79919065005</v>
      </c>
    </row>
    <row r="174" spans="1:35" x14ac:dyDescent="0.55000000000000004">
      <c r="A174" s="1">
        <v>172</v>
      </c>
      <c r="B174" s="1" t="s">
        <v>20</v>
      </c>
      <c r="C174" s="1">
        <v>14</v>
      </c>
      <c r="D174" s="1">
        <v>2</v>
      </c>
      <c r="E174" s="1" t="s">
        <v>45</v>
      </c>
      <c r="F174" s="1" t="s">
        <v>46</v>
      </c>
      <c r="G174" s="1">
        <v>21</v>
      </c>
      <c r="H174" s="1">
        <v>2</v>
      </c>
      <c r="I174" s="1">
        <v>21020000</v>
      </c>
      <c r="J174" s="1">
        <v>215</v>
      </c>
      <c r="K174" s="1">
        <v>0</v>
      </c>
      <c r="L174" s="1">
        <v>12781</v>
      </c>
      <c r="M174" s="1">
        <v>12.717560000000001</v>
      </c>
      <c r="N174" s="1">
        <v>101.10615</v>
      </c>
      <c r="O174" s="1">
        <v>0.77</v>
      </c>
      <c r="P174" s="1">
        <v>0.48</v>
      </c>
      <c r="Q174" s="1">
        <v>0.02</v>
      </c>
      <c r="R174" s="1">
        <v>2.78</v>
      </c>
      <c r="S174" s="1">
        <v>27.65</v>
      </c>
      <c r="T174" s="1">
        <v>12.42</v>
      </c>
      <c r="U174" s="1">
        <v>8.75</v>
      </c>
      <c r="V174" s="1">
        <v>24.299999</v>
      </c>
      <c r="W174" s="1">
        <v>6.02</v>
      </c>
      <c r="X174" s="1">
        <v>25595.609454000001</v>
      </c>
      <c r="Y174" s="1">
        <v>34494509.802000001</v>
      </c>
      <c r="Z174" t="str">
        <f>VLOOKUP(G174,'Code Pro'!$A$2:$B$9,2,FALSE)</f>
        <v>จ.ระยอง</v>
      </c>
      <c r="AA174" s="8">
        <f t="shared" si="19"/>
        <v>26560772.547540002</v>
      </c>
      <c r="AB174" s="8">
        <f t="shared" si="20"/>
        <v>16557364.70496</v>
      </c>
      <c r="AC174" s="8">
        <f t="shared" si="21"/>
        <v>689890.19604000007</v>
      </c>
      <c r="AD174" s="8">
        <f t="shared" si="22"/>
        <v>95894737.249559999</v>
      </c>
      <c r="AE174" s="8">
        <f t="shared" si="23"/>
        <v>953773196.02530003</v>
      </c>
      <c r="AF174" s="8">
        <f t="shared" si="24"/>
        <v>428421811.74084002</v>
      </c>
      <c r="AG174" s="8">
        <f t="shared" si="25"/>
        <v>301826960.76749998</v>
      </c>
      <c r="AH174" s="8">
        <f t="shared" si="26"/>
        <v>838216553.69409025</v>
      </c>
      <c r="AI174" s="8">
        <f t="shared" si="27"/>
        <v>207656949.00803998</v>
      </c>
    </row>
    <row r="175" spans="1:35" x14ac:dyDescent="0.55000000000000004">
      <c r="A175" s="1">
        <v>173</v>
      </c>
      <c r="B175" s="1" t="s">
        <v>20</v>
      </c>
      <c r="C175" s="1">
        <v>14</v>
      </c>
      <c r="D175" s="1">
        <v>2</v>
      </c>
      <c r="E175" s="1" t="s">
        <v>45</v>
      </c>
      <c r="F175" s="1" t="s">
        <v>46</v>
      </c>
      <c r="G175" s="1">
        <v>21</v>
      </c>
      <c r="H175" s="1">
        <v>2</v>
      </c>
      <c r="I175" s="1">
        <v>21020000</v>
      </c>
      <c r="J175" s="1">
        <v>218</v>
      </c>
      <c r="K175" s="1">
        <v>0</v>
      </c>
      <c r="L175" s="1">
        <v>12900</v>
      </c>
      <c r="M175" s="1">
        <v>12.798636999999999</v>
      </c>
      <c r="N175" s="1">
        <v>101.02302</v>
      </c>
      <c r="O175" s="1">
        <v>0</v>
      </c>
      <c r="P175" s="1">
        <v>7.98</v>
      </c>
      <c r="Q175" s="1">
        <v>0.14000000000000001</v>
      </c>
      <c r="R175" s="1">
        <v>0.01</v>
      </c>
      <c r="S175" s="1">
        <v>1.87</v>
      </c>
      <c r="T175" s="1">
        <v>88.580001999999993</v>
      </c>
      <c r="U175" s="1">
        <v>14.2</v>
      </c>
      <c r="V175" s="1">
        <v>21.92</v>
      </c>
      <c r="W175" s="1">
        <v>7.95</v>
      </c>
      <c r="X175" s="1">
        <v>23602.770562999998</v>
      </c>
      <c r="Y175" s="1">
        <v>31186814.270799998</v>
      </c>
      <c r="Z175" t="str">
        <f>VLOOKUP(G175,'Code Pro'!$A$2:$B$9,2,FALSE)</f>
        <v>จ.ระยอง</v>
      </c>
      <c r="AA175" s="8">
        <f t="shared" si="19"/>
        <v>0</v>
      </c>
      <c r="AB175" s="8">
        <f t="shared" si="20"/>
        <v>248870777.88098401</v>
      </c>
      <c r="AC175" s="8">
        <f t="shared" si="21"/>
        <v>4366153.9979119999</v>
      </c>
      <c r="AD175" s="8">
        <f t="shared" si="22"/>
        <v>311868.14270799997</v>
      </c>
      <c r="AE175" s="8">
        <f t="shared" si="23"/>
        <v>58319342.686396003</v>
      </c>
      <c r="AF175" s="8">
        <f t="shared" si="24"/>
        <v>2762528070.481092</v>
      </c>
      <c r="AG175" s="8">
        <f t="shared" si="25"/>
        <v>442852762.64535993</v>
      </c>
      <c r="AH175" s="8">
        <f t="shared" si="26"/>
        <v>683614968.81593597</v>
      </c>
      <c r="AI175" s="8">
        <f t="shared" si="27"/>
        <v>247935173.45286</v>
      </c>
    </row>
    <row r="176" spans="1:35" x14ac:dyDescent="0.55000000000000004">
      <c r="A176" s="1">
        <v>174</v>
      </c>
      <c r="B176" s="1" t="s">
        <v>20</v>
      </c>
      <c r="C176" s="1">
        <v>15</v>
      </c>
      <c r="D176" s="1">
        <v>3</v>
      </c>
      <c r="E176" s="1" t="s">
        <v>47</v>
      </c>
      <c r="F176" s="1" t="s">
        <v>48</v>
      </c>
      <c r="G176" s="1">
        <v>21</v>
      </c>
      <c r="H176" s="1">
        <v>2</v>
      </c>
      <c r="I176" s="1">
        <v>21030000</v>
      </c>
      <c r="J176" s="1">
        <v>259</v>
      </c>
      <c r="K176" s="1">
        <v>0</v>
      </c>
      <c r="L176" s="1">
        <v>12546</v>
      </c>
      <c r="M176" s="1">
        <v>12.555313</v>
      </c>
      <c r="N176" s="1">
        <v>101.52182999999999</v>
      </c>
      <c r="O176" s="1">
        <v>0.09</v>
      </c>
      <c r="P176" s="1">
        <v>0.04</v>
      </c>
      <c r="Q176" s="1">
        <v>4.55</v>
      </c>
      <c r="R176" s="1">
        <v>5.49</v>
      </c>
      <c r="S176" s="1">
        <v>2.5499999999999998</v>
      </c>
      <c r="T176" s="1">
        <v>6.85</v>
      </c>
      <c r="U176" s="1">
        <v>3.06</v>
      </c>
      <c r="V176" s="1">
        <v>4.1900000000000004</v>
      </c>
      <c r="W176" s="1">
        <v>9.56</v>
      </c>
      <c r="X176" s="1">
        <v>1157.1197529999999</v>
      </c>
      <c r="Y176" s="1">
        <v>70890.164772000004</v>
      </c>
      <c r="Z176" t="str">
        <f>VLOOKUP(G176,'Code Pro'!$A$2:$B$9,2,FALSE)</f>
        <v>จ.ระยอง</v>
      </c>
      <c r="AA176" s="8">
        <f t="shared" si="19"/>
        <v>6380.1148294800005</v>
      </c>
      <c r="AB176" s="8">
        <f t="shared" si="20"/>
        <v>2835.6065908800001</v>
      </c>
      <c r="AC176" s="8">
        <f t="shared" si="21"/>
        <v>322550.24971260002</v>
      </c>
      <c r="AD176" s="8">
        <f t="shared" si="22"/>
        <v>389187.00459828001</v>
      </c>
      <c r="AE176" s="8">
        <f t="shared" si="23"/>
        <v>180769.92016859999</v>
      </c>
      <c r="AF176" s="8">
        <f t="shared" si="24"/>
        <v>485597.62868820003</v>
      </c>
      <c r="AG176" s="8">
        <f t="shared" si="25"/>
        <v>216923.90420232</v>
      </c>
      <c r="AH176" s="8">
        <f t="shared" si="26"/>
        <v>297029.79039468005</v>
      </c>
      <c r="AI176" s="8">
        <f t="shared" si="27"/>
        <v>677709.97522032005</v>
      </c>
    </row>
    <row r="177" spans="1:35" x14ac:dyDescent="0.55000000000000004">
      <c r="A177" s="1">
        <v>175</v>
      </c>
      <c r="B177" s="1" t="s">
        <v>20</v>
      </c>
      <c r="C177" s="1">
        <v>15</v>
      </c>
      <c r="D177" s="1">
        <v>3</v>
      </c>
      <c r="E177" s="1" t="s">
        <v>47</v>
      </c>
      <c r="F177" s="1" t="s">
        <v>48</v>
      </c>
      <c r="G177" s="1">
        <v>21</v>
      </c>
      <c r="H177" s="1">
        <v>2</v>
      </c>
      <c r="I177" s="1">
        <v>21030000</v>
      </c>
      <c r="J177" s="1">
        <v>260</v>
      </c>
      <c r="K177" s="1">
        <v>0</v>
      </c>
      <c r="L177" s="1">
        <v>12667</v>
      </c>
      <c r="M177" s="1">
        <v>12.636443999999999</v>
      </c>
      <c r="N177" s="1">
        <v>101.60496500000001</v>
      </c>
      <c r="O177" s="1">
        <v>0.98</v>
      </c>
      <c r="P177" s="1">
        <v>0.03</v>
      </c>
      <c r="Q177" s="1">
        <v>0.68</v>
      </c>
      <c r="R177" s="1">
        <v>2.84</v>
      </c>
      <c r="S177" s="1">
        <v>0.96</v>
      </c>
      <c r="T177" s="1">
        <v>63.93</v>
      </c>
      <c r="U177" s="1">
        <v>2.09</v>
      </c>
      <c r="V177" s="1">
        <v>3.2</v>
      </c>
      <c r="W177" s="1">
        <v>2.5499999999999998</v>
      </c>
      <c r="X177" s="1">
        <v>29588.097530999999</v>
      </c>
      <c r="Y177" s="1">
        <v>28000835.735199999</v>
      </c>
      <c r="Z177" t="str">
        <f>VLOOKUP(G177,'Code Pro'!$A$2:$B$9,2,FALSE)</f>
        <v>จ.ระยอง</v>
      </c>
      <c r="AA177" s="8">
        <f t="shared" si="19"/>
        <v>27440819.020496</v>
      </c>
      <c r="AB177" s="8">
        <f t="shared" si="20"/>
        <v>840025.07205599989</v>
      </c>
      <c r="AC177" s="8">
        <f t="shared" si="21"/>
        <v>19040568.299936</v>
      </c>
      <c r="AD177" s="8">
        <f t="shared" si="22"/>
        <v>79522373.487967998</v>
      </c>
      <c r="AE177" s="8">
        <f t="shared" si="23"/>
        <v>26880802.305791996</v>
      </c>
      <c r="AF177" s="8">
        <f t="shared" si="24"/>
        <v>1790093428.5513361</v>
      </c>
      <c r="AG177" s="8">
        <f t="shared" si="25"/>
        <v>58521746.686567992</v>
      </c>
      <c r="AH177" s="8">
        <f t="shared" si="26"/>
        <v>89602674.352640003</v>
      </c>
      <c r="AI177" s="8">
        <f t="shared" si="27"/>
        <v>71402131.124759987</v>
      </c>
    </row>
    <row r="178" spans="1:35" x14ac:dyDescent="0.55000000000000004">
      <c r="A178" s="1">
        <v>176</v>
      </c>
      <c r="B178" s="1" t="s">
        <v>20</v>
      </c>
      <c r="C178" s="1">
        <v>15</v>
      </c>
      <c r="D178" s="1">
        <v>3</v>
      </c>
      <c r="E178" s="1" t="s">
        <v>47</v>
      </c>
      <c r="F178" s="1" t="s">
        <v>48</v>
      </c>
      <c r="G178" s="1">
        <v>21</v>
      </c>
      <c r="H178" s="1">
        <v>2</v>
      </c>
      <c r="I178" s="1">
        <v>21030000</v>
      </c>
      <c r="J178" s="1">
        <v>261</v>
      </c>
      <c r="K178" s="1">
        <v>0</v>
      </c>
      <c r="L178" s="1">
        <v>12666</v>
      </c>
      <c r="M178" s="1">
        <v>12.636443999999999</v>
      </c>
      <c r="N178" s="1">
        <v>101.52182999999999</v>
      </c>
      <c r="O178" s="1">
        <v>0.01</v>
      </c>
      <c r="P178" s="1">
        <v>1.7</v>
      </c>
      <c r="Q178" s="1">
        <v>0.43</v>
      </c>
      <c r="R178" s="1">
        <v>1.97</v>
      </c>
      <c r="S178" s="1">
        <v>4.09</v>
      </c>
      <c r="T178" s="1">
        <v>49.369999</v>
      </c>
      <c r="U178" s="1">
        <v>8.17</v>
      </c>
      <c r="V178" s="1">
        <v>23.860001</v>
      </c>
      <c r="W178" s="1">
        <v>13.09</v>
      </c>
      <c r="X178" s="1">
        <v>22316.220713999999</v>
      </c>
      <c r="Y178" s="1">
        <v>26956171.109499998</v>
      </c>
      <c r="Z178" t="str">
        <f>VLOOKUP(G178,'Code Pro'!$A$2:$B$9,2,FALSE)</f>
        <v>จ.ระยอง</v>
      </c>
      <c r="AA178" s="8">
        <f t="shared" si="19"/>
        <v>269561.71109499998</v>
      </c>
      <c r="AB178" s="8">
        <f t="shared" si="20"/>
        <v>45825490.886149995</v>
      </c>
      <c r="AC178" s="8">
        <f t="shared" si="21"/>
        <v>11591153.577085</v>
      </c>
      <c r="AD178" s="8">
        <f t="shared" si="22"/>
        <v>53103657.085714996</v>
      </c>
      <c r="AE178" s="8">
        <f t="shared" si="23"/>
        <v>110250739.837855</v>
      </c>
      <c r="AF178" s="8">
        <f t="shared" si="24"/>
        <v>1330826140.7198439</v>
      </c>
      <c r="AG178" s="8">
        <f t="shared" si="25"/>
        <v>220231917.96461499</v>
      </c>
      <c r="AH178" s="8">
        <f t="shared" si="26"/>
        <v>643174269.62884104</v>
      </c>
      <c r="AI178" s="8">
        <f t="shared" si="27"/>
        <v>352856279.82335496</v>
      </c>
    </row>
    <row r="179" spans="1:35" x14ac:dyDescent="0.55000000000000004">
      <c r="A179" s="1">
        <v>177</v>
      </c>
      <c r="B179" s="1" t="s">
        <v>20</v>
      </c>
      <c r="C179" s="1">
        <v>15</v>
      </c>
      <c r="D179" s="1">
        <v>3</v>
      </c>
      <c r="E179" s="1" t="s">
        <v>47</v>
      </c>
      <c r="F179" s="1" t="s">
        <v>48</v>
      </c>
      <c r="G179" s="1">
        <v>21</v>
      </c>
      <c r="H179" s="1">
        <v>2</v>
      </c>
      <c r="I179" s="1">
        <v>21030000</v>
      </c>
      <c r="J179" s="1">
        <v>262</v>
      </c>
      <c r="K179" s="1">
        <v>0</v>
      </c>
      <c r="L179" s="1">
        <v>12547</v>
      </c>
      <c r="M179" s="1">
        <v>12.555313</v>
      </c>
      <c r="N179" s="1">
        <v>101.60496500000001</v>
      </c>
      <c r="O179" s="1">
        <v>0.72</v>
      </c>
      <c r="P179" s="1">
        <v>0.23</v>
      </c>
      <c r="Q179" s="1">
        <v>0.61</v>
      </c>
      <c r="R179" s="1">
        <v>6.72</v>
      </c>
      <c r="S179" s="1">
        <v>1.63</v>
      </c>
      <c r="T179" s="1">
        <v>107.360001</v>
      </c>
      <c r="U179" s="1">
        <v>6.35</v>
      </c>
      <c r="V179" s="1">
        <v>4.03</v>
      </c>
      <c r="W179" s="1">
        <v>4.82</v>
      </c>
      <c r="X179" s="1">
        <v>1275.009949</v>
      </c>
      <c r="Y179" s="1">
        <v>96311.524814999997</v>
      </c>
      <c r="Z179" t="str">
        <f>VLOOKUP(G179,'Code Pro'!$A$2:$B$9,2,FALSE)</f>
        <v>จ.ระยอง</v>
      </c>
      <c r="AA179" s="8">
        <f t="shared" si="19"/>
        <v>69344.2978668</v>
      </c>
      <c r="AB179" s="8">
        <f t="shared" si="20"/>
        <v>22151.65070745</v>
      </c>
      <c r="AC179" s="8">
        <f t="shared" si="21"/>
        <v>58750.030137149995</v>
      </c>
      <c r="AD179" s="8">
        <f t="shared" si="22"/>
        <v>647213.44675679994</v>
      </c>
      <c r="AE179" s="8">
        <f t="shared" si="23"/>
        <v>156987.78544844998</v>
      </c>
      <c r="AF179" s="8">
        <f t="shared" si="24"/>
        <v>10340005.400449924</v>
      </c>
      <c r="AG179" s="8">
        <f t="shared" si="25"/>
        <v>611578.18257524993</v>
      </c>
      <c r="AH179" s="8">
        <f t="shared" si="26"/>
        <v>388135.44500445004</v>
      </c>
      <c r="AI179" s="8">
        <f t="shared" si="27"/>
        <v>464221.54960830003</v>
      </c>
    </row>
    <row r="180" spans="1:35" x14ac:dyDescent="0.55000000000000004">
      <c r="A180" s="1">
        <v>178</v>
      </c>
      <c r="B180" s="1" t="s">
        <v>20</v>
      </c>
      <c r="C180" s="1">
        <v>15</v>
      </c>
      <c r="D180" s="1">
        <v>3</v>
      </c>
      <c r="E180" s="1" t="s">
        <v>47</v>
      </c>
      <c r="F180" s="1" t="s">
        <v>48</v>
      </c>
      <c r="G180" s="1">
        <v>21</v>
      </c>
      <c r="H180" s="1">
        <v>2</v>
      </c>
      <c r="I180" s="1">
        <v>21030000</v>
      </c>
      <c r="J180" s="1">
        <v>267</v>
      </c>
      <c r="K180" s="1">
        <v>0</v>
      </c>
      <c r="L180" s="1">
        <v>12548</v>
      </c>
      <c r="M180" s="1">
        <v>12.555313</v>
      </c>
      <c r="N180" s="1">
        <v>101.68810000000001</v>
      </c>
      <c r="O180" s="1">
        <v>0.17</v>
      </c>
      <c r="P180" s="1">
        <v>0</v>
      </c>
      <c r="Q180" s="1">
        <v>0.03</v>
      </c>
      <c r="R180" s="1">
        <v>13.31</v>
      </c>
      <c r="S180" s="1">
        <v>0.69</v>
      </c>
      <c r="T180" s="1">
        <v>2.65</v>
      </c>
      <c r="U180" s="1">
        <v>4.04</v>
      </c>
      <c r="V180" s="1">
        <v>2.35</v>
      </c>
      <c r="W180" s="1">
        <v>2.37</v>
      </c>
      <c r="X180" s="1">
        <v>1877.1625650000001</v>
      </c>
      <c r="Y180" s="1">
        <v>181739.042762</v>
      </c>
      <c r="Z180" t="str">
        <f>VLOOKUP(G180,'Code Pro'!$A$2:$B$9,2,FALSE)</f>
        <v>จ.ระยอง</v>
      </c>
      <c r="AA180" s="8">
        <f t="shared" si="19"/>
        <v>30895.637269540002</v>
      </c>
      <c r="AB180" s="8">
        <f t="shared" si="20"/>
        <v>0</v>
      </c>
      <c r="AC180" s="8">
        <f t="shared" si="21"/>
        <v>5452.1712828599993</v>
      </c>
      <c r="AD180" s="8">
        <f t="shared" si="22"/>
        <v>2418946.6591622201</v>
      </c>
      <c r="AE180" s="8">
        <f t="shared" si="23"/>
        <v>125399.93950577998</v>
      </c>
      <c r="AF180" s="8">
        <f t="shared" si="24"/>
        <v>481608.46331929998</v>
      </c>
      <c r="AG180" s="8">
        <f t="shared" si="25"/>
        <v>734225.73275848001</v>
      </c>
      <c r="AH180" s="8">
        <f t="shared" si="26"/>
        <v>427086.75049070001</v>
      </c>
      <c r="AI180" s="8">
        <f t="shared" si="27"/>
        <v>430721.53134594002</v>
      </c>
    </row>
    <row r="181" spans="1:35" x14ac:dyDescent="0.55000000000000004">
      <c r="A181" s="1">
        <v>179</v>
      </c>
      <c r="B181" s="1" t="s">
        <v>20</v>
      </c>
      <c r="C181" s="1">
        <v>15</v>
      </c>
      <c r="D181" s="1">
        <v>3</v>
      </c>
      <c r="E181" s="1" t="s">
        <v>47</v>
      </c>
      <c r="F181" s="1" t="s">
        <v>48</v>
      </c>
      <c r="G181" s="1">
        <v>21</v>
      </c>
      <c r="H181" s="1">
        <v>2</v>
      </c>
      <c r="I181" s="1">
        <v>21030000</v>
      </c>
      <c r="J181" s="1">
        <v>268</v>
      </c>
      <c r="K181" s="1">
        <v>0</v>
      </c>
      <c r="L181" s="1">
        <v>12668</v>
      </c>
      <c r="M181" s="1">
        <v>12.636443999999999</v>
      </c>
      <c r="N181" s="1">
        <v>101.68810000000001</v>
      </c>
      <c r="O181" s="1">
        <v>0.02</v>
      </c>
      <c r="P181" s="1">
        <v>0</v>
      </c>
      <c r="Q181" s="1">
        <v>0.69</v>
      </c>
      <c r="R181" s="1">
        <v>26.389999</v>
      </c>
      <c r="S181" s="1">
        <v>1.83</v>
      </c>
      <c r="T181" s="1">
        <v>38.270000000000003</v>
      </c>
      <c r="U181" s="1">
        <v>1.53</v>
      </c>
      <c r="V181" s="1">
        <v>3.69</v>
      </c>
      <c r="W181" s="1">
        <v>3.09</v>
      </c>
      <c r="X181" s="1">
        <v>16422.237892000001</v>
      </c>
      <c r="Y181" s="1">
        <v>4254767.02618</v>
      </c>
      <c r="Z181" t="str">
        <f>VLOOKUP(G181,'Code Pro'!$A$2:$B$9,2,FALSE)</f>
        <v>จ.ระยอง</v>
      </c>
      <c r="AA181" s="8">
        <f t="shared" si="19"/>
        <v>85095.340523599996</v>
      </c>
      <c r="AB181" s="8">
        <f t="shared" si="20"/>
        <v>0</v>
      </c>
      <c r="AC181" s="8">
        <f t="shared" si="21"/>
        <v>2935789.2480641999</v>
      </c>
      <c r="AD181" s="8">
        <f t="shared" si="22"/>
        <v>112283297.56612317</v>
      </c>
      <c r="AE181" s="8">
        <f t="shared" si="23"/>
        <v>7786223.6579094008</v>
      </c>
      <c r="AF181" s="8">
        <f t="shared" si="24"/>
        <v>162829934.0919086</v>
      </c>
      <c r="AG181" s="8">
        <f t="shared" si="25"/>
        <v>6509793.5500554005</v>
      </c>
      <c r="AH181" s="8">
        <f t="shared" si="26"/>
        <v>15700090.326604201</v>
      </c>
      <c r="AI181" s="8">
        <f t="shared" si="27"/>
        <v>13147230.1108962</v>
      </c>
    </row>
    <row r="182" spans="1:35" x14ac:dyDescent="0.55000000000000004">
      <c r="A182" s="1">
        <v>180</v>
      </c>
      <c r="B182" s="1" t="s">
        <v>20</v>
      </c>
      <c r="C182" s="1">
        <v>15</v>
      </c>
      <c r="D182" s="1">
        <v>3</v>
      </c>
      <c r="E182" s="1" t="s">
        <v>47</v>
      </c>
      <c r="F182" s="1" t="s">
        <v>48</v>
      </c>
      <c r="G182" s="1">
        <v>21</v>
      </c>
      <c r="H182" s="1">
        <v>2</v>
      </c>
      <c r="I182" s="1">
        <v>21030000</v>
      </c>
      <c r="J182" s="1">
        <v>283</v>
      </c>
      <c r="K182" s="1">
        <v>0</v>
      </c>
      <c r="L182" s="1">
        <v>12786</v>
      </c>
      <c r="M182" s="1">
        <v>12.717560000000001</v>
      </c>
      <c r="N182" s="1">
        <v>101.52182999999999</v>
      </c>
      <c r="O182" s="1">
        <v>0</v>
      </c>
      <c r="P182" s="1">
        <v>0.43</v>
      </c>
      <c r="Q182" s="1">
        <v>0.08</v>
      </c>
      <c r="R182" s="1">
        <v>2.19</v>
      </c>
      <c r="S182" s="1">
        <v>4.05</v>
      </c>
      <c r="T182" s="1">
        <v>6.8</v>
      </c>
      <c r="U182" s="1">
        <v>16.370000999999998</v>
      </c>
      <c r="V182" s="1">
        <v>33.830002</v>
      </c>
      <c r="W182" s="1">
        <v>9.2799999999999994</v>
      </c>
      <c r="X182" s="1">
        <v>29759.16203</v>
      </c>
      <c r="Y182" s="1">
        <v>41771590.942100003</v>
      </c>
      <c r="Z182" t="str">
        <f>VLOOKUP(G182,'Code Pro'!$A$2:$B$9,2,FALSE)</f>
        <v>จ.ระยอง</v>
      </c>
      <c r="AA182" s="8">
        <f t="shared" si="19"/>
        <v>0</v>
      </c>
      <c r="AB182" s="8">
        <f t="shared" si="20"/>
        <v>17961784.105103001</v>
      </c>
      <c r="AC182" s="8">
        <f t="shared" si="21"/>
        <v>3341727.2753680004</v>
      </c>
      <c r="AD182" s="8">
        <f t="shared" si="22"/>
        <v>91479784.163199008</v>
      </c>
      <c r="AE182" s="8">
        <f t="shared" si="23"/>
        <v>169174943.315505</v>
      </c>
      <c r="AF182" s="8">
        <f t="shared" si="24"/>
        <v>284046818.40628004</v>
      </c>
      <c r="AG182" s="8">
        <f t="shared" si="25"/>
        <v>683800985.49376798</v>
      </c>
      <c r="AH182" s="8">
        <f t="shared" si="26"/>
        <v>1413133005.1144249</v>
      </c>
      <c r="AI182" s="8">
        <f t="shared" si="27"/>
        <v>387640363.94268799</v>
      </c>
    </row>
    <row r="183" spans="1:35" x14ac:dyDescent="0.55000000000000004">
      <c r="A183" s="1">
        <v>181</v>
      </c>
      <c r="B183" s="1" t="s">
        <v>20</v>
      </c>
      <c r="C183" s="1">
        <v>15</v>
      </c>
      <c r="D183" s="1">
        <v>3</v>
      </c>
      <c r="E183" s="1" t="s">
        <v>47</v>
      </c>
      <c r="F183" s="1" t="s">
        <v>48</v>
      </c>
      <c r="G183" s="1">
        <v>21</v>
      </c>
      <c r="H183" s="1">
        <v>2</v>
      </c>
      <c r="I183" s="1">
        <v>21030000</v>
      </c>
      <c r="J183" s="1">
        <v>288</v>
      </c>
      <c r="K183" s="1">
        <v>0</v>
      </c>
      <c r="L183" s="1">
        <v>12906</v>
      </c>
      <c r="M183" s="1">
        <v>12.798636999999999</v>
      </c>
      <c r="N183" s="1">
        <v>101.52182999999999</v>
      </c>
      <c r="O183" s="1">
        <v>1.53</v>
      </c>
      <c r="P183" s="1">
        <v>0.23</v>
      </c>
      <c r="Q183" s="1">
        <v>0.14000000000000001</v>
      </c>
      <c r="R183" s="1">
        <v>24.02</v>
      </c>
      <c r="S183" s="1">
        <v>3.04</v>
      </c>
      <c r="T183" s="1">
        <v>12.02</v>
      </c>
      <c r="U183" s="1">
        <v>9.9700000000000006</v>
      </c>
      <c r="V183" s="1">
        <v>10.58</v>
      </c>
      <c r="W183" s="1">
        <v>7.01</v>
      </c>
      <c r="X183" s="1">
        <v>31702.083161999999</v>
      </c>
      <c r="Y183" s="1">
        <v>48182930.134900004</v>
      </c>
      <c r="Z183" t="str">
        <f>VLOOKUP(G183,'Code Pro'!$A$2:$B$9,2,FALSE)</f>
        <v>จ.ระยอง</v>
      </c>
      <c r="AA183" s="8">
        <f t="shared" si="19"/>
        <v>73719883.106397003</v>
      </c>
      <c r="AB183" s="8">
        <f t="shared" si="20"/>
        <v>11082073.931027001</v>
      </c>
      <c r="AC183" s="8">
        <f t="shared" si="21"/>
        <v>6745610.218886001</v>
      </c>
      <c r="AD183" s="8">
        <f t="shared" si="22"/>
        <v>1157353981.8402982</v>
      </c>
      <c r="AE183" s="8">
        <f t="shared" si="23"/>
        <v>146476107.61009601</v>
      </c>
      <c r="AF183" s="8">
        <f t="shared" si="24"/>
        <v>579158820.22149801</v>
      </c>
      <c r="AG183" s="8">
        <f t="shared" si="25"/>
        <v>480383813.44495308</v>
      </c>
      <c r="AH183" s="8">
        <f t="shared" si="26"/>
        <v>509775400.82724202</v>
      </c>
      <c r="AI183" s="8">
        <f t="shared" si="27"/>
        <v>337762340.24564904</v>
      </c>
    </row>
    <row r="184" spans="1:35" x14ac:dyDescent="0.55000000000000004">
      <c r="A184" s="1">
        <v>182</v>
      </c>
      <c r="B184" s="1" t="s">
        <v>20</v>
      </c>
      <c r="C184" s="1">
        <v>15</v>
      </c>
      <c r="D184" s="1">
        <v>3</v>
      </c>
      <c r="E184" s="1" t="s">
        <v>47</v>
      </c>
      <c r="F184" s="1" t="s">
        <v>48</v>
      </c>
      <c r="G184" s="1">
        <v>21</v>
      </c>
      <c r="H184" s="1">
        <v>2</v>
      </c>
      <c r="I184" s="1">
        <v>21030000</v>
      </c>
      <c r="J184" s="1">
        <v>292</v>
      </c>
      <c r="K184" s="1">
        <v>0</v>
      </c>
      <c r="L184" s="1">
        <v>12788</v>
      </c>
      <c r="M184" s="1">
        <v>12.717560000000001</v>
      </c>
      <c r="N184" s="1">
        <v>101.68810000000001</v>
      </c>
      <c r="O184" s="1">
        <v>4.99</v>
      </c>
      <c r="P184" s="1">
        <v>0</v>
      </c>
      <c r="Q184" s="1">
        <v>2.06</v>
      </c>
      <c r="R184" s="1">
        <v>2.4700000000000002</v>
      </c>
      <c r="S184" s="1">
        <v>1.17</v>
      </c>
      <c r="T184" s="1">
        <v>3.99</v>
      </c>
      <c r="U184" s="1">
        <v>4.47</v>
      </c>
      <c r="V184" s="1">
        <v>21.27</v>
      </c>
      <c r="W184" s="1">
        <v>5.1100000000000003</v>
      </c>
      <c r="X184" s="1">
        <v>34000.940555000001</v>
      </c>
      <c r="Y184" s="1">
        <v>67306010.512899995</v>
      </c>
      <c r="Z184" t="str">
        <f>VLOOKUP(G184,'Code Pro'!$A$2:$B$9,2,FALSE)</f>
        <v>จ.ระยอง</v>
      </c>
      <c r="AA184" s="8">
        <f t="shared" si="19"/>
        <v>335856992.45937097</v>
      </c>
      <c r="AB184" s="8">
        <f t="shared" si="20"/>
        <v>0</v>
      </c>
      <c r="AC184" s="8">
        <f t="shared" si="21"/>
        <v>138650381.65657398</v>
      </c>
      <c r="AD184" s="8">
        <f t="shared" si="22"/>
        <v>166245845.96686301</v>
      </c>
      <c r="AE184" s="8">
        <f t="shared" si="23"/>
        <v>78748032.300092995</v>
      </c>
      <c r="AF184" s="8">
        <f t="shared" si="24"/>
        <v>268550981.94647098</v>
      </c>
      <c r="AG184" s="8">
        <f t="shared" si="25"/>
        <v>300857866.99266297</v>
      </c>
      <c r="AH184" s="8">
        <f t="shared" si="26"/>
        <v>1431598843.6093829</v>
      </c>
      <c r="AI184" s="8">
        <f t="shared" si="27"/>
        <v>343933713.72091901</v>
      </c>
    </row>
    <row r="185" spans="1:35" x14ac:dyDescent="0.55000000000000004">
      <c r="A185" s="1">
        <v>183</v>
      </c>
      <c r="B185" s="1" t="s">
        <v>20</v>
      </c>
      <c r="C185" s="1">
        <v>15</v>
      </c>
      <c r="D185" s="1">
        <v>3</v>
      </c>
      <c r="E185" s="1" t="s">
        <v>47</v>
      </c>
      <c r="F185" s="1" t="s">
        <v>48</v>
      </c>
      <c r="G185" s="1">
        <v>21</v>
      </c>
      <c r="H185" s="1">
        <v>2</v>
      </c>
      <c r="I185" s="1">
        <v>21030000</v>
      </c>
      <c r="J185" s="1">
        <v>293</v>
      </c>
      <c r="K185" s="1">
        <v>0</v>
      </c>
      <c r="L185" s="1">
        <v>12787</v>
      </c>
      <c r="M185" s="1">
        <v>12.717560000000001</v>
      </c>
      <c r="N185" s="1">
        <v>101.60496500000001</v>
      </c>
      <c r="O185" s="1">
        <v>0.14000000000000001</v>
      </c>
      <c r="P185" s="1">
        <v>0</v>
      </c>
      <c r="Q185" s="1">
        <v>0.6</v>
      </c>
      <c r="R185" s="1">
        <v>0.86</v>
      </c>
      <c r="S185" s="1">
        <v>0.23</v>
      </c>
      <c r="T185" s="1">
        <v>4.9400000000000004</v>
      </c>
      <c r="U185" s="1">
        <v>6.64</v>
      </c>
      <c r="V185" s="1">
        <v>41.790000999999997</v>
      </c>
      <c r="W185" s="1">
        <v>10</v>
      </c>
      <c r="X185" s="1">
        <v>36022.293072</v>
      </c>
      <c r="Y185" s="1">
        <v>81099523.741300002</v>
      </c>
      <c r="Z185" t="str">
        <f>VLOOKUP(G185,'Code Pro'!$A$2:$B$9,2,FALSE)</f>
        <v>จ.ระยอง</v>
      </c>
      <c r="AA185" s="8">
        <f t="shared" si="19"/>
        <v>11353933.323782001</v>
      </c>
      <c r="AB185" s="8">
        <f t="shared" si="20"/>
        <v>0</v>
      </c>
      <c r="AC185" s="8">
        <f t="shared" si="21"/>
        <v>48659714.244779997</v>
      </c>
      <c r="AD185" s="8">
        <f t="shared" si="22"/>
        <v>69745590.417518005</v>
      </c>
      <c r="AE185" s="8">
        <f t="shared" si="23"/>
        <v>18652890.460499</v>
      </c>
      <c r="AF185" s="8">
        <f t="shared" si="24"/>
        <v>400631647.28202206</v>
      </c>
      <c r="AG185" s="8">
        <f t="shared" si="25"/>
        <v>538500837.64223194</v>
      </c>
      <c r="AH185" s="8">
        <f t="shared" si="26"/>
        <v>3389149178.2484508</v>
      </c>
      <c r="AI185" s="8">
        <f t="shared" si="27"/>
        <v>810995237.41299999</v>
      </c>
    </row>
    <row r="186" spans="1:35" x14ac:dyDescent="0.55000000000000004">
      <c r="A186" s="1">
        <v>184</v>
      </c>
      <c r="B186" s="1" t="s">
        <v>20</v>
      </c>
      <c r="C186" s="1">
        <v>15</v>
      </c>
      <c r="D186" s="1">
        <v>3</v>
      </c>
      <c r="E186" s="1" t="s">
        <v>47</v>
      </c>
      <c r="F186" s="1" t="s">
        <v>48</v>
      </c>
      <c r="G186" s="1">
        <v>21</v>
      </c>
      <c r="H186" s="1">
        <v>2</v>
      </c>
      <c r="I186" s="1">
        <v>21030000</v>
      </c>
      <c r="J186" s="1">
        <v>294</v>
      </c>
      <c r="K186" s="1">
        <v>0</v>
      </c>
      <c r="L186" s="1">
        <v>12909</v>
      </c>
      <c r="M186" s="1">
        <v>12.798636999999999</v>
      </c>
      <c r="N186" s="1">
        <v>101.77124000000001</v>
      </c>
      <c r="O186" s="1">
        <v>0.06</v>
      </c>
      <c r="P186" s="1">
        <v>0</v>
      </c>
      <c r="Q186" s="1">
        <v>6.43</v>
      </c>
      <c r="R186" s="1">
        <v>8.75</v>
      </c>
      <c r="S186" s="1">
        <v>3.02</v>
      </c>
      <c r="T186" s="1">
        <v>4.2</v>
      </c>
      <c r="U186" s="1">
        <v>7.26</v>
      </c>
      <c r="V186" s="1">
        <v>20.82</v>
      </c>
      <c r="W186" s="1">
        <v>0.22</v>
      </c>
      <c r="X186" s="1">
        <v>37997.935068999999</v>
      </c>
      <c r="Y186" s="1">
        <v>80561045.073500007</v>
      </c>
      <c r="Z186" t="str">
        <f>VLOOKUP(G186,'Code Pro'!$A$2:$B$9,2,FALSE)</f>
        <v>จ.ระยอง</v>
      </c>
      <c r="AA186" s="8">
        <f t="shared" si="19"/>
        <v>4833662.7044100007</v>
      </c>
      <c r="AB186" s="8">
        <f t="shared" si="20"/>
        <v>0</v>
      </c>
      <c r="AC186" s="8">
        <f t="shared" si="21"/>
        <v>518007519.82260501</v>
      </c>
      <c r="AD186" s="8">
        <f t="shared" si="22"/>
        <v>704909144.39312506</v>
      </c>
      <c r="AE186" s="8">
        <f t="shared" si="23"/>
        <v>243294356.12197003</v>
      </c>
      <c r="AF186" s="8">
        <f t="shared" si="24"/>
        <v>338356389.30870003</v>
      </c>
      <c r="AG186" s="8">
        <f t="shared" si="25"/>
        <v>584873187.23361003</v>
      </c>
      <c r="AH186" s="8">
        <f t="shared" si="26"/>
        <v>1677280958.4302702</v>
      </c>
      <c r="AI186" s="8">
        <f t="shared" si="27"/>
        <v>17723429.916170001</v>
      </c>
    </row>
    <row r="187" spans="1:35" x14ac:dyDescent="0.55000000000000004">
      <c r="A187" s="1">
        <v>185</v>
      </c>
      <c r="B187" s="1" t="s">
        <v>20</v>
      </c>
      <c r="C187" s="1">
        <v>15</v>
      </c>
      <c r="D187" s="1">
        <v>3</v>
      </c>
      <c r="E187" s="1" t="s">
        <v>47</v>
      </c>
      <c r="F187" s="1" t="s">
        <v>48</v>
      </c>
      <c r="G187" s="1">
        <v>21</v>
      </c>
      <c r="H187" s="1">
        <v>2</v>
      </c>
      <c r="I187" s="1">
        <v>21030000</v>
      </c>
      <c r="J187" s="1">
        <v>295</v>
      </c>
      <c r="K187" s="1">
        <v>0</v>
      </c>
      <c r="L187" s="1">
        <v>13026</v>
      </c>
      <c r="M187" s="1">
        <v>12.8797</v>
      </c>
      <c r="N187" s="1">
        <v>101.52182999999999</v>
      </c>
      <c r="O187" s="1">
        <v>9.2899999999999991</v>
      </c>
      <c r="P187" s="1">
        <v>7.0000000000000007E-2</v>
      </c>
      <c r="Q187" s="1">
        <v>0.38</v>
      </c>
      <c r="R187" s="1">
        <v>9.0500000000000007</v>
      </c>
      <c r="S187" s="1">
        <v>4.29</v>
      </c>
      <c r="T187" s="1">
        <v>11.61</v>
      </c>
      <c r="U187" s="1">
        <v>26.799999</v>
      </c>
      <c r="V187" s="1">
        <v>6.42</v>
      </c>
      <c r="W187" s="1">
        <v>0.57999999999999996</v>
      </c>
      <c r="X187" s="1">
        <v>8724.9145690000005</v>
      </c>
      <c r="Y187" s="1">
        <v>1781954.3211699999</v>
      </c>
      <c r="Z187" t="str">
        <f>VLOOKUP(G187,'Code Pro'!$A$2:$B$9,2,FALSE)</f>
        <v>จ.ระยอง</v>
      </c>
      <c r="AA187" s="8">
        <f t="shared" si="19"/>
        <v>16554355.643669298</v>
      </c>
      <c r="AB187" s="8">
        <f t="shared" si="20"/>
        <v>124736.8024819</v>
      </c>
      <c r="AC187" s="8">
        <f t="shared" si="21"/>
        <v>677142.64204459998</v>
      </c>
      <c r="AD187" s="8">
        <f t="shared" si="22"/>
        <v>16126686.6065885</v>
      </c>
      <c r="AE187" s="8">
        <f t="shared" si="23"/>
        <v>7644584.0378192998</v>
      </c>
      <c r="AF187" s="8">
        <f t="shared" si="24"/>
        <v>20688489.668783698</v>
      </c>
      <c r="AG187" s="8">
        <f t="shared" si="25"/>
        <v>47756374.025401674</v>
      </c>
      <c r="AH187" s="8">
        <f t="shared" si="26"/>
        <v>11440146.7419114</v>
      </c>
      <c r="AI187" s="8">
        <f t="shared" si="27"/>
        <v>1033533.5062785998</v>
      </c>
    </row>
    <row r="188" spans="1:35" x14ac:dyDescent="0.55000000000000004">
      <c r="A188" s="1">
        <v>186</v>
      </c>
      <c r="B188" s="1" t="s">
        <v>20</v>
      </c>
      <c r="C188" s="1">
        <v>15</v>
      </c>
      <c r="D188" s="1">
        <v>3</v>
      </c>
      <c r="E188" s="1" t="s">
        <v>47</v>
      </c>
      <c r="F188" s="1" t="s">
        <v>48</v>
      </c>
      <c r="G188" s="1">
        <v>21</v>
      </c>
      <c r="H188" s="1">
        <v>2</v>
      </c>
      <c r="I188" s="1">
        <v>21030000</v>
      </c>
      <c r="J188" s="1">
        <v>296</v>
      </c>
      <c r="K188" s="1">
        <v>0</v>
      </c>
      <c r="L188" s="1">
        <v>12907</v>
      </c>
      <c r="M188" s="1">
        <v>12.798636999999999</v>
      </c>
      <c r="N188" s="1">
        <v>101.60496500000001</v>
      </c>
      <c r="O188" s="1">
        <v>0.05</v>
      </c>
      <c r="P188" s="1">
        <v>0</v>
      </c>
      <c r="Q188" s="1">
        <v>2.96</v>
      </c>
      <c r="R188" s="1">
        <v>28.34</v>
      </c>
      <c r="S188" s="1">
        <v>0.27</v>
      </c>
      <c r="T188" s="1">
        <v>5.71</v>
      </c>
      <c r="U188" s="1">
        <v>12.57</v>
      </c>
      <c r="V188" s="1">
        <v>19.299999</v>
      </c>
      <c r="W188" s="1">
        <v>9.25</v>
      </c>
      <c r="X188" s="1">
        <v>36474.821539999997</v>
      </c>
      <c r="Y188" s="1">
        <v>80733932.115099996</v>
      </c>
      <c r="Z188" t="str">
        <f>VLOOKUP(G188,'Code Pro'!$A$2:$B$9,2,FALSE)</f>
        <v>จ.ระยอง</v>
      </c>
      <c r="AA188" s="8">
        <f t="shared" si="19"/>
        <v>4036696.6057549999</v>
      </c>
      <c r="AB188" s="8">
        <f t="shared" si="20"/>
        <v>0</v>
      </c>
      <c r="AC188" s="8">
        <f t="shared" si="21"/>
        <v>238972439.06069598</v>
      </c>
      <c r="AD188" s="8">
        <f t="shared" si="22"/>
        <v>2287999636.1419339</v>
      </c>
      <c r="AE188" s="8">
        <f t="shared" si="23"/>
        <v>21798161.671077002</v>
      </c>
      <c r="AF188" s="8">
        <f t="shared" si="24"/>
        <v>460990752.37722099</v>
      </c>
      <c r="AG188" s="8">
        <f t="shared" si="25"/>
        <v>1014825526.6868069</v>
      </c>
      <c r="AH188" s="8">
        <f t="shared" si="26"/>
        <v>1558164809.0874977</v>
      </c>
      <c r="AI188" s="8">
        <f t="shared" si="27"/>
        <v>746788872.06467497</v>
      </c>
    </row>
    <row r="189" spans="1:35" x14ac:dyDescent="0.55000000000000004">
      <c r="A189" s="1">
        <v>187</v>
      </c>
      <c r="B189" s="1" t="s">
        <v>20</v>
      </c>
      <c r="C189" s="1">
        <v>15</v>
      </c>
      <c r="D189" s="1">
        <v>3</v>
      </c>
      <c r="E189" s="1" t="s">
        <v>47</v>
      </c>
      <c r="F189" s="1" t="s">
        <v>48</v>
      </c>
      <c r="G189" s="1">
        <v>21</v>
      </c>
      <c r="H189" s="1">
        <v>2</v>
      </c>
      <c r="I189" s="1">
        <v>21030000</v>
      </c>
      <c r="J189" s="1">
        <v>298</v>
      </c>
      <c r="K189" s="1">
        <v>0</v>
      </c>
      <c r="L189" s="1">
        <v>12789</v>
      </c>
      <c r="M189" s="1">
        <v>12.717560000000001</v>
      </c>
      <c r="N189" s="1">
        <v>101.77124000000001</v>
      </c>
      <c r="O189" s="1">
        <v>0.03</v>
      </c>
      <c r="P189" s="1">
        <v>0.11</v>
      </c>
      <c r="Q189" s="1">
        <v>3.72</v>
      </c>
      <c r="R189" s="1">
        <v>23.68</v>
      </c>
      <c r="S189" s="1">
        <v>1.04</v>
      </c>
      <c r="T189" s="1">
        <v>6.28</v>
      </c>
      <c r="U189" s="1">
        <v>16.579999999999998</v>
      </c>
      <c r="V189" s="1">
        <v>0.37</v>
      </c>
      <c r="W189" s="1">
        <v>9.36</v>
      </c>
      <c r="X189" s="1">
        <v>33030.767524000003</v>
      </c>
      <c r="Y189" s="1">
        <v>45116019.752099998</v>
      </c>
      <c r="Z189" t="str">
        <f>VLOOKUP(G189,'Code Pro'!$A$2:$B$9,2,FALSE)</f>
        <v>จ.ระยอง</v>
      </c>
      <c r="AA189" s="8">
        <f t="shared" si="19"/>
        <v>1353480.5925629998</v>
      </c>
      <c r="AB189" s="8">
        <f t="shared" si="20"/>
        <v>4962762.172731</v>
      </c>
      <c r="AC189" s="8">
        <f t="shared" si="21"/>
        <v>167831593.47781199</v>
      </c>
      <c r="AD189" s="8">
        <f t="shared" si="22"/>
        <v>1068347347.729728</v>
      </c>
      <c r="AE189" s="8">
        <f t="shared" si="23"/>
        <v>46920660.542184003</v>
      </c>
      <c r="AF189" s="8">
        <f t="shared" si="24"/>
        <v>283328604.04318798</v>
      </c>
      <c r="AG189" s="8">
        <f t="shared" si="25"/>
        <v>748023607.48981786</v>
      </c>
      <c r="AH189" s="8">
        <f t="shared" si="26"/>
        <v>16692927.308277</v>
      </c>
      <c r="AI189" s="8">
        <f t="shared" si="27"/>
        <v>422285944.87965596</v>
      </c>
    </row>
    <row r="190" spans="1:35" x14ac:dyDescent="0.55000000000000004">
      <c r="A190" s="1">
        <v>188</v>
      </c>
      <c r="B190" s="1" t="s">
        <v>20</v>
      </c>
      <c r="C190" s="1">
        <v>15</v>
      </c>
      <c r="D190" s="1">
        <v>3</v>
      </c>
      <c r="E190" s="1" t="s">
        <v>47</v>
      </c>
      <c r="F190" s="1" t="s">
        <v>48</v>
      </c>
      <c r="G190" s="1">
        <v>21</v>
      </c>
      <c r="H190" s="1">
        <v>2</v>
      </c>
      <c r="I190" s="1">
        <v>21030000</v>
      </c>
      <c r="J190" s="1">
        <v>299</v>
      </c>
      <c r="K190" s="1">
        <v>0</v>
      </c>
      <c r="L190" s="1">
        <v>13027</v>
      </c>
      <c r="M190" s="1">
        <v>12.8797</v>
      </c>
      <c r="N190" s="1">
        <v>101.60496500000001</v>
      </c>
      <c r="O190" s="1">
        <v>7.9</v>
      </c>
      <c r="P190" s="1">
        <v>0.01</v>
      </c>
      <c r="Q190" s="1">
        <v>0.3</v>
      </c>
      <c r="R190" s="1">
        <v>20.350000000000001</v>
      </c>
      <c r="S190" s="1">
        <v>0.67</v>
      </c>
      <c r="T190" s="1">
        <v>2.0099999999999998</v>
      </c>
      <c r="U190" s="1">
        <v>17.829999999999998</v>
      </c>
      <c r="V190" s="1">
        <v>18.5</v>
      </c>
      <c r="W190" s="1">
        <v>0.77</v>
      </c>
      <c r="X190" s="1">
        <v>40112.098946999999</v>
      </c>
      <c r="Y190" s="1">
        <v>41345661.439999998</v>
      </c>
      <c r="Z190" t="str">
        <f>VLOOKUP(G190,'Code Pro'!$A$2:$B$9,2,FALSE)</f>
        <v>จ.ระยอง</v>
      </c>
      <c r="AA190" s="8">
        <f t="shared" si="19"/>
        <v>326630725.37599999</v>
      </c>
      <c r="AB190" s="8">
        <f t="shared" si="20"/>
        <v>413456.61439999996</v>
      </c>
      <c r="AC190" s="8">
        <f t="shared" si="21"/>
        <v>12403698.431999998</v>
      </c>
      <c r="AD190" s="8">
        <f t="shared" si="22"/>
        <v>841384210.30400002</v>
      </c>
      <c r="AE190" s="8">
        <f t="shared" si="23"/>
        <v>27701593.164799999</v>
      </c>
      <c r="AF190" s="8">
        <f t="shared" si="24"/>
        <v>83104779.49439998</v>
      </c>
      <c r="AG190" s="8">
        <f t="shared" si="25"/>
        <v>737193143.47519994</v>
      </c>
      <c r="AH190" s="8">
        <f t="shared" si="26"/>
        <v>764894736.63999999</v>
      </c>
      <c r="AI190" s="8">
        <f t="shared" si="27"/>
        <v>31836159.308800001</v>
      </c>
    </row>
    <row r="191" spans="1:35" x14ac:dyDescent="0.55000000000000004">
      <c r="A191" s="1">
        <v>189</v>
      </c>
      <c r="B191" s="1" t="s">
        <v>20</v>
      </c>
      <c r="C191" s="1">
        <v>15</v>
      </c>
      <c r="D191" s="1">
        <v>3</v>
      </c>
      <c r="E191" s="1" t="s">
        <v>47</v>
      </c>
      <c r="F191" s="1" t="s">
        <v>48</v>
      </c>
      <c r="G191" s="1">
        <v>21</v>
      </c>
      <c r="H191" s="1">
        <v>2</v>
      </c>
      <c r="I191" s="1">
        <v>21030000</v>
      </c>
      <c r="J191" s="1">
        <v>300</v>
      </c>
      <c r="K191" s="1">
        <v>0</v>
      </c>
      <c r="L191" s="1">
        <v>12908</v>
      </c>
      <c r="M191" s="1">
        <v>12.798636999999999</v>
      </c>
      <c r="N191" s="1">
        <v>101.68810000000001</v>
      </c>
      <c r="O191" s="1">
        <v>0.03</v>
      </c>
      <c r="P191" s="1">
        <v>0</v>
      </c>
      <c r="Q191" s="1">
        <v>0.64</v>
      </c>
      <c r="R191" s="1">
        <v>4.8499999999999996</v>
      </c>
      <c r="S191" s="1">
        <v>0.48</v>
      </c>
      <c r="T191" s="1">
        <v>5.6</v>
      </c>
      <c r="U191" s="1">
        <v>4.21</v>
      </c>
      <c r="V191" s="1">
        <v>17.459999</v>
      </c>
      <c r="W191" s="1">
        <v>4.72</v>
      </c>
      <c r="X191" s="1">
        <v>36396.316307000001</v>
      </c>
      <c r="Y191" s="1">
        <v>80935547.812000006</v>
      </c>
      <c r="Z191" t="str">
        <f>VLOOKUP(G191,'Code Pro'!$A$2:$B$9,2,FALSE)</f>
        <v>จ.ระยอง</v>
      </c>
      <c r="AA191" s="8">
        <f t="shared" si="19"/>
        <v>2428066.4343600003</v>
      </c>
      <c r="AB191" s="8">
        <f t="shared" si="20"/>
        <v>0</v>
      </c>
      <c r="AC191" s="8">
        <f t="shared" si="21"/>
        <v>51798750.599680007</v>
      </c>
      <c r="AD191" s="8">
        <f t="shared" si="22"/>
        <v>392537406.88819999</v>
      </c>
      <c r="AE191" s="8">
        <f t="shared" si="23"/>
        <v>38849062.949760005</v>
      </c>
      <c r="AF191" s="8">
        <f t="shared" si="24"/>
        <v>453239067.74720001</v>
      </c>
      <c r="AG191" s="8">
        <f t="shared" si="25"/>
        <v>340738656.28852004</v>
      </c>
      <c r="AH191" s="8">
        <f t="shared" si="26"/>
        <v>1413134583.8619723</v>
      </c>
      <c r="AI191" s="8">
        <f t="shared" si="27"/>
        <v>382015785.67264003</v>
      </c>
    </row>
    <row r="192" spans="1:35" x14ac:dyDescent="0.55000000000000004">
      <c r="A192" s="1">
        <v>190</v>
      </c>
      <c r="B192" s="1" t="s">
        <v>20</v>
      </c>
      <c r="C192" s="1">
        <v>15</v>
      </c>
      <c r="D192" s="1">
        <v>3</v>
      </c>
      <c r="E192" s="1" t="s">
        <v>47</v>
      </c>
      <c r="F192" s="1" t="s">
        <v>48</v>
      </c>
      <c r="G192" s="1">
        <v>21</v>
      </c>
      <c r="H192" s="1">
        <v>2</v>
      </c>
      <c r="I192" s="1">
        <v>21030000</v>
      </c>
      <c r="J192" s="1">
        <v>301</v>
      </c>
      <c r="K192" s="1">
        <v>0</v>
      </c>
      <c r="L192" s="1">
        <v>13147</v>
      </c>
      <c r="M192" s="1">
        <v>12.960724000000001</v>
      </c>
      <c r="N192" s="1">
        <v>101.60496500000001</v>
      </c>
      <c r="O192" s="1">
        <v>5.55</v>
      </c>
      <c r="P192" s="1">
        <v>0.01</v>
      </c>
      <c r="Q192" s="1">
        <v>0.44</v>
      </c>
      <c r="R192" s="1">
        <v>0.42</v>
      </c>
      <c r="S192" s="1">
        <v>0.87</v>
      </c>
      <c r="T192" s="1">
        <v>3.94</v>
      </c>
      <c r="U192" s="1">
        <v>20.58</v>
      </c>
      <c r="V192" s="1">
        <v>0.19</v>
      </c>
      <c r="W192" s="1">
        <v>0</v>
      </c>
      <c r="X192" s="1">
        <v>26785.187416000001</v>
      </c>
      <c r="Y192" s="1">
        <v>26660821.859200001</v>
      </c>
      <c r="Z192" t="str">
        <f>VLOOKUP(G192,'Code Pro'!$A$2:$B$9,2,FALSE)</f>
        <v>จ.ระยอง</v>
      </c>
      <c r="AA192" s="8">
        <f t="shared" si="19"/>
        <v>147967561.31856</v>
      </c>
      <c r="AB192" s="8">
        <f t="shared" si="20"/>
        <v>266608.21859200002</v>
      </c>
      <c r="AC192" s="8">
        <f t="shared" si="21"/>
        <v>11730761.618048001</v>
      </c>
      <c r="AD192" s="8">
        <f t="shared" si="22"/>
        <v>11197545.180864001</v>
      </c>
      <c r="AE192" s="8">
        <f t="shared" si="23"/>
        <v>23194915.017503999</v>
      </c>
      <c r="AF192" s="8">
        <f t="shared" si="24"/>
        <v>105043638.125248</v>
      </c>
      <c r="AG192" s="8">
        <f t="shared" si="25"/>
        <v>548679713.86233592</v>
      </c>
      <c r="AH192" s="8">
        <f t="shared" si="26"/>
        <v>5065556.153248</v>
      </c>
      <c r="AI192" s="8">
        <f t="shared" si="27"/>
        <v>0</v>
      </c>
    </row>
    <row r="193" spans="1:35" x14ac:dyDescent="0.55000000000000004">
      <c r="A193" s="1">
        <v>191</v>
      </c>
      <c r="B193" s="1" t="s">
        <v>20</v>
      </c>
      <c r="C193" s="1">
        <v>15</v>
      </c>
      <c r="D193" s="1">
        <v>3</v>
      </c>
      <c r="E193" s="1" t="s">
        <v>47</v>
      </c>
      <c r="F193" s="1" t="s">
        <v>48</v>
      </c>
      <c r="G193" s="1">
        <v>21</v>
      </c>
      <c r="H193" s="1">
        <v>2</v>
      </c>
      <c r="I193" s="1">
        <v>21030000</v>
      </c>
      <c r="J193" s="1">
        <v>305</v>
      </c>
      <c r="K193" s="1">
        <v>0</v>
      </c>
      <c r="L193" s="1">
        <v>13028</v>
      </c>
      <c r="M193" s="1">
        <v>12.8797</v>
      </c>
      <c r="N193" s="1">
        <v>101.68810000000001</v>
      </c>
      <c r="O193" s="1">
        <v>0.43</v>
      </c>
      <c r="P193" s="1">
        <v>0</v>
      </c>
      <c r="Q193" s="1">
        <v>0.06</v>
      </c>
      <c r="R193" s="1">
        <v>23.01</v>
      </c>
      <c r="S193" s="1">
        <v>1.66</v>
      </c>
      <c r="T193" s="1">
        <v>9.74</v>
      </c>
      <c r="U193" s="1">
        <v>11.37</v>
      </c>
      <c r="V193" s="1">
        <v>7.01</v>
      </c>
      <c r="W193" s="1">
        <v>0.01</v>
      </c>
      <c r="X193" s="1">
        <v>29447.919010000001</v>
      </c>
      <c r="Y193" s="1">
        <v>37267848.320699997</v>
      </c>
      <c r="Z193" t="str">
        <f>VLOOKUP(G193,'Code Pro'!$A$2:$B$9,2,FALSE)</f>
        <v>จ.ระยอง</v>
      </c>
      <c r="AA193" s="8">
        <f t="shared" si="19"/>
        <v>16025174.777900999</v>
      </c>
      <c r="AB193" s="8">
        <f t="shared" si="20"/>
        <v>0</v>
      </c>
      <c r="AC193" s="8">
        <f t="shared" si="21"/>
        <v>2236070.8992419997</v>
      </c>
      <c r="AD193" s="8">
        <f t="shared" si="22"/>
        <v>857533189.85930705</v>
      </c>
      <c r="AE193" s="8">
        <f t="shared" si="23"/>
        <v>61864628.212361991</v>
      </c>
      <c r="AF193" s="8">
        <f t="shared" si="24"/>
        <v>362988842.64361799</v>
      </c>
      <c r="AG193" s="8">
        <f t="shared" si="25"/>
        <v>423735435.40635896</v>
      </c>
      <c r="AH193" s="8">
        <f t="shared" si="26"/>
        <v>261247616.72810698</v>
      </c>
      <c r="AI193" s="8">
        <f t="shared" si="27"/>
        <v>372678.48320699995</v>
      </c>
    </row>
    <row r="194" spans="1:35" x14ac:dyDescent="0.55000000000000004">
      <c r="A194" s="1">
        <v>192</v>
      </c>
      <c r="B194" s="1" t="s">
        <v>20</v>
      </c>
      <c r="C194" s="1">
        <v>15</v>
      </c>
      <c r="D194" s="1">
        <v>3</v>
      </c>
      <c r="E194" s="1" t="s">
        <v>47</v>
      </c>
      <c r="F194" s="1" t="s">
        <v>48</v>
      </c>
      <c r="G194" s="1">
        <v>21</v>
      </c>
      <c r="H194" s="1">
        <v>2</v>
      </c>
      <c r="I194" s="1">
        <v>21030000</v>
      </c>
      <c r="J194" s="1">
        <v>308</v>
      </c>
      <c r="K194" s="1">
        <v>0</v>
      </c>
      <c r="L194" s="1">
        <v>13029</v>
      </c>
      <c r="M194" s="1">
        <v>12.8797</v>
      </c>
      <c r="N194" s="1">
        <v>101.77124000000001</v>
      </c>
      <c r="O194" s="1">
        <v>7.76</v>
      </c>
      <c r="P194" s="1">
        <v>0</v>
      </c>
      <c r="Q194" s="1">
        <v>0.36</v>
      </c>
      <c r="R194" s="1">
        <v>7.84</v>
      </c>
      <c r="S194" s="1">
        <v>4.29</v>
      </c>
      <c r="T194" s="1">
        <v>10.71</v>
      </c>
      <c r="U194" s="1">
        <v>2.85</v>
      </c>
      <c r="V194" s="1">
        <v>10.83</v>
      </c>
      <c r="W194" s="1">
        <v>0.12</v>
      </c>
      <c r="X194" s="1">
        <v>28008.580183999999</v>
      </c>
      <c r="Y194" s="1">
        <v>26689420.4342</v>
      </c>
      <c r="Z194" t="str">
        <f>VLOOKUP(G194,'Code Pro'!$A$2:$B$9,2,FALSE)</f>
        <v>จ.ระยอง</v>
      </c>
      <c r="AA194" s="8">
        <f t="shared" si="19"/>
        <v>207109902.569392</v>
      </c>
      <c r="AB194" s="8">
        <f t="shared" si="20"/>
        <v>0</v>
      </c>
      <c r="AC194" s="8">
        <f t="shared" si="21"/>
        <v>9608191.3563119993</v>
      </c>
      <c r="AD194" s="8">
        <f t="shared" si="22"/>
        <v>209245056.204128</v>
      </c>
      <c r="AE194" s="8">
        <f t="shared" si="23"/>
        <v>114497613.662718</v>
      </c>
      <c r="AF194" s="8">
        <f t="shared" si="24"/>
        <v>285843692.85028201</v>
      </c>
      <c r="AG194" s="8">
        <f t="shared" si="25"/>
        <v>76064848.237470001</v>
      </c>
      <c r="AH194" s="8">
        <f t="shared" si="26"/>
        <v>289046423.30238599</v>
      </c>
      <c r="AI194" s="8">
        <f t="shared" si="27"/>
        <v>3202730.4521039999</v>
      </c>
    </row>
    <row r="195" spans="1:35" x14ac:dyDescent="0.55000000000000004">
      <c r="A195" s="1">
        <v>193</v>
      </c>
      <c r="B195" s="1" t="s">
        <v>20</v>
      </c>
      <c r="C195" s="1">
        <v>15</v>
      </c>
      <c r="D195" s="1">
        <v>3</v>
      </c>
      <c r="E195" s="1" t="s">
        <v>47</v>
      </c>
      <c r="F195" s="1" t="s">
        <v>48</v>
      </c>
      <c r="G195" s="1">
        <v>21</v>
      </c>
      <c r="H195" s="1">
        <v>2</v>
      </c>
      <c r="I195" s="1">
        <v>21030000</v>
      </c>
      <c r="J195" s="1">
        <v>526</v>
      </c>
      <c r="K195" s="1">
        <v>0</v>
      </c>
      <c r="L195" s="1">
        <v>12790</v>
      </c>
      <c r="M195" s="1">
        <v>12.717560000000001</v>
      </c>
      <c r="N195" s="1">
        <v>101.85438000000001</v>
      </c>
      <c r="O195" s="1">
        <v>1.83</v>
      </c>
      <c r="P195" s="1">
        <v>0.06</v>
      </c>
      <c r="Q195" s="1">
        <v>2.12</v>
      </c>
      <c r="R195" s="1">
        <v>2.09</v>
      </c>
      <c r="S195" s="1">
        <v>1.32</v>
      </c>
      <c r="T195" s="1">
        <v>10.36</v>
      </c>
      <c r="U195" s="1">
        <v>59.040000999999997</v>
      </c>
      <c r="V195" s="1">
        <v>1.53</v>
      </c>
      <c r="W195" s="1">
        <v>17.260000000000002</v>
      </c>
      <c r="X195" s="1">
        <v>2712.4747480000001</v>
      </c>
      <c r="Y195" s="1">
        <v>428672.59826499998</v>
      </c>
      <c r="Z195" t="str">
        <f>VLOOKUP(G195,'Code Pro'!$A$2:$B$9,2,FALSE)</f>
        <v>จ.ระยอง</v>
      </c>
      <c r="AA195" s="8">
        <f t="shared" ref="AA195:AA258" si="28">+O195*$Y195</f>
        <v>784470.85482494999</v>
      </c>
      <c r="AB195" s="8">
        <f t="shared" ref="AB195:AB258" si="29">+P195*$Y195</f>
        <v>25720.355895899997</v>
      </c>
      <c r="AC195" s="8">
        <f t="shared" ref="AC195:AC258" si="30">+Q195*$Y195</f>
        <v>908785.90832179994</v>
      </c>
      <c r="AD195" s="8">
        <f t="shared" ref="AD195:AD258" si="31">+R195*$Y195</f>
        <v>895925.73037384986</v>
      </c>
      <c r="AE195" s="8">
        <f t="shared" ref="AE195:AE258" si="32">+S195*$Y195</f>
        <v>565847.82970979996</v>
      </c>
      <c r="AF195" s="8">
        <f t="shared" ref="AF195:AF258" si="33">+T195*$Y195</f>
        <v>4441048.1180253997</v>
      </c>
      <c r="AG195" s="8">
        <f t="shared" ref="AG195:AG258" si="34">+U195*$Y195</f>
        <v>25308830.630238194</v>
      </c>
      <c r="AH195" s="8">
        <f t="shared" ref="AH195:AH258" si="35">+V195*$Y195</f>
        <v>655869.07534544996</v>
      </c>
      <c r="AI195" s="8">
        <f t="shared" ref="AI195:AI258" si="36">+W195*$Y195</f>
        <v>7398889.0460539004</v>
      </c>
    </row>
    <row r="196" spans="1:35" x14ac:dyDescent="0.55000000000000004">
      <c r="A196" s="1">
        <v>194</v>
      </c>
      <c r="B196" s="1" t="s">
        <v>20</v>
      </c>
      <c r="C196" s="1">
        <v>15</v>
      </c>
      <c r="D196" s="1">
        <v>3</v>
      </c>
      <c r="E196" s="1" t="s">
        <v>47</v>
      </c>
      <c r="F196" s="1" t="s">
        <v>48</v>
      </c>
      <c r="G196" s="1">
        <v>21</v>
      </c>
      <c r="H196" s="1">
        <v>2</v>
      </c>
      <c r="I196" s="1">
        <v>21030000</v>
      </c>
      <c r="J196" s="1">
        <v>528</v>
      </c>
      <c r="K196" s="1">
        <v>0</v>
      </c>
      <c r="L196" s="1">
        <v>12910</v>
      </c>
      <c r="M196" s="1">
        <v>12.798636999999999</v>
      </c>
      <c r="N196" s="1">
        <v>101.85438000000001</v>
      </c>
      <c r="O196" s="1">
        <v>2.0499999999999998</v>
      </c>
      <c r="P196" s="1">
        <v>0.02</v>
      </c>
      <c r="Q196" s="1">
        <v>6.4</v>
      </c>
      <c r="R196" s="1">
        <v>0.52</v>
      </c>
      <c r="S196" s="1">
        <v>0.75</v>
      </c>
      <c r="T196" s="1">
        <v>4.1500000000000004</v>
      </c>
      <c r="U196" s="1">
        <v>14.66</v>
      </c>
      <c r="V196" s="1">
        <v>3.73</v>
      </c>
      <c r="W196" s="1">
        <v>0.67</v>
      </c>
      <c r="X196" s="1">
        <v>23469.630256</v>
      </c>
      <c r="Y196" s="1">
        <v>9984019.7448699996</v>
      </c>
      <c r="Z196" t="str">
        <f>VLOOKUP(G196,'Code Pro'!$A$2:$B$9,2,FALSE)</f>
        <v>จ.ระยอง</v>
      </c>
      <c r="AA196" s="8">
        <f t="shared" si="28"/>
        <v>20467240.476983499</v>
      </c>
      <c r="AB196" s="8">
        <f t="shared" si="29"/>
        <v>199680.39489739999</v>
      </c>
      <c r="AC196" s="8">
        <f t="shared" si="30"/>
        <v>63897726.367168002</v>
      </c>
      <c r="AD196" s="8">
        <f t="shared" si="31"/>
        <v>5191690.2673324002</v>
      </c>
      <c r="AE196" s="8">
        <f t="shared" si="32"/>
        <v>7488014.8086524997</v>
      </c>
      <c r="AF196" s="8">
        <f t="shared" si="33"/>
        <v>41433681.941210501</v>
      </c>
      <c r="AG196" s="8">
        <f t="shared" si="34"/>
        <v>146365729.45979419</v>
      </c>
      <c r="AH196" s="8">
        <f t="shared" si="35"/>
        <v>37240393.648365095</v>
      </c>
      <c r="AI196" s="8">
        <f t="shared" si="36"/>
        <v>6689293.2290628999</v>
      </c>
    </row>
    <row r="197" spans="1:35" x14ac:dyDescent="0.55000000000000004">
      <c r="A197" s="1">
        <v>195</v>
      </c>
      <c r="B197" s="1" t="s">
        <v>20</v>
      </c>
      <c r="C197" s="1">
        <v>15</v>
      </c>
      <c r="D197" s="1">
        <v>3</v>
      </c>
      <c r="E197" s="1" t="s">
        <v>47</v>
      </c>
      <c r="F197" s="1" t="s">
        <v>48</v>
      </c>
      <c r="G197" s="1">
        <v>21</v>
      </c>
      <c r="H197" s="1">
        <v>2</v>
      </c>
      <c r="I197" s="1">
        <v>21030000</v>
      </c>
      <c r="J197" s="1">
        <v>530</v>
      </c>
      <c r="K197" s="1">
        <v>0</v>
      </c>
      <c r="L197" s="1">
        <v>13030</v>
      </c>
      <c r="M197" s="1">
        <v>12.8797</v>
      </c>
      <c r="N197" s="1">
        <v>101.85438000000001</v>
      </c>
      <c r="O197" s="1">
        <v>12.93</v>
      </c>
      <c r="P197" s="1">
        <v>0</v>
      </c>
      <c r="Q197" s="1">
        <v>1.68</v>
      </c>
      <c r="R197" s="1">
        <v>3.16</v>
      </c>
      <c r="S197" s="1">
        <v>16.399999999999999</v>
      </c>
      <c r="T197" s="1">
        <v>7.56</v>
      </c>
      <c r="U197" s="1">
        <v>7.14</v>
      </c>
      <c r="V197" s="1">
        <v>2.63</v>
      </c>
      <c r="W197" s="1">
        <v>1.61</v>
      </c>
      <c r="X197" s="1">
        <v>17722.949699000001</v>
      </c>
      <c r="Y197" s="1">
        <v>6360183.8511100002</v>
      </c>
      <c r="Z197" t="str">
        <f>VLOOKUP(G197,'Code Pro'!$A$2:$B$9,2,FALSE)</f>
        <v>จ.ระยอง</v>
      </c>
      <c r="AA197" s="8">
        <f t="shared" si="28"/>
        <v>82237177.194852307</v>
      </c>
      <c r="AB197" s="8">
        <f t="shared" si="29"/>
        <v>0</v>
      </c>
      <c r="AC197" s="8">
        <f t="shared" si="30"/>
        <v>10685108.869864799</v>
      </c>
      <c r="AD197" s="8">
        <f t="shared" si="31"/>
        <v>20098180.969507601</v>
      </c>
      <c r="AE197" s="8">
        <f t="shared" si="32"/>
        <v>104307015.15820399</v>
      </c>
      <c r="AF197" s="8">
        <f t="shared" si="33"/>
        <v>48082989.9143916</v>
      </c>
      <c r="AG197" s="8">
        <f t="shared" si="34"/>
        <v>45411712.696925402</v>
      </c>
      <c r="AH197" s="8">
        <f t="shared" si="35"/>
        <v>16727283.528419299</v>
      </c>
      <c r="AI197" s="8">
        <f t="shared" si="36"/>
        <v>10239896.000287101</v>
      </c>
    </row>
    <row r="198" spans="1:35" x14ac:dyDescent="0.55000000000000004">
      <c r="A198" s="1">
        <v>196</v>
      </c>
      <c r="B198" s="1" t="s">
        <v>20</v>
      </c>
      <c r="C198" s="1">
        <v>16</v>
      </c>
      <c r="D198" s="1">
        <v>4</v>
      </c>
      <c r="E198" s="1" t="s">
        <v>49</v>
      </c>
      <c r="F198" s="1" t="s">
        <v>50</v>
      </c>
      <c r="G198" s="1">
        <v>21</v>
      </c>
      <c r="H198" s="1">
        <v>2</v>
      </c>
      <c r="I198" s="1">
        <v>21040000</v>
      </c>
      <c r="J198" s="1">
        <v>285</v>
      </c>
      <c r="K198" s="1">
        <v>0</v>
      </c>
      <c r="L198" s="1">
        <v>13145</v>
      </c>
      <c r="M198" s="1">
        <v>12.960724000000001</v>
      </c>
      <c r="N198" s="1">
        <v>101.4387</v>
      </c>
      <c r="O198" s="1">
        <v>21.27</v>
      </c>
      <c r="P198" s="1">
        <v>0.17</v>
      </c>
      <c r="Q198" s="1">
        <v>0.5</v>
      </c>
      <c r="R198" s="1">
        <v>1.47</v>
      </c>
      <c r="S198" s="1">
        <v>33.950001</v>
      </c>
      <c r="T198" s="1">
        <v>3.81</v>
      </c>
      <c r="U198" s="1">
        <v>12.43</v>
      </c>
      <c r="V198" s="1">
        <v>1.48</v>
      </c>
      <c r="W198" s="1">
        <v>0</v>
      </c>
      <c r="X198" s="1">
        <v>30180.164392999999</v>
      </c>
      <c r="Y198" s="1">
        <v>39832370.943999998</v>
      </c>
      <c r="Z198" t="str">
        <f>VLOOKUP(G198,'Code Pro'!$A$2:$B$9,2,FALSE)</f>
        <v>จ.ระยอง</v>
      </c>
      <c r="AA198" s="8">
        <f t="shared" si="28"/>
        <v>847234529.97887993</v>
      </c>
      <c r="AB198" s="8">
        <f t="shared" si="29"/>
        <v>6771503.0604800005</v>
      </c>
      <c r="AC198" s="8">
        <f t="shared" si="30"/>
        <v>19916185.471999999</v>
      </c>
      <c r="AD198" s="8">
        <f t="shared" si="31"/>
        <v>58553585.28768</v>
      </c>
      <c r="AE198" s="8">
        <f t="shared" si="32"/>
        <v>1352309033.381171</v>
      </c>
      <c r="AF198" s="8">
        <f t="shared" si="33"/>
        <v>151761333.29664001</v>
      </c>
      <c r="AG198" s="8">
        <f t="shared" si="34"/>
        <v>495116370.83391994</v>
      </c>
      <c r="AH198" s="8">
        <f t="shared" si="35"/>
        <v>58951908.99712</v>
      </c>
      <c r="AI198" s="8">
        <f t="shared" si="36"/>
        <v>0</v>
      </c>
    </row>
    <row r="199" spans="1:35" x14ac:dyDescent="0.55000000000000004">
      <c r="A199" s="1">
        <v>197</v>
      </c>
      <c r="B199" s="1" t="s">
        <v>20</v>
      </c>
      <c r="C199" s="1">
        <v>16</v>
      </c>
      <c r="D199" s="1">
        <v>4</v>
      </c>
      <c r="E199" s="1" t="s">
        <v>49</v>
      </c>
      <c r="F199" s="1" t="s">
        <v>50</v>
      </c>
      <c r="G199" s="1">
        <v>21</v>
      </c>
      <c r="H199" s="1">
        <v>2</v>
      </c>
      <c r="I199" s="1">
        <v>21040000</v>
      </c>
      <c r="J199" s="1">
        <v>287</v>
      </c>
      <c r="K199" s="1">
        <v>0</v>
      </c>
      <c r="L199" s="1">
        <v>13025</v>
      </c>
      <c r="M199" s="1">
        <v>12.8797</v>
      </c>
      <c r="N199" s="1">
        <v>101.4387</v>
      </c>
      <c r="O199" s="1">
        <v>7.54</v>
      </c>
      <c r="P199" s="1">
        <v>3.89</v>
      </c>
      <c r="Q199" s="1">
        <v>0.72</v>
      </c>
      <c r="R199" s="1">
        <v>1.35</v>
      </c>
      <c r="S199" s="1">
        <v>4.58</v>
      </c>
      <c r="T199" s="1">
        <v>11.99</v>
      </c>
      <c r="U199" s="1">
        <v>33.840000000000003</v>
      </c>
      <c r="V199" s="1">
        <v>4.0599999999999996</v>
      </c>
      <c r="W199" s="1">
        <v>4.41</v>
      </c>
      <c r="X199" s="1">
        <v>13066.194766000001</v>
      </c>
      <c r="Y199" s="1">
        <v>10132438.747500001</v>
      </c>
      <c r="Z199" t="str">
        <f>VLOOKUP(G199,'Code Pro'!$A$2:$B$9,2,FALSE)</f>
        <v>จ.ระยอง</v>
      </c>
      <c r="AA199" s="8">
        <f t="shared" si="28"/>
        <v>76398588.156149998</v>
      </c>
      <c r="AB199" s="8">
        <f t="shared" si="29"/>
        <v>39415186.727775</v>
      </c>
      <c r="AC199" s="8">
        <f t="shared" si="30"/>
        <v>7295355.8981999997</v>
      </c>
      <c r="AD199" s="8">
        <f t="shared" si="31"/>
        <v>13678792.309125002</v>
      </c>
      <c r="AE199" s="8">
        <f t="shared" si="32"/>
        <v>46406569.463550001</v>
      </c>
      <c r="AF199" s="8">
        <f t="shared" si="33"/>
        <v>121487940.58252501</v>
      </c>
      <c r="AG199" s="8">
        <f t="shared" si="34"/>
        <v>342881727.21540004</v>
      </c>
      <c r="AH199" s="8">
        <f t="shared" si="35"/>
        <v>41137701.314849995</v>
      </c>
      <c r="AI199" s="8">
        <f t="shared" si="36"/>
        <v>44684054.876475006</v>
      </c>
    </row>
    <row r="200" spans="1:35" x14ac:dyDescent="0.55000000000000004">
      <c r="A200" s="1">
        <v>198</v>
      </c>
      <c r="B200" s="1" t="s">
        <v>20</v>
      </c>
      <c r="C200" s="1">
        <v>16</v>
      </c>
      <c r="D200" s="1">
        <v>4</v>
      </c>
      <c r="E200" s="1" t="s">
        <v>49</v>
      </c>
      <c r="F200" s="1" t="s">
        <v>50</v>
      </c>
      <c r="G200" s="1">
        <v>21</v>
      </c>
      <c r="H200" s="1">
        <v>2</v>
      </c>
      <c r="I200" s="1">
        <v>21040000</v>
      </c>
      <c r="J200" s="1">
        <v>288</v>
      </c>
      <c r="K200" s="1">
        <v>0</v>
      </c>
      <c r="L200" s="1">
        <v>12906</v>
      </c>
      <c r="M200" s="1">
        <v>12.798636999999999</v>
      </c>
      <c r="N200" s="1">
        <v>101.52182999999999</v>
      </c>
      <c r="O200" s="1">
        <v>1.53</v>
      </c>
      <c r="P200" s="1">
        <v>0.23</v>
      </c>
      <c r="Q200" s="1">
        <v>0.14000000000000001</v>
      </c>
      <c r="R200" s="1">
        <v>24.02</v>
      </c>
      <c r="S200" s="1">
        <v>3.04</v>
      </c>
      <c r="T200" s="1">
        <v>12.02</v>
      </c>
      <c r="U200" s="1">
        <v>9.9700000000000006</v>
      </c>
      <c r="V200" s="1">
        <v>10.58</v>
      </c>
      <c r="W200" s="1">
        <v>7.01</v>
      </c>
      <c r="X200" s="1">
        <v>7214.4440809999996</v>
      </c>
      <c r="Y200" s="1">
        <v>1439829.6613799999</v>
      </c>
      <c r="Z200" t="str">
        <f>VLOOKUP(G200,'Code Pro'!$A$2:$B$9,2,FALSE)</f>
        <v>จ.ระยอง</v>
      </c>
      <c r="AA200" s="8">
        <f t="shared" si="28"/>
        <v>2202939.3819113998</v>
      </c>
      <c r="AB200" s="8">
        <f t="shared" si="29"/>
        <v>331160.82211740001</v>
      </c>
      <c r="AC200" s="8">
        <f t="shared" si="30"/>
        <v>201576.15259320001</v>
      </c>
      <c r="AD200" s="8">
        <f t="shared" si="31"/>
        <v>34584708.466347598</v>
      </c>
      <c r="AE200" s="8">
        <f t="shared" si="32"/>
        <v>4377082.1705951998</v>
      </c>
      <c r="AF200" s="8">
        <f t="shared" si="33"/>
        <v>17306752.5297876</v>
      </c>
      <c r="AG200" s="8">
        <f t="shared" si="34"/>
        <v>14355101.7239586</v>
      </c>
      <c r="AH200" s="8">
        <f t="shared" si="35"/>
        <v>15233397.8174004</v>
      </c>
      <c r="AI200" s="8">
        <f t="shared" si="36"/>
        <v>10093205.926273799</v>
      </c>
    </row>
    <row r="201" spans="1:35" x14ac:dyDescent="0.55000000000000004">
      <c r="A201" s="1">
        <v>199</v>
      </c>
      <c r="B201" s="1" t="s">
        <v>20</v>
      </c>
      <c r="C201" s="1">
        <v>16</v>
      </c>
      <c r="D201" s="1">
        <v>4</v>
      </c>
      <c r="E201" s="1" t="s">
        <v>49</v>
      </c>
      <c r="F201" s="1" t="s">
        <v>50</v>
      </c>
      <c r="G201" s="1">
        <v>21</v>
      </c>
      <c r="H201" s="1">
        <v>2</v>
      </c>
      <c r="I201" s="1">
        <v>21040000</v>
      </c>
      <c r="J201" s="1">
        <v>289</v>
      </c>
      <c r="K201" s="1">
        <v>0</v>
      </c>
      <c r="L201" s="1">
        <v>13265</v>
      </c>
      <c r="M201" s="1">
        <v>13.041733000000001</v>
      </c>
      <c r="N201" s="1">
        <v>101.4387</v>
      </c>
      <c r="O201" s="1">
        <v>0.31</v>
      </c>
      <c r="P201" s="1">
        <v>0.03</v>
      </c>
      <c r="Q201" s="1">
        <v>0.69</v>
      </c>
      <c r="R201" s="1">
        <v>0.01</v>
      </c>
      <c r="S201" s="1">
        <v>34.330002</v>
      </c>
      <c r="T201" s="1">
        <v>6.61</v>
      </c>
      <c r="U201" s="1">
        <v>3.3</v>
      </c>
      <c r="V201" s="1">
        <v>11.41</v>
      </c>
      <c r="W201" s="1">
        <v>0.14000000000000001</v>
      </c>
      <c r="X201" s="1">
        <v>32487.722997000001</v>
      </c>
      <c r="Y201" s="1">
        <v>34792717.433300003</v>
      </c>
      <c r="Z201" t="str">
        <f>VLOOKUP(G201,'Code Pro'!$A$2:$B$9,2,FALSE)</f>
        <v>จ.ระยอง</v>
      </c>
      <c r="AA201" s="8">
        <f t="shared" si="28"/>
        <v>10785742.404323</v>
      </c>
      <c r="AB201" s="8">
        <f t="shared" si="29"/>
        <v>1043781.522999</v>
      </c>
      <c r="AC201" s="8">
        <f t="shared" si="30"/>
        <v>24006975.028976999</v>
      </c>
      <c r="AD201" s="8">
        <f t="shared" si="31"/>
        <v>347927.17433300003</v>
      </c>
      <c r="AE201" s="8">
        <f t="shared" si="32"/>
        <v>1194434059.0706241</v>
      </c>
      <c r="AF201" s="8">
        <f t="shared" si="33"/>
        <v>229979862.23411304</v>
      </c>
      <c r="AG201" s="8">
        <f t="shared" si="34"/>
        <v>114815967.52989</v>
      </c>
      <c r="AH201" s="8">
        <f t="shared" si="35"/>
        <v>396984905.91395307</v>
      </c>
      <c r="AI201" s="8">
        <f t="shared" si="36"/>
        <v>4870980.4406620013</v>
      </c>
    </row>
    <row r="202" spans="1:35" x14ac:dyDescent="0.55000000000000004">
      <c r="A202" s="1">
        <v>200</v>
      </c>
      <c r="B202" s="1" t="s">
        <v>20</v>
      </c>
      <c r="C202" s="1">
        <v>16</v>
      </c>
      <c r="D202" s="1">
        <v>4</v>
      </c>
      <c r="E202" s="1" t="s">
        <v>49</v>
      </c>
      <c r="F202" s="1" t="s">
        <v>50</v>
      </c>
      <c r="G202" s="1">
        <v>21</v>
      </c>
      <c r="H202" s="1">
        <v>2</v>
      </c>
      <c r="I202" s="1">
        <v>21040000</v>
      </c>
      <c r="J202" s="1">
        <v>290</v>
      </c>
      <c r="K202" s="1">
        <v>0</v>
      </c>
      <c r="L202" s="1">
        <v>13264</v>
      </c>
      <c r="M202" s="1">
        <v>13.041733000000001</v>
      </c>
      <c r="N202" s="1">
        <v>101.35556</v>
      </c>
      <c r="O202" s="1">
        <v>0.9</v>
      </c>
      <c r="P202" s="1">
        <v>1.3</v>
      </c>
      <c r="Q202" s="1">
        <v>0.12</v>
      </c>
      <c r="R202" s="1">
        <v>0.22</v>
      </c>
      <c r="S202" s="1">
        <v>7.49</v>
      </c>
      <c r="T202" s="1">
        <v>10.43</v>
      </c>
      <c r="U202" s="1">
        <v>7.26</v>
      </c>
      <c r="V202" s="1">
        <v>6.97</v>
      </c>
      <c r="W202" s="1">
        <v>0.05</v>
      </c>
      <c r="X202" s="1">
        <v>831.167914</v>
      </c>
      <c r="Y202" s="1">
        <v>33694.710397000003</v>
      </c>
      <c r="Z202" t="str">
        <f>VLOOKUP(G202,'Code Pro'!$A$2:$B$9,2,FALSE)</f>
        <v>จ.ระยอง</v>
      </c>
      <c r="AA202" s="8">
        <f t="shared" si="28"/>
        <v>30325.239357300004</v>
      </c>
      <c r="AB202" s="8">
        <f t="shared" si="29"/>
        <v>43803.123516100008</v>
      </c>
      <c r="AC202" s="8">
        <f t="shared" si="30"/>
        <v>4043.3652476400002</v>
      </c>
      <c r="AD202" s="8">
        <f t="shared" si="31"/>
        <v>7412.836287340001</v>
      </c>
      <c r="AE202" s="8">
        <f t="shared" si="32"/>
        <v>252373.38087353003</v>
      </c>
      <c r="AF202" s="8">
        <f t="shared" si="33"/>
        <v>351435.82944071002</v>
      </c>
      <c r="AG202" s="8">
        <f t="shared" si="34"/>
        <v>244623.59748222001</v>
      </c>
      <c r="AH202" s="8">
        <f t="shared" si="35"/>
        <v>234852.13146709002</v>
      </c>
      <c r="AI202" s="8">
        <f t="shared" si="36"/>
        <v>1684.7355198500002</v>
      </c>
    </row>
    <row r="203" spans="1:35" x14ac:dyDescent="0.55000000000000004">
      <c r="A203" s="1">
        <v>201</v>
      </c>
      <c r="B203" s="1" t="s">
        <v>20</v>
      </c>
      <c r="C203" s="1">
        <v>16</v>
      </c>
      <c r="D203" s="1">
        <v>4</v>
      </c>
      <c r="E203" s="1" t="s">
        <v>49</v>
      </c>
      <c r="F203" s="1" t="s">
        <v>50</v>
      </c>
      <c r="G203" s="1">
        <v>21</v>
      </c>
      <c r="H203" s="1">
        <v>2</v>
      </c>
      <c r="I203" s="1">
        <v>21040000</v>
      </c>
      <c r="J203" s="1">
        <v>295</v>
      </c>
      <c r="K203" s="1">
        <v>0</v>
      </c>
      <c r="L203" s="1">
        <v>13026</v>
      </c>
      <c r="M203" s="1">
        <v>12.8797</v>
      </c>
      <c r="N203" s="1">
        <v>101.52182999999999</v>
      </c>
      <c r="O203" s="1">
        <v>9.2899999999999991</v>
      </c>
      <c r="P203" s="1">
        <v>7.0000000000000007E-2</v>
      </c>
      <c r="Q203" s="1">
        <v>0.38</v>
      </c>
      <c r="R203" s="1">
        <v>9.0500000000000007</v>
      </c>
      <c r="S203" s="1">
        <v>4.29</v>
      </c>
      <c r="T203" s="1">
        <v>11.61</v>
      </c>
      <c r="U203" s="1">
        <v>26.799999</v>
      </c>
      <c r="V203" s="1">
        <v>6.42</v>
      </c>
      <c r="W203" s="1">
        <v>0.57999999999999996</v>
      </c>
      <c r="X203" s="1">
        <v>37429.226009999998</v>
      </c>
      <c r="Y203" s="1">
        <v>69878845.706200004</v>
      </c>
      <c r="Z203" t="str">
        <f>VLOOKUP(G203,'Code Pro'!$A$2:$B$9,2,FALSE)</f>
        <v>จ.ระยอง</v>
      </c>
      <c r="AA203" s="8">
        <f t="shared" si="28"/>
        <v>649174476.61059797</v>
      </c>
      <c r="AB203" s="8">
        <f t="shared" si="29"/>
        <v>4891519.199434001</v>
      </c>
      <c r="AC203" s="8">
        <f t="shared" si="30"/>
        <v>26553961.368356001</v>
      </c>
      <c r="AD203" s="8">
        <f t="shared" si="31"/>
        <v>632403553.64111006</v>
      </c>
      <c r="AE203" s="8">
        <f t="shared" si="32"/>
        <v>299780248.07959801</v>
      </c>
      <c r="AF203" s="8">
        <f t="shared" si="33"/>
        <v>811293398.64898205</v>
      </c>
      <c r="AG203" s="8">
        <f t="shared" si="34"/>
        <v>1872752995.0473144</v>
      </c>
      <c r="AH203" s="8">
        <f t="shared" si="35"/>
        <v>448622189.43380404</v>
      </c>
      <c r="AI203" s="8">
        <f t="shared" si="36"/>
        <v>40529730.509595998</v>
      </c>
    </row>
    <row r="204" spans="1:35" x14ac:dyDescent="0.55000000000000004">
      <c r="A204" s="1">
        <v>202</v>
      </c>
      <c r="B204" s="1" t="s">
        <v>20</v>
      </c>
      <c r="C204" s="1">
        <v>16</v>
      </c>
      <c r="D204" s="1">
        <v>4</v>
      </c>
      <c r="E204" s="1" t="s">
        <v>49</v>
      </c>
      <c r="F204" s="1" t="s">
        <v>50</v>
      </c>
      <c r="G204" s="1">
        <v>21</v>
      </c>
      <c r="H204" s="1">
        <v>2</v>
      </c>
      <c r="I204" s="1">
        <v>21040000</v>
      </c>
      <c r="J204" s="1">
        <v>296</v>
      </c>
      <c r="K204" s="1">
        <v>0</v>
      </c>
      <c r="L204" s="1">
        <v>12907</v>
      </c>
      <c r="M204" s="1">
        <v>12.798636999999999</v>
      </c>
      <c r="N204" s="1">
        <v>101.60496500000001</v>
      </c>
      <c r="O204" s="1">
        <v>0.05</v>
      </c>
      <c r="P204" s="1">
        <v>0</v>
      </c>
      <c r="Q204" s="1">
        <v>2.96</v>
      </c>
      <c r="R204" s="1">
        <v>28.34</v>
      </c>
      <c r="S204" s="1">
        <v>0.27</v>
      </c>
      <c r="T204" s="1">
        <v>5.71</v>
      </c>
      <c r="U204" s="1">
        <v>12.57</v>
      </c>
      <c r="V204" s="1">
        <v>19.299999</v>
      </c>
      <c r="W204" s="1">
        <v>9.25</v>
      </c>
      <c r="X204" s="1">
        <v>2729.0829330000001</v>
      </c>
      <c r="Y204" s="1">
        <v>313674.65974199999</v>
      </c>
      <c r="Z204" t="str">
        <f>VLOOKUP(G204,'Code Pro'!$A$2:$B$9,2,FALSE)</f>
        <v>จ.ระยอง</v>
      </c>
      <c r="AA204" s="8">
        <f t="shared" si="28"/>
        <v>15683.7329871</v>
      </c>
      <c r="AB204" s="8">
        <f t="shared" si="29"/>
        <v>0</v>
      </c>
      <c r="AC204" s="8">
        <f t="shared" si="30"/>
        <v>928476.99283631996</v>
      </c>
      <c r="AD204" s="8">
        <f t="shared" si="31"/>
        <v>8889539.857088279</v>
      </c>
      <c r="AE204" s="8">
        <f t="shared" si="32"/>
        <v>84692.158130340002</v>
      </c>
      <c r="AF204" s="8">
        <f t="shared" si="33"/>
        <v>1791082.3071268199</v>
      </c>
      <c r="AG204" s="8">
        <f t="shared" si="34"/>
        <v>3942890.4729569401</v>
      </c>
      <c r="AH204" s="8">
        <f t="shared" si="35"/>
        <v>6053920.6193459397</v>
      </c>
      <c r="AI204" s="8">
        <f t="shared" si="36"/>
        <v>2901490.6026134999</v>
      </c>
    </row>
    <row r="205" spans="1:35" x14ac:dyDescent="0.55000000000000004">
      <c r="A205" s="1">
        <v>203</v>
      </c>
      <c r="B205" s="1" t="s">
        <v>20</v>
      </c>
      <c r="C205" s="1">
        <v>16</v>
      </c>
      <c r="D205" s="1">
        <v>4</v>
      </c>
      <c r="E205" s="1" t="s">
        <v>49</v>
      </c>
      <c r="F205" s="1" t="s">
        <v>50</v>
      </c>
      <c r="G205" s="1">
        <v>21</v>
      </c>
      <c r="H205" s="1">
        <v>2</v>
      </c>
      <c r="I205" s="1">
        <v>21040000</v>
      </c>
      <c r="J205" s="1">
        <v>299</v>
      </c>
      <c r="K205" s="1">
        <v>0</v>
      </c>
      <c r="L205" s="1">
        <v>13027</v>
      </c>
      <c r="M205" s="1">
        <v>12.8797</v>
      </c>
      <c r="N205" s="1">
        <v>101.60496500000001</v>
      </c>
      <c r="O205" s="1">
        <v>7.9</v>
      </c>
      <c r="P205" s="1">
        <v>0.01</v>
      </c>
      <c r="Q205" s="1">
        <v>0.3</v>
      </c>
      <c r="R205" s="1">
        <v>20.350000000000001</v>
      </c>
      <c r="S205" s="1">
        <v>0.67</v>
      </c>
      <c r="T205" s="1">
        <v>2.0099999999999998</v>
      </c>
      <c r="U205" s="1">
        <v>17.829999999999998</v>
      </c>
      <c r="V205" s="1">
        <v>18.5</v>
      </c>
      <c r="W205" s="1">
        <v>0.77</v>
      </c>
      <c r="X205" s="1">
        <v>25012.814774999999</v>
      </c>
      <c r="Y205" s="1">
        <v>27345664.723900001</v>
      </c>
      <c r="Z205" t="str">
        <f>VLOOKUP(G205,'Code Pro'!$A$2:$B$9,2,FALSE)</f>
        <v>จ.ระยอง</v>
      </c>
      <c r="AA205" s="8">
        <f t="shared" si="28"/>
        <v>216030751.31881002</v>
      </c>
      <c r="AB205" s="8">
        <f t="shared" si="29"/>
        <v>273456.64723900001</v>
      </c>
      <c r="AC205" s="8">
        <f t="shared" si="30"/>
        <v>8203699.4171700003</v>
      </c>
      <c r="AD205" s="8">
        <f t="shared" si="31"/>
        <v>556484277.13136506</v>
      </c>
      <c r="AE205" s="8">
        <f t="shared" si="32"/>
        <v>18321595.365013003</v>
      </c>
      <c r="AF205" s="8">
        <f t="shared" si="33"/>
        <v>54964786.095038995</v>
      </c>
      <c r="AG205" s="8">
        <f t="shared" si="34"/>
        <v>487573202.02713698</v>
      </c>
      <c r="AH205" s="8">
        <f t="shared" si="35"/>
        <v>505894797.39215004</v>
      </c>
      <c r="AI205" s="8">
        <f t="shared" si="36"/>
        <v>21056161.837403003</v>
      </c>
    </row>
    <row r="206" spans="1:35" x14ac:dyDescent="0.55000000000000004">
      <c r="A206" s="1">
        <v>204</v>
      </c>
      <c r="B206" s="1" t="s">
        <v>20</v>
      </c>
      <c r="C206" s="1">
        <v>16</v>
      </c>
      <c r="D206" s="1">
        <v>4</v>
      </c>
      <c r="E206" s="1" t="s">
        <v>49</v>
      </c>
      <c r="F206" s="1" t="s">
        <v>50</v>
      </c>
      <c r="G206" s="1">
        <v>21</v>
      </c>
      <c r="H206" s="1">
        <v>2</v>
      </c>
      <c r="I206" s="1">
        <v>21040000</v>
      </c>
      <c r="J206" s="1">
        <v>301</v>
      </c>
      <c r="K206" s="1">
        <v>0</v>
      </c>
      <c r="L206" s="1">
        <v>13147</v>
      </c>
      <c r="M206" s="1">
        <v>12.960724000000001</v>
      </c>
      <c r="N206" s="1">
        <v>101.60496500000001</v>
      </c>
      <c r="O206" s="1">
        <v>5.55</v>
      </c>
      <c r="P206" s="1">
        <v>0.01</v>
      </c>
      <c r="Q206" s="1">
        <v>0.44</v>
      </c>
      <c r="R206" s="1">
        <v>0.42</v>
      </c>
      <c r="S206" s="1">
        <v>0.87</v>
      </c>
      <c r="T206" s="1">
        <v>3.94</v>
      </c>
      <c r="U206" s="1">
        <v>20.58</v>
      </c>
      <c r="V206" s="1">
        <v>0.19</v>
      </c>
      <c r="W206" s="1">
        <v>0</v>
      </c>
      <c r="X206" s="1">
        <v>28024.866320000001</v>
      </c>
      <c r="Y206" s="1">
        <v>11882738.5507</v>
      </c>
      <c r="Z206" t="str">
        <f>VLOOKUP(G206,'Code Pro'!$A$2:$B$9,2,FALSE)</f>
        <v>จ.ระยอง</v>
      </c>
      <c r="AA206" s="8">
        <f t="shared" si="28"/>
        <v>65949198.956384994</v>
      </c>
      <c r="AB206" s="8">
        <f t="shared" si="29"/>
        <v>118827.385507</v>
      </c>
      <c r="AC206" s="8">
        <f t="shared" si="30"/>
        <v>5228404.9623079998</v>
      </c>
      <c r="AD206" s="8">
        <f t="shared" si="31"/>
        <v>4990750.1912939996</v>
      </c>
      <c r="AE206" s="8">
        <f t="shared" si="32"/>
        <v>10337982.539108999</v>
      </c>
      <c r="AF206" s="8">
        <f t="shared" si="33"/>
        <v>46817989.889757998</v>
      </c>
      <c r="AG206" s="8">
        <f t="shared" si="34"/>
        <v>244546759.37340596</v>
      </c>
      <c r="AH206" s="8">
        <f t="shared" si="35"/>
        <v>2257720.324633</v>
      </c>
      <c r="AI206" s="8">
        <f t="shared" si="36"/>
        <v>0</v>
      </c>
    </row>
    <row r="207" spans="1:35" x14ac:dyDescent="0.55000000000000004">
      <c r="A207" s="1">
        <v>205</v>
      </c>
      <c r="B207" s="1" t="s">
        <v>20</v>
      </c>
      <c r="C207" s="1">
        <v>16</v>
      </c>
      <c r="D207" s="1">
        <v>4</v>
      </c>
      <c r="E207" s="1" t="s">
        <v>49</v>
      </c>
      <c r="F207" s="1" t="s">
        <v>50</v>
      </c>
      <c r="G207" s="1">
        <v>21</v>
      </c>
      <c r="H207" s="1">
        <v>2</v>
      </c>
      <c r="I207" s="1">
        <v>21040000</v>
      </c>
      <c r="J207" s="1">
        <v>302</v>
      </c>
      <c r="K207" s="1">
        <v>0</v>
      </c>
      <c r="L207" s="1">
        <v>13146</v>
      </c>
      <c r="M207" s="1">
        <v>12.960724000000001</v>
      </c>
      <c r="N207" s="1">
        <v>101.52182999999999</v>
      </c>
      <c r="O207" s="1">
        <v>0.8</v>
      </c>
      <c r="P207" s="1">
        <v>0.01</v>
      </c>
      <c r="Q207" s="1">
        <v>0.73</v>
      </c>
      <c r="R207" s="1">
        <v>7.97</v>
      </c>
      <c r="S207" s="1">
        <v>3.28</v>
      </c>
      <c r="T207" s="1">
        <v>3.75</v>
      </c>
      <c r="U207" s="1">
        <v>22.709999</v>
      </c>
      <c r="V207" s="1">
        <v>0.82</v>
      </c>
      <c r="W207" s="1">
        <v>0</v>
      </c>
      <c r="X207" s="1">
        <v>38254.067880000002</v>
      </c>
      <c r="Y207" s="1">
        <v>79605353.716700003</v>
      </c>
      <c r="Z207" t="str">
        <f>VLOOKUP(G207,'Code Pro'!$A$2:$B$9,2,FALSE)</f>
        <v>จ.ระยอง</v>
      </c>
      <c r="AA207" s="8">
        <f t="shared" si="28"/>
        <v>63684282.973360002</v>
      </c>
      <c r="AB207" s="8">
        <f t="shared" si="29"/>
        <v>796053.537167</v>
      </c>
      <c r="AC207" s="8">
        <f t="shared" si="30"/>
        <v>58111908.213191003</v>
      </c>
      <c r="AD207" s="8">
        <f t="shared" si="31"/>
        <v>634454669.12209904</v>
      </c>
      <c r="AE207" s="8">
        <f t="shared" si="32"/>
        <v>261105560.19077599</v>
      </c>
      <c r="AF207" s="8">
        <f t="shared" si="33"/>
        <v>298520076.43762499</v>
      </c>
      <c r="AG207" s="8">
        <f t="shared" si="34"/>
        <v>1807837503.3009033</v>
      </c>
      <c r="AH207" s="8">
        <f t="shared" si="35"/>
        <v>65276390.047693998</v>
      </c>
      <c r="AI207" s="8">
        <f t="shared" si="36"/>
        <v>0</v>
      </c>
    </row>
    <row r="208" spans="1:35" x14ac:dyDescent="0.55000000000000004">
      <c r="A208" s="1">
        <v>206</v>
      </c>
      <c r="B208" s="1" t="s">
        <v>20</v>
      </c>
      <c r="C208" s="1">
        <v>16</v>
      </c>
      <c r="D208" s="1">
        <v>4</v>
      </c>
      <c r="E208" s="1" t="s">
        <v>49</v>
      </c>
      <c r="F208" s="1" t="s">
        <v>50</v>
      </c>
      <c r="G208" s="1">
        <v>21</v>
      </c>
      <c r="H208" s="1">
        <v>2</v>
      </c>
      <c r="I208" s="1">
        <v>21040000</v>
      </c>
      <c r="J208" s="1">
        <v>303</v>
      </c>
      <c r="K208" s="1">
        <v>0</v>
      </c>
      <c r="L208" s="1">
        <v>13267</v>
      </c>
      <c r="M208" s="1">
        <v>13.041733000000001</v>
      </c>
      <c r="N208" s="1">
        <v>101.60496500000001</v>
      </c>
      <c r="O208" s="1">
        <v>6.03</v>
      </c>
      <c r="P208" s="1">
        <v>0.2</v>
      </c>
      <c r="Q208" s="1">
        <v>0.91</v>
      </c>
      <c r="R208" s="1">
        <v>0.01</v>
      </c>
      <c r="S208" s="1">
        <v>0.91</v>
      </c>
      <c r="T208" s="1">
        <v>4.74</v>
      </c>
      <c r="U208" s="1">
        <v>20.27</v>
      </c>
      <c r="V208" s="1">
        <v>1.1100000000000001</v>
      </c>
      <c r="W208" s="1">
        <v>0.05</v>
      </c>
      <c r="X208" s="1">
        <v>26667.54207</v>
      </c>
      <c r="Y208" s="1">
        <v>29323946.3046</v>
      </c>
      <c r="Z208" t="str">
        <f>VLOOKUP(G208,'Code Pro'!$A$2:$B$9,2,FALSE)</f>
        <v>จ.ระยอง</v>
      </c>
      <c r="AA208" s="8">
        <f t="shared" si="28"/>
        <v>176823396.21673802</v>
      </c>
      <c r="AB208" s="8">
        <f t="shared" si="29"/>
        <v>5864789.2609200003</v>
      </c>
      <c r="AC208" s="8">
        <f t="shared" si="30"/>
        <v>26684791.137186002</v>
      </c>
      <c r="AD208" s="8">
        <f t="shared" si="31"/>
        <v>293239.46304599999</v>
      </c>
      <c r="AE208" s="8">
        <f t="shared" si="32"/>
        <v>26684791.137186002</v>
      </c>
      <c r="AF208" s="8">
        <f t="shared" si="33"/>
        <v>138995505.48380402</v>
      </c>
      <c r="AG208" s="8">
        <f t="shared" si="34"/>
        <v>594396391.59424198</v>
      </c>
      <c r="AH208" s="8">
        <f t="shared" si="35"/>
        <v>32549580.398106005</v>
      </c>
      <c r="AI208" s="8">
        <f t="shared" si="36"/>
        <v>1466197.3152300001</v>
      </c>
    </row>
    <row r="209" spans="1:35" x14ac:dyDescent="0.55000000000000004">
      <c r="A209" s="1">
        <v>207</v>
      </c>
      <c r="B209" s="1" t="s">
        <v>20</v>
      </c>
      <c r="C209" s="1">
        <v>16</v>
      </c>
      <c r="D209" s="1">
        <v>4</v>
      </c>
      <c r="E209" s="1" t="s">
        <v>49</v>
      </c>
      <c r="F209" s="1" t="s">
        <v>50</v>
      </c>
      <c r="G209" s="1">
        <v>21</v>
      </c>
      <c r="H209" s="1">
        <v>2</v>
      </c>
      <c r="I209" s="1">
        <v>21040000</v>
      </c>
      <c r="J209" s="1">
        <v>304</v>
      </c>
      <c r="K209" s="1">
        <v>0</v>
      </c>
      <c r="L209" s="1">
        <v>13266</v>
      </c>
      <c r="M209" s="1">
        <v>13.041733000000001</v>
      </c>
      <c r="N209" s="1">
        <v>101.52182999999999</v>
      </c>
      <c r="O209" s="1">
        <v>1.22</v>
      </c>
      <c r="P209" s="1">
        <v>0.01</v>
      </c>
      <c r="Q209" s="1">
        <v>6.37</v>
      </c>
      <c r="R209" s="1">
        <v>7.0000000000000007E-2</v>
      </c>
      <c r="S209" s="1">
        <v>11.69</v>
      </c>
      <c r="T209" s="1">
        <v>6.71</v>
      </c>
      <c r="U209" s="1">
        <v>8.59</v>
      </c>
      <c r="V209" s="1">
        <v>4.3</v>
      </c>
      <c r="W209" s="1">
        <v>0.2</v>
      </c>
      <c r="X209" s="1">
        <v>36078.983848999997</v>
      </c>
      <c r="Y209" s="1">
        <v>64893801.681500003</v>
      </c>
      <c r="Z209" t="str">
        <f>VLOOKUP(G209,'Code Pro'!$A$2:$B$9,2,FALSE)</f>
        <v>จ.ระยอง</v>
      </c>
      <c r="AA209" s="8">
        <f t="shared" si="28"/>
        <v>79170438.051430002</v>
      </c>
      <c r="AB209" s="8">
        <f t="shared" si="29"/>
        <v>648938.0168150001</v>
      </c>
      <c r="AC209" s="8">
        <f t="shared" si="30"/>
        <v>413373516.711155</v>
      </c>
      <c r="AD209" s="8">
        <f t="shared" si="31"/>
        <v>4542566.1177050006</v>
      </c>
      <c r="AE209" s="8">
        <f t="shared" si="32"/>
        <v>758608541.65673494</v>
      </c>
      <c r="AF209" s="8">
        <f t="shared" si="33"/>
        <v>435437409.28286499</v>
      </c>
      <c r="AG209" s="8">
        <f t="shared" si="34"/>
        <v>557437756.444085</v>
      </c>
      <c r="AH209" s="8">
        <f t="shared" si="35"/>
        <v>279043347.23044997</v>
      </c>
      <c r="AI209" s="8">
        <f t="shared" si="36"/>
        <v>12978760.336300001</v>
      </c>
    </row>
    <row r="210" spans="1:35" x14ac:dyDescent="0.55000000000000004">
      <c r="A210" s="1">
        <v>208</v>
      </c>
      <c r="B210" s="1" t="s">
        <v>20</v>
      </c>
      <c r="C210" s="1">
        <v>16</v>
      </c>
      <c r="D210" s="1">
        <v>4</v>
      </c>
      <c r="E210" s="1" t="s">
        <v>49</v>
      </c>
      <c r="F210" s="1" t="s">
        <v>50</v>
      </c>
      <c r="G210" s="1">
        <v>21</v>
      </c>
      <c r="H210" s="1">
        <v>2</v>
      </c>
      <c r="I210" s="1">
        <v>21040000</v>
      </c>
      <c r="J210" s="1">
        <v>754</v>
      </c>
      <c r="K210" s="1">
        <v>0</v>
      </c>
      <c r="L210" s="1">
        <v>13387</v>
      </c>
      <c r="M210" s="1">
        <v>13.122719</v>
      </c>
      <c r="N210" s="1">
        <v>101.60496500000001</v>
      </c>
      <c r="O210" s="1">
        <v>4.76</v>
      </c>
      <c r="P210" s="1">
        <v>0</v>
      </c>
      <c r="Q210" s="1">
        <v>0.18</v>
      </c>
      <c r="R210" s="1">
        <v>0.41</v>
      </c>
      <c r="S210" s="1">
        <v>17.709999</v>
      </c>
      <c r="T210" s="1">
        <v>5.65</v>
      </c>
      <c r="U210" s="1">
        <v>7.1</v>
      </c>
      <c r="V210" s="1">
        <v>2.09</v>
      </c>
      <c r="W210" s="1">
        <v>1.71</v>
      </c>
      <c r="X210" s="1">
        <v>10676.519254000001</v>
      </c>
      <c r="Y210" s="1">
        <v>3799310.6280899998</v>
      </c>
      <c r="Z210" t="str">
        <f>VLOOKUP(G210,'Code Pro'!$A$2:$B$9,2,FALSE)</f>
        <v>จ.ระยอง</v>
      </c>
      <c r="AA210" s="8">
        <f t="shared" si="28"/>
        <v>18084718.589708399</v>
      </c>
      <c r="AB210" s="8">
        <f t="shared" si="29"/>
        <v>0</v>
      </c>
      <c r="AC210" s="8">
        <f t="shared" si="30"/>
        <v>683875.9130561999</v>
      </c>
      <c r="AD210" s="8">
        <f t="shared" si="31"/>
        <v>1557717.3575168997</v>
      </c>
      <c r="AE210" s="8">
        <f t="shared" si="32"/>
        <v>67285787.424163267</v>
      </c>
      <c r="AF210" s="8">
        <f t="shared" si="33"/>
        <v>21466105.048708498</v>
      </c>
      <c r="AG210" s="8">
        <f t="shared" si="34"/>
        <v>26975105.459438998</v>
      </c>
      <c r="AH210" s="8">
        <f t="shared" si="35"/>
        <v>7940559.2127080988</v>
      </c>
      <c r="AI210" s="8">
        <f t="shared" si="36"/>
        <v>6496821.1740338998</v>
      </c>
    </row>
    <row r="211" spans="1:35" x14ac:dyDescent="0.55000000000000004">
      <c r="A211" s="1">
        <v>209</v>
      </c>
      <c r="B211" s="1" t="s">
        <v>20</v>
      </c>
      <c r="C211" s="1">
        <v>17</v>
      </c>
      <c r="D211" s="1">
        <v>5</v>
      </c>
      <c r="E211" s="1" t="s">
        <v>51</v>
      </c>
      <c r="F211" s="1" t="s">
        <v>52</v>
      </c>
      <c r="G211" s="1">
        <v>21</v>
      </c>
      <c r="H211" s="1">
        <v>2</v>
      </c>
      <c r="I211" s="1">
        <v>21050000</v>
      </c>
      <c r="J211" s="1">
        <v>270</v>
      </c>
      <c r="K211" s="1">
        <v>0</v>
      </c>
      <c r="L211" s="1">
        <v>12783</v>
      </c>
      <c r="M211" s="1">
        <v>12.717560000000001</v>
      </c>
      <c r="N211" s="1">
        <v>101.27242</v>
      </c>
      <c r="O211" s="1">
        <v>0.2</v>
      </c>
      <c r="P211" s="1">
        <v>5.66</v>
      </c>
      <c r="Q211" s="1">
        <v>0.28000000000000003</v>
      </c>
      <c r="R211" s="1">
        <v>20.530000999999999</v>
      </c>
      <c r="S211" s="1">
        <v>21.32</v>
      </c>
      <c r="T211" s="1">
        <v>7.22</v>
      </c>
      <c r="U211" s="1">
        <v>5.61</v>
      </c>
      <c r="V211" s="1">
        <v>56.59</v>
      </c>
      <c r="W211" s="1">
        <v>11.67</v>
      </c>
      <c r="X211" s="1">
        <v>29216.512420999999</v>
      </c>
      <c r="Y211" s="1">
        <v>32450067.127</v>
      </c>
      <c r="Z211" t="str">
        <f>VLOOKUP(G211,'Code Pro'!$A$2:$B$9,2,FALSE)</f>
        <v>จ.ระยอง</v>
      </c>
      <c r="AA211" s="8">
        <f t="shared" si="28"/>
        <v>6490013.4254000001</v>
      </c>
      <c r="AB211" s="8">
        <f t="shared" si="29"/>
        <v>183667379.93882</v>
      </c>
      <c r="AC211" s="8">
        <f t="shared" si="30"/>
        <v>9086018.7955600005</v>
      </c>
      <c r="AD211" s="8">
        <f t="shared" si="31"/>
        <v>666199910.56737709</v>
      </c>
      <c r="AE211" s="8">
        <f t="shared" si="32"/>
        <v>691835431.14763999</v>
      </c>
      <c r="AF211" s="8">
        <f t="shared" si="33"/>
        <v>234289484.65693998</v>
      </c>
      <c r="AG211" s="8">
        <f t="shared" si="34"/>
        <v>182044876.58247</v>
      </c>
      <c r="AH211" s="8">
        <f t="shared" si="35"/>
        <v>1836349298.7169302</v>
      </c>
      <c r="AI211" s="8">
        <f t="shared" si="36"/>
        <v>378692283.37208998</v>
      </c>
    </row>
    <row r="212" spans="1:35" x14ac:dyDescent="0.55000000000000004">
      <c r="A212" s="1">
        <v>210</v>
      </c>
      <c r="B212" s="1" t="s">
        <v>20</v>
      </c>
      <c r="C212" s="1">
        <v>17</v>
      </c>
      <c r="D212" s="1">
        <v>5</v>
      </c>
      <c r="E212" s="1" t="s">
        <v>51</v>
      </c>
      <c r="F212" s="1" t="s">
        <v>52</v>
      </c>
      <c r="G212" s="1">
        <v>21</v>
      </c>
      <c r="H212" s="1">
        <v>2</v>
      </c>
      <c r="I212" s="1">
        <v>21050000</v>
      </c>
      <c r="J212" s="1">
        <v>271</v>
      </c>
      <c r="K212" s="1">
        <v>0</v>
      </c>
      <c r="L212" s="1">
        <v>12902</v>
      </c>
      <c r="M212" s="1">
        <v>12.798636999999999</v>
      </c>
      <c r="N212" s="1">
        <v>101.189285</v>
      </c>
      <c r="O212" s="1">
        <v>0.01</v>
      </c>
      <c r="P212" s="1">
        <v>0.13</v>
      </c>
      <c r="Q212" s="1">
        <v>0.27</v>
      </c>
      <c r="R212" s="1">
        <v>0.36</v>
      </c>
      <c r="S212" s="1">
        <v>38.709999000000003</v>
      </c>
      <c r="T212" s="1">
        <v>7.87</v>
      </c>
      <c r="U212" s="1">
        <v>6.24</v>
      </c>
      <c r="V212" s="1">
        <v>26.75</v>
      </c>
      <c r="W212" s="1">
        <v>0.01</v>
      </c>
      <c r="X212" s="1">
        <v>18380.369035</v>
      </c>
      <c r="Y212" s="1">
        <v>9568300.2211099993</v>
      </c>
      <c r="Z212" t="str">
        <f>VLOOKUP(G212,'Code Pro'!$A$2:$B$9,2,FALSE)</f>
        <v>จ.ระยอง</v>
      </c>
      <c r="AA212" s="8">
        <f t="shared" si="28"/>
        <v>95683.0022111</v>
      </c>
      <c r="AB212" s="8">
        <f t="shared" si="29"/>
        <v>1243879.0287442999</v>
      </c>
      <c r="AC212" s="8">
        <f t="shared" si="30"/>
        <v>2583441.0596997002</v>
      </c>
      <c r="AD212" s="8">
        <f t="shared" si="31"/>
        <v>3444588.0795995998</v>
      </c>
      <c r="AE212" s="8">
        <f t="shared" si="32"/>
        <v>370388891.99086791</v>
      </c>
      <c r="AF212" s="8">
        <f t="shared" si="33"/>
        <v>75302522.7401357</v>
      </c>
      <c r="AG212" s="8">
        <f t="shared" si="34"/>
        <v>59706193.379726395</v>
      </c>
      <c r="AH212" s="8">
        <f t="shared" si="35"/>
        <v>255952030.91469249</v>
      </c>
      <c r="AI212" s="8">
        <f t="shared" si="36"/>
        <v>95683.0022111</v>
      </c>
    </row>
    <row r="213" spans="1:35" x14ac:dyDescent="0.55000000000000004">
      <c r="A213" s="1">
        <v>211</v>
      </c>
      <c r="B213" s="1" t="s">
        <v>20</v>
      </c>
      <c r="C213" s="1">
        <v>17</v>
      </c>
      <c r="D213" s="1">
        <v>5</v>
      </c>
      <c r="E213" s="1" t="s">
        <v>51</v>
      </c>
      <c r="F213" s="1" t="s">
        <v>52</v>
      </c>
      <c r="G213" s="1">
        <v>21</v>
      </c>
      <c r="H213" s="1">
        <v>2</v>
      </c>
      <c r="I213" s="1">
        <v>21050000</v>
      </c>
      <c r="J213" s="1">
        <v>272</v>
      </c>
      <c r="K213" s="1">
        <v>0</v>
      </c>
      <c r="L213" s="1">
        <v>13023</v>
      </c>
      <c r="M213" s="1">
        <v>12.8797</v>
      </c>
      <c r="N213" s="1">
        <v>101.27242</v>
      </c>
      <c r="O213" s="1">
        <v>0.03</v>
      </c>
      <c r="P213" s="1">
        <v>0.14000000000000001</v>
      </c>
      <c r="Q213" s="1">
        <v>1.17</v>
      </c>
      <c r="R213" s="1">
        <v>3.11</v>
      </c>
      <c r="S213" s="1">
        <v>0.4</v>
      </c>
      <c r="T213" s="1">
        <v>89.239998</v>
      </c>
      <c r="U213" s="1">
        <v>25.530000999999999</v>
      </c>
      <c r="V213" s="1">
        <v>3.98</v>
      </c>
      <c r="W213" s="1">
        <v>1.29</v>
      </c>
      <c r="X213" s="1">
        <v>36147.166576000003</v>
      </c>
      <c r="Y213" s="1">
        <v>46150886.113200001</v>
      </c>
      <c r="Z213" t="str">
        <f>VLOOKUP(G213,'Code Pro'!$A$2:$B$9,2,FALSE)</f>
        <v>จ.ระยอง</v>
      </c>
      <c r="AA213" s="8">
        <f t="shared" si="28"/>
        <v>1384526.5833960001</v>
      </c>
      <c r="AB213" s="8">
        <f t="shared" si="29"/>
        <v>6461124.0558480006</v>
      </c>
      <c r="AC213" s="8">
        <f t="shared" si="30"/>
        <v>53996536.752443999</v>
      </c>
      <c r="AD213" s="8">
        <f t="shared" si="31"/>
        <v>143529255.81205201</v>
      </c>
      <c r="AE213" s="8">
        <f t="shared" si="32"/>
        <v>18460354.445280001</v>
      </c>
      <c r="AF213" s="8">
        <f t="shared" si="33"/>
        <v>4118504984.440196</v>
      </c>
      <c r="AG213" s="8">
        <f t="shared" si="34"/>
        <v>1178232168.620882</v>
      </c>
      <c r="AH213" s="8">
        <f t="shared" si="35"/>
        <v>183680526.73053601</v>
      </c>
      <c r="AI213" s="8">
        <f t="shared" si="36"/>
        <v>59534643.086028002</v>
      </c>
    </row>
    <row r="214" spans="1:35" x14ac:dyDescent="0.55000000000000004">
      <c r="A214" s="1">
        <v>212</v>
      </c>
      <c r="B214" s="1" t="s">
        <v>20</v>
      </c>
      <c r="C214" s="1">
        <v>17</v>
      </c>
      <c r="D214" s="1">
        <v>5</v>
      </c>
      <c r="E214" s="1" t="s">
        <v>51</v>
      </c>
      <c r="F214" s="1" t="s">
        <v>52</v>
      </c>
      <c r="G214" s="1">
        <v>21</v>
      </c>
      <c r="H214" s="1">
        <v>2</v>
      </c>
      <c r="I214" s="1">
        <v>21050000</v>
      </c>
      <c r="J214" s="1">
        <v>273</v>
      </c>
      <c r="K214" s="1">
        <v>0</v>
      </c>
      <c r="L214" s="1">
        <v>13022</v>
      </c>
      <c r="M214" s="1">
        <v>12.8797</v>
      </c>
      <c r="N214" s="1">
        <v>101.189285</v>
      </c>
      <c r="O214" s="1">
        <v>0</v>
      </c>
      <c r="P214" s="1">
        <v>0.12</v>
      </c>
      <c r="Q214" s="1">
        <v>0</v>
      </c>
      <c r="R214" s="1">
        <v>0.65</v>
      </c>
      <c r="S214" s="1">
        <v>7.99</v>
      </c>
      <c r="T214" s="1">
        <v>53.490001999999997</v>
      </c>
      <c r="U214" s="1">
        <v>33.259998000000003</v>
      </c>
      <c r="V214" s="1">
        <v>10.199999999999999</v>
      </c>
      <c r="W214" s="1">
        <v>0.03</v>
      </c>
      <c r="X214" s="1">
        <v>10725.432387999999</v>
      </c>
      <c r="Y214" s="1">
        <v>3361988.05638</v>
      </c>
      <c r="Z214" t="str">
        <f>VLOOKUP(G214,'Code Pro'!$A$2:$B$9,2,FALSE)</f>
        <v>จ.ระยอง</v>
      </c>
      <c r="AA214" s="8">
        <f t="shared" si="28"/>
        <v>0</v>
      </c>
      <c r="AB214" s="8">
        <f t="shared" si="29"/>
        <v>403438.5667656</v>
      </c>
      <c r="AC214" s="8">
        <f t="shared" si="30"/>
        <v>0</v>
      </c>
      <c r="AD214" s="8">
        <f t="shared" si="31"/>
        <v>2185292.2366470001</v>
      </c>
      <c r="AE214" s="8">
        <f t="shared" si="32"/>
        <v>26862284.5704762</v>
      </c>
      <c r="AF214" s="8">
        <f t="shared" si="33"/>
        <v>179832747.85974231</v>
      </c>
      <c r="AG214" s="8">
        <f t="shared" si="34"/>
        <v>111819716.0312227</v>
      </c>
      <c r="AH214" s="8">
        <f t="shared" si="35"/>
        <v>34292278.175076</v>
      </c>
      <c r="AI214" s="8">
        <f t="shared" si="36"/>
        <v>100859.6416914</v>
      </c>
    </row>
    <row r="215" spans="1:35" x14ac:dyDescent="0.55000000000000004">
      <c r="A215" s="1">
        <v>213</v>
      </c>
      <c r="B215" s="1" t="s">
        <v>20</v>
      </c>
      <c r="C215" s="1">
        <v>17</v>
      </c>
      <c r="D215" s="1">
        <v>5</v>
      </c>
      <c r="E215" s="1" t="s">
        <v>51</v>
      </c>
      <c r="F215" s="1" t="s">
        <v>52</v>
      </c>
      <c r="G215" s="1">
        <v>21</v>
      </c>
      <c r="H215" s="1">
        <v>2</v>
      </c>
      <c r="I215" s="1">
        <v>21050000</v>
      </c>
      <c r="J215" s="1">
        <v>274</v>
      </c>
      <c r="K215" s="1">
        <v>0</v>
      </c>
      <c r="L215" s="1">
        <v>12903</v>
      </c>
      <c r="M215" s="1">
        <v>12.798636999999999</v>
      </c>
      <c r="N215" s="1">
        <v>101.27242</v>
      </c>
      <c r="O215" s="1">
        <v>0</v>
      </c>
      <c r="P215" s="1">
        <v>5.74</v>
      </c>
      <c r="Q215" s="1">
        <v>14.41</v>
      </c>
      <c r="R215" s="1">
        <v>6.87</v>
      </c>
      <c r="S215" s="1">
        <v>5.4</v>
      </c>
      <c r="T215" s="1">
        <v>2.44</v>
      </c>
      <c r="U215" s="1">
        <v>5.55</v>
      </c>
      <c r="V215" s="1">
        <v>30.98</v>
      </c>
      <c r="W215" s="1">
        <v>0.06</v>
      </c>
      <c r="X215" s="1">
        <v>35525.921326000003</v>
      </c>
      <c r="Y215" s="1">
        <v>80085484.069299996</v>
      </c>
      <c r="Z215" t="str">
        <f>VLOOKUP(G215,'Code Pro'!$A$2:$B$9,2,FALSE)</f>
        <v>จ.ระยอง</v>
      </c>
      <c r="AA215" s="8">
        <f t="shared" si="28"/>
        <v>0</v>
      </c>
      <c r="AB215" s="8">
        <f t="shared" si="29"/>
        <v>459690678.55778199</v>
      </c>
      <c r="AC215" s="8">
        <f t="shared" si="30"/>
        <v>1154031825.4386129</v>
      </c>
      <c r="AD215" s="8">
        <f t="shared" si="31"/>
        <v>550187275.55609095</v>
      </c>
      <c r="AE215" s="8">
        <f t="shared" si="32"/>
        <v>432461613.97421998</v>
      </c>
      <c r="AF215" s="8">
        <f t="shared" si="33"/>
        <v>195408581.12909198</v>
      </c>
      <c r="AG215" s="8">
        <f t="shared" si="34"/>
        <v>444474436.58461499</v>
      </c>
      <c r="AH215" s="8">
        <f t="shared" si="35"/>
        <v>2481048296.4669137</v>
      </c>
      <c r="AI215" s="8">
        <f t="shared" si="36"/>
        <v>4805129.0441579996</v>
      </c>
    </row>
    <row r="216" spans="1:35" x14ac:dyDescent="0.55000000000000004">
      <c r="A216" s="1">
        <v>214</v>
      </c>
      <c r="B216" s="1" t="s">
        <v>20</v>
      </c>
      <c r="C216" s="1">
        <v>17</v>
      </c>
      <c r="D216" s="1">
        <v>5</v>
      </c>
      <c r="E216" s="1" t="s">
        <v>51</v>
      </c>
      <c r="F216" s="1" t="s">
        <v>52</v>
      </c>
      <c r="G216" s="1">
        <v>21</v>
      </c>
      <c r="H216" s="1">
        <v>2</v>
      </c>
      <c r="I216" s="1">
        <v>21050000</v>
      </c>
      <c r="J216" s="1">
        <v>275</v>
      </c>
      <c r="K216" s="1">
        <v>0</v>
      </c>
      <c r="L216" s="1">
        <v>13143</v>
      </c>
      <c r="M216" s="1">
        <v>12.960724000000001</v>
      </c>
      <c r="N216" s="1">
        <v>101.27242</v>
      </c>
      <c r="O216" s="1">
        <v>1.27</v>
      </c>
      <c r="P216" s="1">
        <v>0.03</v>
      </c>
      <c r="Q216" s="1">
        <v>0.19</v>
      </c>
      <c r="R216" s="1">
        <v>0.12</v>
      </c>
      <c r="S216" s="1">
        <v>16.489999999999998</v>
      </c>
      <c r="T216" s="1">
        <v>92.739998</v>
      </c>
      <c r="U216" s="1">
        <v>19.32</v>
      </c>
      <c r="V216" s="1">
        <v>6.42</v>
      </c>
      <c r="W216" s="1">
        <v>1.02</v>
      </c>
      <c r="X216" s="1">
        <v>1458.7570470000001</v>
      </c>
      <c r="Y216" s="1">
        <v>44708.363490000003</v>
      </c>
      <c r="Z216" t="str">
        <f>VLOOKUP(G216,'Code Pro'!$A$2:$B$9,2,FALSE)</f>
        <v>จ.ระยอง</v>
      </c>
      <c r="AA216" s="8">
        <f t="shared" si="28"/>
        <v>56779.621632300004</v>
      </c>
      <c r="AB216" s="8">
        <f t="shared" si="29"/>
        <v>1341.2509047000001</v>
      </c>
      <c r="AC216" s="8">
        <f t="shared" si="30"/>
        <v>8494.5890631000002</v>
      </c>
      <c r="AD216" s="8">
        <f t="shared" si="31"/>
        <v>5365.0036188000004</v>
      </c>
      <c r="AE216" s="8">
        <f t="shared" si="32"/>
        <v>737240.91395009996</v>
      </c>
      <c r="AF216" s="8">
        <f t="shared" si="33"/>
        <v>4146253.5406458732</v>
      </c>
      <c r="AG216" s="8">
        <f t="shared" si="34"/>
        <v>863765.58262680005</v>
      </c>
      <c r="AH216" s="8">
        <f t="shared" si="35"/>
        <v>287027.69360580004</v>
      </c>
      <c r="AI216" s="8">
        <f t="shared" si="36"/>
        <v>45602.530759800007</v>
      </c>
    </row>
    <row r="217" spans="1:35" x14ac:dyDescent="0.55000000000000004">
      <c r="A217" s="1">
        <v>215</v>
      </c>
      <c r="B217" s="1" t="s">
        <v>20</v>
      </c>
      <c r="C217" s="1">
        <v>17</v>
      </c>
      <c r="D217" s="1">
        <v>5</v>
      </c>
      <c r="E217" s="1" t="s">
        <v>51</v>
      </c>
      <c r="F217" s="1" t="s">
        <v>52</v>
      </c>
      <c r="G217" s="1">
        <v>21</v>
      </c>
      <c r="H217" s="1">
        <v>2</v>
      </c>
      <c r="I217" s="1">
        <v>21050000</v>
      </c>
      <c r="J217" s="1">
        <v>279</v>
      </c>
      <c r="K217" s="1">
        <v>0</v>
      </c>
      <c r="L217" s="1">
        <v>12784</v>
      </c>
      <c r="M217" s="1">
        <v>12.717560000000001</v>
      </c>
      <c r="N217" s="1">
        <v>101.35556</v>
      </c>
      <c r="O217" s="1">
        <v>0</v>
      </c>
      <c r="P217" s="1">
        <v>1.04</v>
      </c>
      <c r="Q217" s="1">
        <v>0.28000000000000003</v>
      </c>
      <c r="R217" s="1">
        <v>1.1100000000000001</v>
      </c>
      <c r="S217" s="1">
        <v>15.67</v>
      </c>
      <c r="T217" s="1">
        <v>4.26</v>
      </c>
      <c r="U217" s="1">
        <v>9.6</v>
      </c>
      <c r="V217" s="1">
        <v>39.400002000000001</v>
      </c>
      <c r="W217" s="1">
        <v>15.55</v>
      </c>
      <c r="X217" s="1">
        <v>20716.901214000001</v>
      </c>
      <c r="Y217" s="1">
        <v>14455960.3574</v>
      </c>
      <c r="Z217" t="str">
        <f>VLOOKUP(G217,'Code Pro'!$A$2:$B$9,2,FALSE)</f>
        <v>จ.ระยอง</v>
      </c>
      <c r="AA217" s="8">
        <f t="shared" si="28"/>
        <v>0</v>
      </c>
      <c r="AB217" s="8">
        <f t="shared" si="29"/>
        <v>15034198.771696001</v>
      </c>
      <c r="AC217" s="8">
        <f t="shared" si="30"/>
        <v>4047668.9000720005</v>
      </c>
      <c r="AD217" s="8">
        <f t="shared" si="31"/>
        <v>16046115.996714002</v>
      </c>
      <c r="AE217" s="8">
        <f t="shared" si="32"/>
        <v>226524898.80045801</v>
      </c>
      <c r="AF217" s="8">
        <f t="shared" si="33"/>
        <v>61582391.122524001</v>
      </c>
      <c r="AG217" s="8">
        <f t="shared" si="34"/>
        <v>138777219.43103999</v>
      </c>
      <c r="AH217" s="8">
        <f t="shared" si="35"/>
        <v>569564866.99348068</v>
      </c>
      <c r="AI217" s="8">
        <f t="shared" si="36"/>
        <v>224790183.55757001</v>
      </c>
    </row>
    <row r="218" spans="1:35" x14ac:dyDescent="0.55000000000000004">
      <c r="A218" s="1">
        <v>216</v>
      </c>
      <c r="B218" s="1" t="s">
        <v>20</v>
      </c>
      <c r="C218" s="1">
        <v>17</v>
      </c>
      <c r="D218" s="1">
        <v>5</v>
      </c>
      <c r="E218" s="1" t="s">
        <v>51</v>
      </c>
      <c r="F218" s="1" t="s">
        <v>52</v>
      </c>
      <c r="G218" s="1">
        <v>21</v>
      </c>
      <c r="H218" s="1">
        <v>2</v>
      </c>
      <c r="I218" s="1">
        <v>21050000</v>
      </c>
      <c r="J218" s="1">
        <v>280</v>
      </c>
      <c r="K218" s="1">
        <v>0</v>
      </c>
      <c r="L218" s="1">
        <v>12904</v>
      </c>
      <c r="M218" s="1">
        <v>12.798636999999999</v>
      </c>
      <c r="N218" s="1">
        <v>101.35556</v>
      </c>
      <c r="O218" s="1">
        <v>0.01</v>
      </c>
      <c r="P218" s="1">
        <v>11.46</v>
      </c>
      <c r="Q218" s="1">
        <v>0.54</v>
      </c>
      <c r="R218" s="1">
        <v>1.1200000000000001</v>
      </c>
      <c r="S218" s="1">
        <v>2.78</v>
      </c>
      <c r="T218" s="1">
        <v>5.71</v>
      </c>
      <c r="U218" s="1">
        <v>3.87</v>
      </c>
      <c r="V218" s="1">
        <v>39.5</v>
      </c>
      <c r="W218" s="1">
        <v>1.83</v>
      </c>
      <c r="X218" s="1">
        <v>35316.928561000001</v>
      </c>
      <c r="Y218" s="1">
        <v>77861515.445299998</v>
      </c>
      <c r="Z218" t="str">
        <f>VLOOKUP(G218,'Code Pro'!$A$2:$B$9,2,FALSE)</f>
        <v>จ.ระยอง</v>
      </c>
      <c r="AA218" s="8">
        <f t="shared" si="28"/>
        <v>778615.15445299994</v>
      </c>
      <c r="AB218" s="8">
        <f t="shared" si="29"/>
        <v>892292967.00313807</v>
      </c>
      <c r="AC218" s="8">
        <f t="shared" si="30"/>
        <v>42045218.340461999</v>
      </c>
      <c r="AD218" s="8">
        <f t="shared" si="31"/>
        <v>87204897.298736006</v>
      </c>
      <c r="AE218" s="8">
        <f t="shared" si="32"/>
        <v>216455012.93793398</v>
      </c>
      <c r="AF218" s="8">
        <f t="shared" si="33"/>
        <v>444589253.19266301</v>
      </c>
      <c r="AG218" s="8">
        <f t="shared" si="34"/>
        <v>301324064.77331102</v>
      </c>
      <c r="AH218" s="8">
        <f t="shared" si="35"/>
        <v>3075529860.0893497</v>
      </c>
      <c r="AI218" s="8">
        <f t="shared" si="36"/>
        <v>142486573.26489902</v>
      </c>
    </row>
    <row r="219" spans="1:35" x14ac:dyDescent="0.55000000000000004">
      <c r="A219" s="1">
        <v>217</v>
      </c>
      <c r="B219" s="1" t="s">
        <v>20</v>
      </c>
      <c r="C219" s="1">
        <v>17</v>
      </c>
      <c r="D219" s="1">
        <v>5</v>
      </c>
      <c r="E219" s="1" t="s">
        <v>51</v>
      </c>
      <c r="F219" s="1" t="s">
        <v>52</v>
      </c>
      <c r="G219" s="1">
        <v>21</v>
      </c>
      <c r="H219" s="1">
        <v>2</v>
      </c>
      <c r="I219" s="1">
        <v>21050000</v>
      </c>
      <c r="J219" s="1">
        <v>282</v>
      </c>
      <c r="K219" s="1">
        <v>0</v>
      </c>
      <c r="L219" s="1">
        <v>12905</v>
      </c>
      <c r="M219" s="1">
        <v>12.798636999999999</v>
      </c>
      <c r="N219" s="1">
        <v>101.4387</v>
      </c>
      <c r="O219" s="1">
        <v>0</v>
      </c>
      <c r="P219" s="1">
        <v>1.05</v>
      </c>
      <c r="Q219" s="1">
        <v>0.24</v>
      </c>
      <c r="R219" s="1">
        <v>1.73</v>
      </c>
      <c r="S219" s="1">
        <v>1.04</v>
      </c>
      <c r="T219" s="1">
        <v>16.700001</v>
      </c>
      <c r="U219" s="1">
        <v>7.95</v>
      </c>
      <c r="V219" s="1">
        <v>48.18</v>
      </c>
      <c r="W219" s="1">
        <v>10.89</v>
      </c>
      <c r="X219" s="1">
        <v>24220.646572000001</v>
      </c>
      <c r="Y219" s="1">
        <v>18333002.5973</v>
      </c>
      <c r="Z219" t="str">
        <f>VLOOKUP(G219,'Code Pro'!$A$2:$B$9,2,FALSE)</f>
        <v>จ.ระยอง</v>
      </c>
      <c r="AA219" s="8">
        <f t="shared" si="28"/>
        <v>0</v>
      </c>
      <c r="AB219" s="8">
        <f t="shared" si="29"/>
        <v>19249652.727165002</v>
      </c>
      <c r="AC219" s="8">
        <f t="shared" si="30"/>
        <v>4399920.6233519996</v>
      </c>
      <c r="AD219" s="8">
        <f t="shared" si="31"/>
        <v>31716094.493329</v>
      </c>
      <c r="AE219" s="8">
        <f t="shared" si="32"/>
        <v>19066322.701192003</v>
      </c>
      <c r="AF219" s="8">
        <f t="shared" si="33"/>
        <v>306161161.70791262</v>
      </c>
      <c r="AG219" s="8">
        <f t="shared" si="34"/>
        <v>145747370.64853501</v>
      </c>
      <c r="AH219" s="8">
        <f t="shared" si="35"/>
        <v>883284065.13791406</v>
      </c>
      <c r="AI219" s="8">
        <f t="shared" si="36"/>
        <v>199646398.28459701</v>
      </c>
    </row>
    <row r="220" spans="1:35" x14ac:dyDescent="0.55000000000000004">
      <c r="A220" s="1">
        <v>218</v>
      </c>
      <c r="B220" s="1" t="s">
        <v>20</v>
      </c>
      <c r="C220" s="1">
        <v>17</v>
      </c>
      <c r="D220" s="1">
        <v>5</v>
      </c>
      <c r="E220" s="1" t="s">
        <v>51</v>
      </c>
      <c r="F220" s="1" t="s">
        <v>52</v>
      </c>
      <c r="G220" s="1">
        <v>21</v>
      </c>
      <c r="H220" s="1">
        <v>2</v>
      </c>
      <c r="I220" s="1">
        <v>21050000</v>
      </c>
      <c r="J220" s="1">
        <v>284</v>
      </c>
      <c r="K220" s="1">
        <v>0</v>
      </c>
      <c r="L220" s="1">
        <v>13024</v>
      </c>
      <c r="M220" s="1">
        <v>12.8797</v>
      </c>
      <c r="N220" s="1">
        <v>101.35556</v>
      </c>
      <c r="O220" s="1">
        <v>22.82</v>
      </c>
      <c r="P220" s="1">
        <v>2.29</v>
      </c>
      <c r="Q220" s="1">
        <v>0.09</v>
      </c>
      <c r="R220" s="1">
        <v>5.79</v>
      </c>
      <c r="S220" s="1">
        <v>0.02</v>
      </c>
      <c r="T220" s="1">
        <v>29.940000999999999</v>
      </c>
      <c r="U220" s="1">
        <v>7.38</v>
      </c>
      <c r="V220" s="1">
        <v>8.69</v>
      </c>
      <c r="W220" s="1">
        <v>0.63</v>
      </c>
      <c r="X220" s="1">
        <v>36736.388770999998</v>
      </c>
      <c r="Y220" s="1">
        <v>80309131.742400005</v>
      </c>
      <c r="Z220" t="str">
        <f>VLOOKUP(G220,'Code Pro'!$A$2:$B$9,2,FALSE)</f>
        <v>จ.ระยอง</v>
      </c>
      <c r="AA220" s="8">
        <f t="shared" si="28"/>
        <v>1832654386.3615682</v>
      </c>
      <c r="AB220" s="8">
        <f t="shared" si="29"/>
        <v>183907911.69009602</v>
      </c>
      <c r="AC220" s="8">
        <f t="shared" si="30"/>
        <v>7227821.8568160003</v>
      </c>
      <c r="AD220" s="8">
        <f t="shared" si="31"/>
        <v>464989872.78849602</v>
      </c>
      <c r="AE220" s="8">
        <f t="shared" si="32"/>
        <v>1606182.6348480002</v>
      </c>
      <c r="AF220" s="8">
        <f t="shared" si="33"/>
        <v>2404455484.6765876</v>
      </c>
      <c r="AG220" s="8">
        <f t="shared" si="34"/>
        <v>592681392.25891209</v>
      </c>
      <c r="AH220" s="8">
        <f t="shared" si="35"/>
        <v>697886354.84145606</v>
      </c>
      <c r="AI220" s="8">
        <f t="shared" si="36"/>
        <v>50594752.997712001</v>
      </c>
    </row>
    <row r="221" spans="1:35" x14ac:dyDescent="0.55000000000000004">
      <c r="A221" s="1">
        <v>219</v>
      </c>
      <c r="B221" s="1" t="s">
        <v>20</v>
      </c>
      <c r="C221" s="1">
        <v>17</v>
      </c>
      <c r="D221" s="1">
        <v>5</v>
      </c>
      <c r="E221" s="1" t="s">
        <v>51</v>
      </c>
      <c r="F221" s="1" t="s">
        <v>52</v>
      </c>
      <c r="G221" s="1">
        <v>21</v>
      </c>
      <c r="H221" s="1">
        <v>2</v>
      </c>
      <c r="I221" s="1">
        <v>21050000</v>
      </c>
      <c r="J221" s="1">
        <v>285</v>
      </c>
      <c r="K221" s="1">
        <v>0</v>
      </c>
      <c r="L221" s="1">
        <v>13145</v>
      </c>
      <c r="M221" s="1">
        <v>12.960724000000001</v>
      </c>
      <c r="N221" s="1">
        <v>101.4387</v>
      </c>
      <c r="O221" s="1">
        <v>21.27</v>
      </c>
      <c r="P221" s="1">
        <v>0.17</v>
      </c>
      <c r="Q221" s="1">
        <v>0.5</v>
      </c>
      <c r="R221" s="1">
        <v>1.47</v>
      </c>
      <c r="S221" s="1">
        <v>33.950001</v>
      </c>
      <c r="T221" s="1">
        <v>3.81</v>
      </c>
      <c r="U221" s="1">
        <v>12.43</v>
      </c>
      <c r="V221" s="1">
        <v>1.48</v>
      </c>
      <c r="W221" s="1">
        <v>0</v>
      </c>
      <c r="X221" s="1">
        <v>28150.635597</v>
      </c>
      <c r="Y221" s="1">
        <v>28798583.506000001</v>
      </c>
      <c r="Z221" t="str">
        <f>VLOOKUP(G221,'Code Pro'!$A$2:$B$9,2,FALSE)</f>
        <v>จ.ระยอง</v>
      </c>
      <c r="AA221" s="8">
        <f t="shared" si="28"/>
        <v>612545871.17262006</v>
      </c>
      <c r="AB221" s="8">
        <f t="shared" si="29"/>
        <v>4895759.1960200006</v>
      </c>
      <c r="AC221" s="8">
        <f t="shared" si="30"/>
        <v>14399291.753</v>
      </c>
      <c r="AD221" s="8">
        <f t="shared" si="31"/>
        <v>42333917.753820002</v>
      </c>
      <c r="AE221" s="8">
        <f t="shared" si="32"/>
        <v>977711938.8272835</v>
      </c>
      <c r="AF221" s="8">
        <f t="shared" si="33"/>
        <v>109722603.15786001</v>
      </c>
      <c r="AG221" s="8">
        <f t="shared" si="34"/>
        <v>357966392.97957999</v>
      </c>
      <c r="AH221" s="8">
        <f t="shared" si="35"/>
        <v>42621903.588880002</v>
      </c>
      <c r="AI221" s="8">
        <f t="shared" si="36"/>
        <v>0</v>
      </c>
    </row>
    <row r="222" spans="1:35" x14ac:dyDescent="0.55000000000000004">
      <c r="A222" s="1">
        <v>220</v>
      </c>
      <c r="B222" s="1" t="s">
        <v>20</v>
      </c>
      <c r="C222" s="1">
        <v>17</v>
      </c>
      <c r="D222" s="1">
        <v>5</v>
      </c>
      <c r="E222" s="1" t="s">
        <v>51</v>
      </c>
      <c r="F222" s="1" t="s">
        <v>52</v>
      </c>
      <c r="G222" s="1">
        <v>21</v>
      </c>
      <c r="H222" s="1">
        <v>2</v>
      </c>
      <c r="I222" s="1">
        <v>21050000</v>
      </c>
      <c r="J222" s="1">
        <v>286</v>
      </c>
      <c r="K222" s="1">
        <v>0</v>
      </c>
      <c r="L222" s="1">
        <v>13144</v>
      </c>
      <c r="M222" s="1">
        <v>12.960724000000001</v>
      </c>
      <c r="N222" s="1">
        <v>101.35556</v>
      </c>
      <c r="O222" s="1">
        <v>22.209999</v>
      </c>
      <c r="P222" s="1">
        <v>10.8</v>
      </c>
      <c r="Q222" s="1">
        <v>0.03</v>
      </c>
      <c r="R222" s="1">
        <v>0.47</v>
      </c>
      <c r="S222" s="1">
        <v>23.59</v>
      </c>
      <c r="T222" s="1">
        <v>16.32</v>
      </c>
      <c r="U222" s="1">
        <v>8.8000000000000007</v>
      </c>
      <c r="V222" s="1">
        <v>6.19</v>
      </c>
      <c r="W222" s="1">
        <v>0.06</v>
      </c>
      <c r="X222" s="1">
        <v>26415.625683999999</v>
      </c>
      <c r="Y222" s="1">
        <v>22117588.301199999</v>
      </c>
      <c r="Z222" t="str">
        <f>VLOOKUP(G222,'Code Pro'!$A$2:$B$9,2,FALSE)</f>
        <v>จ.ระยอง</v>
      </c>
      <c r="AA222" s="8">
        <f t="shared" si="28"/>
        <v>491231614.05206364</v>
      </c>
      <c r="AB222" s="8">
        <f t="shared" si="29"/>
        <v>238869953.65296</v>
      </c>
      <c r="AC222" s="8">
        <f t="shared" si="30"/>
        <v>663527.6490359999</v>
      </c>
      <c r="AD222" s="8">
        <f t="shared" si="31"/>
        <v>10395266.501563998</v>
      </c>
      <c r="AE222" s="8">
        <f t="shared" si="32"/>
        <v>521753908.02530795</v>
      </c>
      <c r="AF222" s="8">
        <f t="shared" si="33"/>
        <v>360959041.07558399</v>
      </c>
      <c r="AG222" s="8">
        <f t="shared" si="34"/>
        <v>194634777.05056</v>
      </c>
      <c r="AH222" s="8">
        <f t="shared" si="35"/>
        <v>136907871.58442801</v>
      </c>
      <c r="AI222" s="8">
        <f t="shared" si="36"/>
        <v>1327055.2980719998</v>
      </c>
    </row>
    <row r="223" spans="1:35" x14ac:dyDescent="0.55000000000000004">
      <c r="A223" s="1">
        <v>221</v>
      </c>
      <c r="B223" s="1" t="s">
        <v>20</v>
      </c>
      <c r="C223" s="1">
        <v>17</v>
      </c>
      <c r="D223" s="1">
        <v>5</v>
      </c>
      <c r="E223" s="1" t="s">
        <v>51</v>
      </c>
      <c r="F223" s="1" t="s">
        <v>52</v>
      </c>
      <c r="G223" s="1">
        <v>21</v>
      </c>
      <c r="H223" s="1">
        <v>2</v>
      </c>
      <c r="I223" s="1">
        <v>21050000</v>
      </c>
      <c r="J223" s="1">
        <v>287</v>
      </c>
      <c r="K223" s="1">
        <v>0</v>
      </c>
      <c r="L223" s="1">
        <v>13025</v>
      </c>
      <c r="M223" s="1">
        <v>12.8797</v>
      </c>
      <c r="N223" s="1">
        <v>101.4387</v>
      </c>
      <c r="O223" s="1">
        <v>7.54</v>
      </c>
      <c r="P223" s="1">
        <v>3.89</v>
      </c>
      <c r="Q223" s="1">
        <v>0.72</v>
      </c>
      <c r="R223" s="1">
        <v>1.35</v>
      </c>
      <c r="S223" s="1">
        <v>4.58</v>
      </c>
      <c r="T223" s="1">
        <v>11.99</v>
      </c>
      <c r="U223" s="1">
        <v>33.840000000000003</v>
      </c>
      <c r="V223" s="1">
        <v>4.0599999999999996</v>
      </c>
      <c r="W223" s="1">
        <v>4.41</v>
      </c>
      <c r="X223" s="1">
        <v>40660.816211999998</v>
      </c>
      <c r="Y223" s="1">
        <v>59030224.6906</v>
      </c>
      <c r="Z223" t="str">
        <f>VLOOKUP(G223,'Code Pro'!$A$2:$B$9,2,FALSE)</f>
        <v>จ.ระยอง</v>
      </c>
      <c r="AA223" s="8">
        <f t="shared" si="28"/>
        <v>445087894.16712403</v>
      </c>
      <c r="AB223" s="8">
        <f t="shared" si="29"/>
        <v>229627574.04643402</v>
      </c>
      <c r="AC223" s="8">
        <f t="shared" si="30"/>
        <v>42501761.777231999</v>
      </c>
      <c r="AD223" s="8">
        <f t="shared" si="31"/>
        <v>79690803.332310006</v>
      </c>
      <c r="AE223" s="8">
        <f t="shared" si="32"/>
        <v>270358429.08294803</v>
      </c>
      <c r="AF223" s="8">
        <f t="shared" si="33"/>
        <v>707772394.04029405</v>
      </c>
      <c r="AG223" s="8">
        <f t="shared" si="34"/>
        <v>1997582803.5299041</v>
      </c>
      <c r="AH223" s="8">
        <f t="shared" si="35"/>
        <v>239662712.24383599</v>
      </c>
      <c r="AI223" s="8">
        <f t="shared" si="36"/>
        <v>260323290.885546</v>
      </c>
    </row>
    <row r="224" spans="1:35" x14ac:dyDescent="0.55000000000000004">
      <c r="A224" s="1">
        <v>222</v>
      </c>
      <c r="B224" s="1" t="s">
        <v>20</v>
      </c>
      <c r="C224" s="1">
        <v>17</v>
      </c>
      <c r="D224" s="1">
        <v>5</v>
      </c>
      <c r="E224" s="1" t="s">
        <v>51</v>
      </c>
      <c r="F224" s="1" t="s">
        <v>52</v>
      </c>
      <c r="G224" s="1">
        <v>21</v>
      </c>
      <c r="H224" s="1">
        <v>2</v>
      </c>
      <c r="I224" s="1">
        <v>21050000</v>
      </c>
      <c r="J224" s="1">
        <v>295</v>
      </c>
      <c r="K224" s="1">
        <v>0</v>
      </c>
      <c r="L224" s="1">
        <v>13026</v>
      </c>
      <c r="M224" s="1">
        <v>12.8797</v>
      </c>
      <c r="N224" s="1">
        <v>101.52182999999999</v>
      </c>
      <c r="O224" s="1">
        <v>9.2899999999999991</v>
      </c>
      <c r="P224" s="1">
        <v>7.0000000000000007E-2</v>
      </c>
      <c r="Q224" s="1">
        <v>0.38</v>
      </c>
      <c r="R224" s="1">
        <v>9.0500000000000007</v>
      </c>
      <c r="S224" s="1">
        <v>4.29</v>
      </c>
      <c r="T224" s="1">
        <v>11.61</v>
      </c>
      <c r="U224" s="1">
        <v>26.799999</v>
      </c>
      <c r="V224" s="1">
        <v>6.42</v>
      </c>
      <c r="W224" s="1">
        <v>0.57999999999999996</v>
      </c>
      <c r="X224" s="1">
        <v>5495.8409430000002</v>
      </c>
      <c r="Y224" s="1">
        <v>1036043.59954</v>
      </c>
      <c r="Z224" t="str">
        <f>VLOOKUP(G224,'Code Pro'!$A$2:$B$9,2,FALSE)</f>
        <v>จ.ระยอง</v>
      </c>
      <c r="AA224" s="8">
        <f t="shared" si="28"/>
        <v>9624845.0397265982</v>
      </c>
      <c r="AB224" s="8">
        <f t="shared" si="29"/>
        <v>72523.051967799998</v>
      </c>
      <c r="AC224" s="8">
        <f t="shared" si="30"/>
        <v>393696.56782519998</v>
      </c>
      <c r="AD224" s="8">
        <f t="shared" si="31"/>
        <v>9376194.5758370012</v>
      </c>
      <c r="AE224" s="8">
        <f t="shared" si="32"/>
        <v>4444627.0420265999</v>
      </c>
      <c r="AF224" s="8">
        <f t="shared" si="33"/>
        <v>12028466.190659398</v>
      </c>
      <c r="AG224" s="8">
        <f t="shared" si="34"/>
        <v>27765967.431628399</v>
      </c>
      <c r="AH224" s="8">
        <f t="shared" si="35"/>
        <v>6651399.9090467999</v>
      </c>
      <c r="AI224" s="8">
        <f t="shared" si="36"/>
        <v>600905.28773319989</v>
      </c>
    </row>
    <row r="225" spans="1:35" x14ac:dyDescent="0.55000000000000004">
      <c r="A225" s="1">
        <v>223</v>
      </c>
      <c r="B225" s="1" t="s">
        <v>20</v>
      </c>
      <c r="C225" s="1">
        <v>17</v>
      </c>
      <c r="D225" s="1">
        <v>5</v>
      </c>
      <c r="E225" s="1" t="s">
        <v>51</v>
      </c>
      <c r="F225" s="1" t="s">
        <v>52</v>
      </c>
      <c r="G225" s="1">
        <v>21</v>
      </c>
      <c r="H225" s="1">
        <v>2</v>
      </c>
      <c r="I225" s="1">
        <v>21050000</v>
      </c>
      <c r="J225" s="1">
        <v>302</v>
      </c>
      <c r="K225" s="1">
        <v>0</v>
      </c>
      <c r="L225" s="1">
        <v>13146</v>
      </c>
      <c r="M225" s="1">
        <v>12.960724000000001</v>
      </c>
      <c r="N225" s="1">
        <v>101.52182999999999</v>
      </c>
      <c r="O225" s="1">
        <v>0.8</v>
      </c>
      <c r="P225" s="1">
        <v>0.01</v>
      </c>
      <c r="Q225" s="1">
        <v>0.73</v>
      </c>
      <c r="R225" s="1">
        <v>7.97</v>
      </c>
      <c r="S225" s="1">
        <v>3.28</v>
      </c>
      <c r="T225" s="1">
        <v>3.75</v>
      </c>
      <c r="U225" s="1">
        <v>22.709999</v>
      </c>
      <c r="V225" s="1">
        <v>0.82</v>
      </c>
      <c r="W225" s="1">
        <v>0</v>
      </c>
      <c r="X225" s="1">
        <v>5759.1543949999996</v>
      </c>
      <c r="Y225" s="1">
        <v>1325033.9898399999</v>
      </c>
      <c r="Z225" t="str">
        <f>VLOOKUP(G225,'Code Pro'!$A$2:$B$9,2,FALSE)</f>
        <v>จ.ระยอง</v>
      </c>
      <c r="AA225" s="8">
        <f t="shared" si="28"/>
        <v>1060027.191872</v>
      </c>
      <c r="AB225" s="8">
        <f t="shared" si="29"/>
        <v>13250.3398984</v>
      </c>
      <c r="AC225" s="8">
        <f t="shared" si="30"/>
        <v>967274.81258319994</v>
      </c>
      <c r="AD225" s="8">
        <f t="shared" si="31"/>
        <v>10560520.899024799</v>
      </c>
      <c r="AE225" s="8">
        <f t="shared" si="32"/>
        <v>4346111.4866751991</v>
      </c>
      <c r="AF225" s="8">
        <f t="shared" si="33"/>
        <v>4968877.4618999995</v>
      </c>
      <c r="AG225" s="8">
        <f t="shared" si="34"/>
        <v>30091520.584232409</v>
      </c>
      <c r="AH225" s="8">
        <f t="shared" si="35"/>
        <v>1086527.8716687998</v>
      </c>
      <c r="AI225" s="8">
        <f t="shared" si="36"/>
        <v>0</v>
      </c>
    </row>
    <row r="226" spans="1:35" x14ac:dyDescent="0.55000000000000004">
      <c r="A226" s="1">
        <v>224</v>
      </c>
      <c r="B226" s="1" t="s">
        <v>20</v>
      </c>
      <c r="C226" s="1">
        <v>18</v>
      </c>
      <c r="D226" s="1">
        <v>6</v>
      </c>
      <c r="E226" s="1" t="s">
        <v>53</v>
      </c>
      <c r="F226" s="1" t="s">
        <v>54</v>
      </c>
      <c r="G226" s="1">
        <v>21</v>
      </c>
      <c r="H226" s="1">
        <v>2</v>
      </c>
      <c r="I226" s="1">
        <v>21060000</v>
      </c>
      <c r="J226" s="1">
        <v>224</v>
      </c>
      <c r="K226" s="1">
        <v>0</v>
      </c>
      <c r="L226" s="1">
        <v>13141</v>
      </c>
      <c r="M226" s="1">
        <v>12.960724000000001</v>
      </c>
      <c r="N226" s="1">
        <v>101.10615</v>
      </c>
      <c r="O226" s="1">
        <v>0.11</v>
      </c>
      <c r="P226" s="1">
        <v>0.09</v>
      </c>
      <c r="Q226" s="1">
        <v>0.11</v>
      </c>
      <c r="R226" s="1">
        <v>0.02</v>
      </c>
      <c r="S226" s="1">
        <v>0.24</v>
      </c>
      <c r="T226" s="1">
        <v>46.040000999999997</v>
      </c>
      <c r="U226" s="1">
        <v>3.41</v>
      </c>
      <c r="V226" s="1">
        <v>28.25</v>
      </c>
      <c r="W226" s="1">
        <v>2.17</v>
      </c>
      <c r="X226" s="1">
        <v>33588.639962000001</v>
      </c>
      <c r="Y226" s="1">
        <v>46640644.329099998</v>
      </c>
      <c r="Z226" t="str">
        <f>VLOOKUP(G226,'Code Pro'!$A$2:$B$9,2,FALSE)</f>
        <v>จ.ระยอง</v>
      </c>
      <c r="AA226" s="8">
        <f t="shared" si="28"/>
        <v>5130470.8762010001</v>
      </c>
      <c r="AB226" s="8">
        <f t="shared" si="29"/>
        <v>4197657.9896189999</v>
      </c>
      <c r="AC226" s="8">
        <f t="shared" si="30"/>
        <v>5130470.8762010001</v>
      </c>
      <c r="AD226" s="8">
        <f t="shared" si="31"/>
        <v>932812.88658199995</v>
      </c>
      <c r="AE226" s="8">
        <f t="shared" si="32"/>
        <v>11193754.638983998</v>
      </c>
      <c r="AF226" s="8">
        <f t="shared" si="33"/>
        <v>2147335311.552408</v>
      </c>
      <c r="AG226" s="8">
        <f t="shared" si="34"/>
        <v>159044597.162231</v>
      </c>
      <c r="AH226" s="8">
        <f t="shared" si="35"/>
        <v>1317598202.297075</v>
      </c>
      <c r="AI226" s="8">
        <f t="shared" si="36"/>
        <v>101210198.19414699</v>
      </c>
    </row>
    <row r="227" spans="1:35" x14ac:dyDescent="0.55000000000000004">
      <c r="A227" s="1">
        <v>225</v>
      </c>
      <c r="B227" s="1" t="s">
        <v>20</v>
      </c>
      <c r="C227" s="1">
        <v>18</v>
      </c>
      <c r="D227" s="1">
        <v>6</v>
      </c>
      <c r="E227" s="1" t="s">
        <v>53</v>
      </c>
      <c r="F227" s="1" t="s">
        <v>54</v>
      </c>
      <c r="G227" s="1">
        <v>21</v>
      </c>
      <c r="H227" s="1">
        <v>2</v>
      </c>
      <c r="I227" s="1">
        <v>21060000</v>
      </c>
      <c r="J227" s="1">
        <v>227</v>
      </c>
      <c r="K227" s="1">
        <v>0</v>
      </c>
      <c r="L227" s="1">
        <v>13261</v>
      </c>
      <c r="M227" s="1">
        <v>13.041733000000001</v>
      </c>
      <c r="N227" s="1">
        <v>101.10615</v>
      </c>
      <c r="O227" s="1">
        <v>6.42</v>
      </c>
      <c r="P227" s="1">
        <v>0.24</v>
      </c>
      <c r="Q227" s="1">
        <v>0.51</v>
      </c>
      <c r="R227" s="1">
        <v>2.87</v>
      </c>
      <c r="S227" s="1">
        <v>2.2599999999999998</v>
      </c>
      <c r="T227" s="1">
        <v>45.639999000000003</v>
      </c>
      <c r="U227" s="1">
        <v>5.42</v>
      </c>
      <c r="V227" s="1">
        <v>25.700001</v>
      </c>
      <c r="W227" s="1">
        <v>0</v>
      </c>
      <c r="X227" s="1">
        <v>22105.950575999999</v>
      </c>
      <c r="Y227" s="1">
        <v>16204586.933599999</v>
      </c>
      <c r="Z227" t="str">
        <f>VLOOKUP(G227,'Code Pro'!$A$2:$B$9,2,FALSE)</f>
        <v>จ.ระยอง</v>
      </c>
      <c r="AA227" s="8">
        <f t="shared" si="28"/>
        <v>104033448.113712</v>
      </c>
      <c r="AB227" s="8">
        <f t="shared" si="29"/>
        <v>3889100.8640639996</v>
      </c>
      <c r="AC227" s="8">
        <f t="shared" si="30"/>
        <v>8264339.3361359993</v>
      </c>
      <c r="AD227" s="8">
        <f t="shared" si="31"/>
        <v>46507164.499431998</v>
      </c>
      <c r="AE227" s="8">
        <f t="shared" si="32"/>
        <v>36622366.469935998</v>
      </c>
      <c r="AF227" s="8">
        <f t="shared" si="33"/>
        <v>739577331.44491708</v>
      </c>
      <c r="AG227" s="8">
        <f t="shared" si="34"/>
        <v>87828861.180111989</v>
      </c>
      <c r="AH227" s="8">
        <f t="shared" si="35"/>
        <v>416457900.39810693</v>
      </c>
      <c r="AI227" s="8">
        <f t="shared" si="36"/>
        <v>0</v>
      </c>
    </row>
    <row r="228" spans="1:35" x14ac:dyDescent="0.55000000000000004">
      <c r="A228" s="1">
        <v>226</v>
      </c>
      <c r="B228" s="1" t="s">
        <v>20</v>
      </c>
      <c r="C228" s="1">
        <v>18</v>
      </c>
      <c r="D228" s="1">
        <v>6</v>
      </c>
      <c r="E228" s="1" t="s">
        <v>53</v>
      </c>
      <c r="F228" s="1" t="s">
        <v>54</v>
      </c>
      <c r="G228" s="1">
        <v>21</v>
      </c>
      <c r="H228" s="1">
        <v>2</v>
      </c>
      <c r="I228" s="1">
        <v>21060000</v>
      </c>
      <c r="J228" s="1">
        <v>272</v>
      </c>
      <c r="K228" s="1">
        <v>0</v>
      </c>
      <c r="L228" s="1">
        <v>13023</v>
      </c>
      <c r="M228" s="1">
        <v>12.8797</v>
      </c>
      <c r="N228" s="1">
        <v>101.27242</v>
      </c>
      <c r="O228" s="1">
        <v>0.03</v>
      </c>
      <c r="P228" s="1">
        <v>0.14000000000000001</v>
      </c>
      <c r="Q228" s="1">
        <v>1.17</v>
      </c>
      <c r="R228" s="1">
        <v>3.11</v>
      </c>
      <c r="S228" s="1">
        <v>0.4</v>
      </c>
      <c r="T228" s="1">
        <v>89.239998</v>
      </c>
      <c r="U228" s="1">
        <v>25.530000999999999</v>
      </c>
      <c r="V228" s="1">
        <v>3.98</v>
      </c>
      <c r="W228" s="1">
        <v>1.29</v>
      </c>
      <c r="X228" s="1">
        <v>27681.219171000001</v>
      </c>
      <c r="Y228" s="1">
        <v>34808819.941100001</v>
      </c>
      <c r="Z228" t="str">
        <f>VLOOKUP(G228,'Code Pro'!$A$2:$B$9,2,FALSE)</f>
        <v>จ.ระยอง</v>
      </c>
      <c r="AA228" s="8">
        <f t="shared" si="28"/>
        <v>1044264.598233</v>
      </c>
      <c r="AB228" s="8">
        <f t="shared" si="29"/>
        <v>4873234.7917540008</v>
      </c>
      <c r="AC228" s="8">
        <f t="shared" si="30"/>
        <v>40726319.331087001</v>
      </c>
      <c r="AD228" s="8">
        <f t="shared" si="31"/>
        <v>108255430.016821</v>
      </c>
      <c r="AE228" s="8">
        <f t="shared" si="32"/>
        <v>13923527.976440001</v>
      </c>
      <c r="AF228" s="8">
        <f t="shared" si="33"/>
        <v>3106339021.9261241</v>
      </c>
      <c r="AG228" s="8">
        <f t="shared" si="34"/>
        <v>888669207.90510297</v>
      </c>
      <c r="AH228" s="8">
        <f t="shared" si="35"/>
        <v>138539103.365578</v>
      </c>
      <c r="AI228" s="8">
        <f t="shared" si="36"/>
        <v>44903377.724019006</v>
      </c>
    </row>
    <row r="229" spans="1:35" x14ac:dyDescent="0.55000000000000004">
      <c r="A229" s="1">
        <v>227</v>
      </c>
      <c r="B229" s="1" t="s">
        <v>20</v>
      </c>
      <c r="C229" s="1">
        <v>18</v>
      </c>
      <c r="D229" s="1">
        <v>6</v>
      </c>
      <c r="E229" s="1" t="s">
        <v>53</v>
      </c>
      <c r="F229" s="1" t="s">
        <v>54</v>
      </c>
      <c r="G229" s="1">
        <v>21</v>
      </c>
      <c r="H229" s="1">
        <v>2</v>
      </c>
      <c r="I229" s="1">
        <v>21060000</v>
      </c>
      <c r="J229" s="1">
        <v>273</v>
      </c>
      <c r="K229" s="1">
        <v>0</v>
      </c>
      <c r="L229" s="1">
        <v>13022</v>
      </c>
      <c r="M229" s="1">
        <v>12.8797</v>
      </c>
      <c r="N229" s="1">
        <v>101.189285</v>
      </c>
      <c r="O229" s="1">
        <v>0</v>
      </c>
      <c r="P229" s="1">
        <v>0.12</v>
      </c>
      <c r="Q229" s="1">
        <v>0</v>
      </c>
      <c r="R229" s="1">
        <v>0.65</v>
      </c>
      <c r="S229" s="1">
        <v>7.99</v>
      </c>
      <c r="T229" s="1">
        <v>53.490001999999997</v>
      </c>
      <c r="U229" s="1">
        <v>33.259998000000003</v>
      </c>
      <c r="V229" s="1">
        <v>10.199999999999999</v>
      </c>
      <c r="W229" s="1">
        <v>0.03</v>
      </c>
      <c r="X229" s="1">
        <v>33529.003793000003</v>
      </c>
      <c r="Y229" s="1">
        <v>31615979.311799999</v>
      </c>
      <c r="Z229" t="str">
        <f>VLOOKUP(G229,'Code Pro'!$A$2:$B$9,2,FALSE)</f>
        <v>จ.ระยอง</v>
      </c>
      <c r="AA229" s="8">
        <f t="shared" si="28"/>
        <v>0</v>
      </c>
      <c r="AB229" s="8">
        <f t="shared" si="29"/>
        <v>3793917.5174159999</v>
      </c>
      <c r="AC229" s="8">
        <f t="shared" si="30"/>
        <v>0</v>
      </c>
      <c r="AD229" s="8">
        <f t="shared" si="31"/>
        <v>20550386.552670002</v>
      </c>
      <c r="AE229" s="8">
        <f t="shared" si="32"/>
        <v>252611674.70128199</v>
      </c>
      <c r="AF229" s="8">
        <f t="shared" si="33"/>
        <v>1691138796.6201406</v>
      </c>
      <c r="AG229" s="8">
        <f t="shared" si="34"/>
        <v>1051547408.6785095</v>
      </c>
      <c r="AH229" s="8">
        <f t="shared" si="35"/>
        <v>322482988.98035997</v>
      </c>
      <c r="AI229" s="8">
        <f t="shared" si="36"/>
        <v>948479.37935399998</v>
      </c>
    </row>
    <row r="230" spans="1:35" x14ac:dyDescent="0.55000000000000004">
      <c r="A230" s="1">
        <v>228</v>
      </c>
      <c r="B230" s="1" t="s">
        <v>20</v>
      </c>
      <c r="C230" s="1">
        <v>18</v>
      </c>
      <c r="D230" s="1">
        <v>6</v>
      </c>
      <c r="E230" s="1" t="s">
        <v>53</v>
      </c>
      <c r="F230" s="1" t="s">
        <v>54</v>
      </c>
      <c r="G230" s="1">
        <v>21</v>
      </c>
      <c r="H230" s="1">
        <v>2</v>
      </c>
      <c r="I230" s="1">
        <v>21060000</v>
      </c>
      <c r="J230" s="1">
        <v>275</v>
      </c>
      <c r="K230" s="1">
        <v>0</v>
      </c>
      <c r="L230" s="1">
        <v>13143</v>
      </c>
      <c r="M230" s="1">
        <v>12.960724000000001</v>
      </c>
      <c r="N230" s="1">
        <v>101.27242</v>
      </c>
      <c r="O230" s="1">
        <v>1.27</v>
      </c>
      <c r="P230" s="1">
        <v>0.03</v>
      </c>
      <c r="Q230" s="1">
        <v>0.19</v>
      </c>
      <c r="R230" s="1">
        <v>0.12</v>
      </c>
      <c r="S230" s="1">
        <v>16.489999999999998</v>
      </c>
      <c r="T230" s="1">
        <v>92.739998</v>
      </c>
      <c r="U230" s="1">
        <v>19.32</v>
      </c>
      <c r="V230" s="1">
        <v>6.42</v>
      </c>
      <c r="W230" s="1">
        <v>1.02</v>
      </c>
      <c r="X230" s="1">
        <v>36016.861235999997</v>
      </c>
      <c r="Y230" s="1">
        <v>80862361.317100003</v>
      </c>
      <c r="Z230" t="str">
        <f>VLOOKUP(G230,'Code Pro'!$A$2:$B$9,2,FALSE)</f>
        <v>จ.ระยอง</v>
      </c>
      <c r="AA230" s="8">
        <f t="shared" si="28"/>
        <v>102695198.87271701</v>
      </c>
      <c r="AB230" s="8">
        <f t="shared" si="29"/>
        <v>2425870.8395130001</v>
      </c>
      <c r="AC230" s="8">
        <f t="shared" si="30"/>
        <v>15363848.650249001</v>
      </c>
      <c r="AD230" s="8">
        <f t="shared" si="31"/>
        <v>9703483.3580520004</v>
      </c>
      <c r="AE230" s="8">
        <f t="shared" si="32"/>
        <v>1333420338.118979</v>
      </c>
      <c r="AF230" s="8">
        <f t="shared" si="33"/>
        <v>7499175226.8231316</v>
      </c>
      <c r="AG230" s="8">
        <f t="shared" si="34"/>
        <v>1562260820.6463721</v>
      </c>
      <c r="AH230" s="8">
        <f t="shared" si="35"/>
        <v>519136359.65578204</v>
      </c>
      <c r="AI230" s="8">
        <f t="shared" si="36"/>
        <v>82479608.543442011</v>
      </c>
    </row>
    <row r="231" spans="1:35" x14ac:dyDescent="0.55000000000000004">
      <c r="A231" s="1">
        <v>229</v>
      </c>
      <c r="B231" s="1" t="s">
        <v>20</v>
      </c>
      <c r="C231" s="1">
        <v>18</v>
      </c>
      <c r="D231" s="1">
        <v>6</v>
      </c>
      <c r="E231" s="1" t="s">
        <v>53</v>
      </c>
      <c r="F231" s="1" t="s">
        <v>54</v>
      </c>
      <c r="G231" s="1">
        <v>21</v>
      </c>
      <c r="H231" s="1">
        <v>2</v>
      </c>
      <c r="I231" s="1">
        <v>21060000</v>
      </c>
      <c r="J231" s="1">
        <v>276</v>
      </c>
      <c r="K231" s="1">
        <v>0</v>
      </c>
      <c r="L231" s="1">
        <v>13142</v>
      </c>
      <c r="M231" s="1">
        <v>12.960724000000001</v>
      </c>
      <c r="N231" s="1">
        <v>101.189285</v>
      </c>
      <c r="O231" s="1">
        <v>0.36</v>
      </c>
      <c r="P231" s="1">
        <v>0.01</v>
      </c>
      <c r="Q231" s="1">
        <v>0</v>
      </c>
      <c r="R231" s="1">
        <v>0</v>
      </c>
      <c r="S231" s="1">
        <v>2.86</v>
      </c>
      <c r="T231" s="1">
        <v>31.66</v>
      </c>
      <c r="U231" s="1">
        <v>7.71</v>
      </c>
      <c r="V231" s="1">
        <v>4.55</v>
      </c>
      <c r="W231" s="1">
        <v>1.32</v>
      </c>
      <c r="X231" s="1">
        <v>35822.330505999998</v>
      </c>
      <c r="Y231" s="1">
        <v>80293861.2456</v>
      </c>
      <c r="Z231" t="str">
        <f>VLOOKUP(G231,'Code Pro'!$A$2:$B$9,2,FALSE)</f>
        <v>จ.ระยอง</v>
      </c>
      <c r="AA231" s="8">
        <f t="shared" si="28"/>
        <v>28905790.048416</v>
      </c>
      <c r="AB231" s="8">
        <f t="shared" si="29"/>
        <v>802938.61245600006</v>
      </c>
      <c r="AC231" s="8">
        <f t="shared" si="30"/>
        <v>0</v>
      </c>
      <c r="AD231" s="8">
        <f t="shared" si="31"/>
        <v>0</v>
      </c>
      <c r="AE231" s="8">
        <f t="shared" si="32"/>
        <v>229640443.16241598</v>
      </c>
      <c r="AF231" s="8">
        <f t="shared" si="33"/>
        <v>2542103647.035696</v>
      </c>
      <c r="AG231" s="8">
        <f t="shared" si="34"/>
        <v>619065670.20357597</v>
      </c>
      <c r="AH231" s="8">
        <f t="shared" si="35"/>
        <v>365337068.66747999</v>
      </c>
      <c r="AI231" s="8">
        <f t="shared" si="36"/>
        <v>105987896.844192</v>
      </c>
    </row>
    <row r="232" spans="1:35" x14ac:dyDescent="0.55000000000000004">
      <c r="A232" s="1">
        <v>230</v>
      </c>
      <c r="B232" s="1" t="s">
        <v>20</v>
      </c>
      <c r="C232" s="1">
        <v>18</v>
      </c>
      <c r="D232" s="1">
        <v>6</v>
      </c>
      <c r="E232" s="1" t="s">
        <v>53</v>
      </c>
      <c r="F232" s="1" t="s">
        <v>54</v>
      </c>
      <c r="G232" s="1">
        <v>21</v>
      </c>
      <c r="H232" s="1">
        <v>2</v>
      </c>
      <c r="I232" s="1">
        <v>21060000</v>
      </c>
      <c r="J232" s="1">
        <v>277</v>
      </c>
      <c r="K232" s="1">
        <v>0</v>
      </c>
      <c r="L232" s="1">
        <v>13263</v>
      </c>
      <c r="M232" s="1">
        <v>13.041733000000001</v>
      </c>
      <c r="N232" s="1">
        <v>101.27242</v>
      </c>
      <c r="O232" s="1">
        <v>1.27</v>
      </c>
      <c r="P232" s="1">
        <v>0</v>
      </c>
      <c r="Q232" s="1">
        <v>0.98</v>
      </c>
      <c r="R232" s="1">
        <v>3.08</v>
      </c>
      <c r="S232" s="1">
        <v>1.43</v>
      </c>
      <c r="T232" s="1">
        <v>63.950001</v>
      </c>
      <c r="U232" s="1">
        <v>5.75</v>
      </c>
      <c r="V232" s="1">
        <v>22.07</v>
      </c>
      <c r="W232" s="1">
        <v>0.79</v>
      </c>
      <c r="X232" s="1">
        <v>37567.742773999998</v>
      </c>
      <c r="Y232" s="1">
        <v>65920987.9234</v>
      </c>
      <c r="Z232" t="str">
        <f>VLOOKUP(G232,'Code Pro'!$A$2:$B$9,2,FALSE)</f>
        <v>จ.ระยอง</v>
      </c>
      <c r="AA232" s="8">
        <f t="shared" si="28"/>
        <v>83719654.662717998</v>
      </c>
      <c r="AB232" s="8">
        <f t="shared" si="29"/>
        <v>0</v>
      </c>
      <c r="AC232" s="8">
        <f t="shared" si="30"/>
        <v>64602568.164931998</v>
      </c>
      <c r="AD232" s="8">
        <f t="shared" si="31"/>
        <v>203036642.80407199</v>
      </c>
      <c r="AE232" s="8">
        <f t="shared" si="32"/>
        <v>94267012.730462</v>
      </c>
      <c r="AF232" s="8">
        <f t="shared" si="33"/>
        <v>4215647243.6224179</v>
      </c>
      <c r="AG232" s="8">
        <f t="shared" si="34"/>
        <v>379045680.55954999</v>
      </c>
      <c r="AH232" s="8">
        <f t="shared" si="35"/>
        <v>1454876203.4694381</v>
      </c>
      <c r="AI232" s="8">
        <f t="shared" si="36"/>
        <v>52077580.459486</v>
      </c>
    </row>
    <row r="233" spans="1:35" x14ac:dyDescent="0.55000000000000004">
      <c r="A233" s="1">
        <v>231</v>
      </c>
      <c r="B233" s="1" t="s">
        <v>20</v>
      </c>
      <c r="C233" s="1">
        <v>18</v>
      </c>
      <c r="D233" s="1">
        <v>6</v>
      </c>
      <c r="E233" s="1" t="s">
        <v>53</v>
      </c>
      <c r="F233" s="1" t="s">
        <v>54</v>
      </c>
      <c r="G233" s="1">
        <v>21</v>
      </c>
      <c r="H233" s="1">
        <v>2</v>
      </c>
      <c r="I233" s="1">
        <v>21060000</v>
      </c>
      <c r="J233" s="1">
        <v>278</v>
      </c>
      <c r="K233" s="1">
        <v>0</v>
      </c>
      <c r="L233" s="1">
        <v>13262</v>
      </c>
      <c r="M233" s="1">
        <v>13.041733000000001</v>
      </c>
      <c r="N233" s="1">
        <v>101.189285</v>
      </c>
      <c r="O233" s="1">
        <v>2.85</v>
      </c>
      <c r="P233" s="1">
        <v>0.01</v>
      </c>
      <c r="Q233" s="1">
        <v>0.88</v>
      </c>
      <c r="R233" s="1">
        <v>0.12</v>
      </c>
      <c r="S233" s="1">
        <v>2.9</v>
      </c>
      <c r="T233" s="1">
        <v>42.27</v>
      </c>
      <c r="U233" s="1">
        <v>4.16</v>
      </c>
      <c r="V233" s="1">
        <v>21.74</v>
      </c>
      <c r="W233" s="1">
        <v>0.01</v>
      </c>
      <c r="X233" s="1">
        <v>40594.167989000001</v>
      </c>
      <c r="Y233" s="1">
        <v>45594219.1439</v>
      </c>
      <c r="Z233" t="str">
        <f>VLOOKUP(G233,'Code Pro'!$A$2:$B$9,2,FALSE)</f>
        <v>จ.ระยอง</v>
      </c>
      <c r="AA233" s="8">
        <f t="shared" si="28"/>
        <v>129943524.56011501</v>
      </c>
      <c r="AB233" s="8">
        <f t="shared" si="29"/>
        <v>455942.19143900002</v>
      </c>
      <c r="AC233" s="8">
        <f t="shared" si="30"/>
        <v>40122912.846631996</v>
      </c>
      <c r="AD233" s="8">
        <f t="shared" si="31"/>
        <v>5471306.2972679995</v>
      </c>
      <c r="AE233" s="8">
        <f t="shared" si="32"/>
        <v>132223235.51730999</v>
      </c>
      <c r="AF233" s="8">
        <f t="shared" si="33"/>
        <v>1927267643.2126532</v>
      </c>
      <c r="AG233" s="8">
        <f t="shared" si="34"/>
        <v>189671951.63862401</v>
      </c>
      <c r="AH233" s="8">
        <f t="shared" si="35"/>
        <v>991218324.18838596</v>
      </c>
      <c r="AI233" s="8">
        <f t="shared" si="36"/>
        <v>455942.19143900002</v>
      </c>
    </row>
    <row r="234" spans="1:35" x14ac:dyDescent="0.55000000000000004">
      <c r="A234" s="1">
        <v>232</v>
      </c>
      <c r="B234" s="1" t="s">
        <v>20</v>
      </c>
      <c r="C234" s="1">
        <v>18</v>
      </c>
      <c r="D234" s="1">
        <v>6</v>
      </c>
      <c r="E234" s="1" t="s">
        <v>53</v>
      </c>
      <c r="F234" s="1" t="s">
        <v>54</v>
      </c>
      <c r="G234" s="1">
        <v>21</v>
      </c>
      <c r="H234" s="1">
        <v>2</v>
      </c>
      <c r="I234" s="1">
        <v>21060000</v>
      </c>
      <c r="J234" s="1">
        <v>284</v>
      </c>
      <c r="K234" s="1">
        <v>0</v>
      </c>
      <c r="L234" s="1">
        <v>13024</v>
      </c>
      <c r="M234" s="1">
        <v>12.8797</v>
      </c>
      <c r="N234" s="1">
        <v>101.35556</v>
      </c>
      <c r="O234" s="1">
        <v>22.82</v>
      </c>
      <c r="P234" s="1">
        <v>2.29</v>
      </c>
      <c r="Q234" s="1">
        <v>0.09</v>
      </c>
      <c r="R234" s="1">
        <v>5.79</v>
      </c>
      <c r="S234" s="1">
        <v>0.02</v>
      </c>
      <c r="T234" s="1">
        <v>29.940000999999999</v>
      </c>
      <c r="U234" s="1">
        <v>7.38</v>
      </c>
      <c r="V234" s="1">
        <v>8.69</v>
      </c>
      <c r="W234" s="1">
        <v>0.63</v>
      </c>
      <c r="X234" s="1">
        <v>3813.6488979999999</v>
      </c>
      <c r="Y234" s="1">
        <v>662089.12493599998</v>
      </c>
      <c r="Z234" t="str">
        <f>VLOOKUP(G234,'Code Pro'!$A$2:$B$9,2,FALSE)</f>
        <v>จ.ระยอง</v>
      </c>
      <c r="AA234" s="8">
        <f t="shared" si="28"/>
        <v>15108873.83103952</v>
      </c>
      <c r="AB234" s="8">
        <f t="shared" si="29"/>
        <v>1516184.09610344</v>
      </c>
      <c r="AC234" s="8">
        <f t="shared" si="30"/>
        <v>59588.021244239993</v>
      </c>
      <c r="AD234" s="8">
        <f t="shared" si="31"/>
        <v>3833496.0333794397</v>
      </c>
      <c r="AE234" s="8">
        <f t="shared" si="32"/>
        <v>13241.78249872</v>
      </c>
      <c r="AF234" s="8">
        <f t="shared" si="33"/>
        <v>19822949.062672965</v>
      </c>
      <c r="AG234" s="8">
        <f t="shared" si="34"/>
        <v>4886217.7420276795</v>
      </c>
      <c r="AH234" s="8">
        <f t="shared" si="35"/>
        <v>5753554.4956938392</v>
      </c>
      <c r="AI234" s="8">
        <f t="shared" si="36"/>
        <v>417116.14870968001</v>
      </c>
    </row>
    <row r="235" spans="1:35" x14ac:dyDescent="0.55000000000000004">
      <c r="A235" s="1">
        <v>233</v>
      </c>
      <c r="B235" s="1" t="s">
        <v>20</v>
      </c>
      <c r="C235" s="1">
        <v>18</v>
      </c>
      <c r="D235" s="1">
        <v>6</v>
      </c>
      <c r="E235" s="1" t="s">
        <v>53</v>
      </c>
      <c r="F235" s="1" t="s">
        <v>54</v>
      </c>
      <c r="G235" s="1">
        <v>21</v>
      </c>
      <c r="H235" s="1">
        <v>2</v>
      </c>
      <c r="I235" s="1">
        <v>21060000</v>
      </c>
      <c r="J235" s="1">
        <v>285</v>
      </c>
      <c r="K235" s="1">
        <v>0</v>
      </c>
      <c r="L235" s="1">
        <v>13145</v>
      </c>
      <c r="M235" s="1">
        <v>12.960724000000001</v>
      </c>
      <c r="N235" s="1">
        <v>101.4387</v>
      </c>
      <c r="O235" s="1">
        <v>21.27</v>
      </c>
      <c r="P235" s="1">
        <v>0.17</v>
      </c>
      <c r="Q235" s="1">
        <v>0.5</v>
      </c>
      <c r="R235" s="1">
        <v>1.47</v>
      </c>
      <c r="S235" s="1">
        <v>33.950001</v>
      </c>
      <c r="T235" s="1">
        <v>3.81</v>
      </c>
      <c r="U235" s="1">
        <v>12.43</v>
      </c>
      <c r="V235" s="1">
        <v>1.48</v>
      </c>
      <c r="W235" s="1">
        <v>0</v>
      </c>
      <c r="X235" s="1">
        <v>18366.52217</v>
      </c>
      <c r="Y235" s="1">
        <v>12292145.1831</v>
      </c>
      <c r="Z235" t="str">
        <f>VLOOKUP(G235,'Code Pro'!$A$2:$B$9,2,FALSE)</f>
        <v>จ.ระยอง</v>
      </c>
      <c r="AA235" s="8">
        <f t="shared" si="28"/>
        <v>261453928.04453701</v>
      </c>
      <c r="AB235" s="8">
        <f t="shared" si="29"/>
        <v>2089664.6811270001</v>
      </c>
      <c r="AC235" s="8">
        <f t="shared" si="30"/>
        <v>6146072.59155</v>
      </c>
      <c r="AD235" s="8">
        <f t="shared" si="31"/>
        <v>18069453.419156998</v>
      </c>
      <c r="AE235" s="8">
        <f t="shared" si="32"/>
        <v>417318341.25839019</v>
      </c>
      <c r="AF235" s="8">
        <f t="shared" si="33"/>
        <v>46833073.147611</v>
      </c>
      <c r="AG235" s="8">
        <f t="shared" si="34"/>
        <v>152791364.62593299</v>
      </c>
      <c r="AH235" s="8">
        <f t="shared" si="35"/>
        <v>18192374.870988</v>
      </c>
      <c r="AI235" s="8">
        <f t="shared" si="36"/>
        <v>0</v>
      </c>
    </row>
    <row r="236" spans="1:35" x14ac:dyDescent="0.55000000000000004">
      <c r="A236" s="1">
        <v>234</v>
      </c>
      <c r="B236" s="1" t="s">
        <v>20</v>
      </c>
      <c r="C236" s="1">
        <v>18</v>
      </c>
      <c r="D236" s="1">
        <v>6</v>
      </c>
      <c r="E236" s="1" t="s">
        <v>53</v>
      </c>
      <c r="F236" s="1" t="s">
        <v>54</v>
      </c>
      <c r="G236" s="1">
        <v>21</v>
      </c>
      <c r="H236" s="1">
        <v>2</v>
      </c>
      <c r="I236" s="1">
        <v>21060000</v>
      </c>
      <c r="J236" s="1">
        <v>286</v>
      </c>
      <c r="K236" s="1">
        <v>0</v>
      </c>
      <c r="L236" s="1">
        <v>13144</v>
      </c>
      <c r="M236" s="1">
        <v>12.960724000000001</v>
      </c>
      <c r="N236" s="1">
        <v>101.35556</v>
      </c>
      <c r="O236" s="1">
        <v>22.209999</v>
      </c>
      <c r="P236" s="1">
        <v>10.8</v>
      </c>
      <c r="Q236" s="1">
        <v>0.03</v>
      </c>
      <c r="R236" s="1">
        <v>0.47</v>
      </c>
      <c r="S236" s="1">
        <v>23.59</v>
      </c>
      <c r="T236" s="1">
        <v>16.32</v>
      </c>
      <c r="U236" s="1">
        <v>8.8000000000000007</v>
      </c>
      <c r="V236" s="1">
        <v>6.19</v>
      </c>
      <c r="W236" s="1">
        <v>0.06</v>
      </c>
      <c r="X236" s="1">
        <v>42149.734366999997</v>
      </c>
      <c r="Y236" s="1">
        <v>58800982.772699997</v>
      </c>
      <c r="Z236" t="str">
        <f>VLOOKUP(G236,'Code Pro'!$A$2:$B$9,2,FALSE)</f>
        <v>จ.ระยอง</v>
      </c>
      <c r="AA236" s="8">
        <f t="shared" si="28"/>
        <v>1305969768.5806842</v>
      </c>
      <c r="AB236" s="8">
        <f t="shared" si="29"/>
        <v>635050613.94516003</v>
      </c>
      <c r="AC236" s="8">
        <f t="shared" si="30"/>
        <v>1764029.4831809998</v>
      </c>
      <c r="AD236" s="8">
        <f t="shared" si="31"/>
        <v>27636461.903168999</v>
      </c>
      <c r="AE236" s="8">
        <f t="shared" si="32"/>
        <v>1387115183.6079929</v>
      </c>
      <c r="AF236" s="8">
        <f t="shared" si="33"/>
        <v>959632038.85046399</v>
      </c>
      <c r="AG236" s="8">
        <f t="shared" si="34"/>
        <v>517448648.39976001</v>
      </c>
      <c r="AH236" s="8">
        <f t="shared" si="35"/>
        <v>363978083.36301303</v>
      </c>
      <c r="AI236" s="8">
        <f t="shared" si="36"/>
        <v>3528058.9663619995</v>
      </c>
    </row>
    <row r="237" spans="1:35" x14ac:dyDescent="0.55000000000000004">
      <c r="A237" s="1">
        <v>235</v>
      </c>
      <c r="B237" s="1" t="s">
        <v>20</v>
      </c>
      <c r="C237" s="1">
        <v>18</v>
      </c>
      <c r="D237" s="1">
        <v>6</v>
      </c>
      <c r="E237" s="1" t="s">
        <v>53</v>
      </c>
      <c r="F237" s="1" t="s">
        <v>54</v>
      </c>
      <c r="G237" s="1">
        <v>21</v>
      </c>
      <c r="H237" s="1">
        <v>2</v>
      </c>
      <c r="I237" s="1">
        <v>21060000</v>
      </c>
      <c r="J237" s="1">
        <v>289</v>
      </c>
      <c r="K237" s="1">
        <v>0</v>
      </c>
      <c r="L237" s="1">
        <v>13265</v>
      </c>
      <c r="M237" s="1">
        <v>13.041733000000001</v>
      </c>
      <c r="N237" s="1">
        <v>101.4387</v>
      </c>
      <c r="O237" s="1">
        <v>0.31</v>
      </c>
      <c r="P237" s="1">
        <v>0.03</v>
      </c>
      <c r="Q237" s="1">
        <v>0.69</v>
      </c>
      <c r="R237" s="1">
        <v>0.01</v>
      </c>
      <c r="S237" s="1">
        <v>34.330002</v>
      </c>
      <c r="T237" s="1">
        <v>6.61</v>
      </c>
      <c r="U237" s="1">
        <v>3.3</v>
      </c>
      <c r="V237" s="1">
        <v>11.41</v>
      </c>
      <c r="W237" s="1">
        <v>0.14000000000000001</v>
      </c>
      <c r="X237" s="1">
        <v>5962.2303860000002</v>
      </c>
      <c r="Y237" s="1">
        <v>1600665.77639</v>
      </c>
      <c r="Z237" t="str">
        <f>VLOOKUP(G237,'Code Pro'!$A$2:$B$9,2,FALSE)</f>
        <v>จ.ระยอง</v>
      </c>
      <c r="AA237" s="8">
        <f t="shared" si="28"/>
        <v>496206.39068090002</v>
      </c>
      <c r="AB237" s="8">
        <f t="shared" si="29"/>
        <v>48019.9732917</v>
      </c>
      <c r="AC237" s="8">
        <f t="shared" si="30"/>
        <v>1104459.3857090999</v>
      </c>
      <c r="AD237" s="8">
        <f t="shared" si="31"/>
        <v>16006.657763900001</v>
      </c>
      <c r="AE237" s="8">
        <f t="shared" si="32"/>
        <v>54950859.304800257</v>
      </c>
      <c r="AF237" s="8">
        <f t="shared" si="33"/>
        <v>10580400.781937901</v>
      </c>
      <c r="AG237" s="8">
        <f t="shared" si="34"/>
        <v>5282197.0620869994</v>
      </c>
      <c r="AH237" s="8">
        <f t="shared" si="35"/>
        <v>18263596.508609902</v>
      </c>
      <c r="AI237" s="8">
        <f t="shared" si="36"/>
        <v>224093.20869460003</v>
      </c>
    </row>
    <row r="238" spans="1:35" x14ac:dyDescent="0.55000000000000004">
      <c r="A238" s="1">
        <v>236</v>
      </c>
      <c r="B238" s="1" t="s">
        <v>20</v>
      </c>
      <c r="C238" s="1">
        <v>18</v>
      </c>
      <c r="D238" s="1">
        <v>6</v>
      </c>
      <c r="E238" s="1" t="s">
        <v>53</v>
      </c>
      <c r="F238" s="1" t="s">
        <v>54</v>
      </c>
      <c r="G238" s="1">
        <v>21</v>
      </c>
      <c r="H238" s="1">
        <v>2</v>
      </c>
      <c r="I238" s="1">
        <v>21060000</v>
      </c>
      <c r="J238" s="1">
        <v>290</v>
      </c>
      <c r="K238" s="1">
        <v>0</v>
      </c>
      <c r="L238" s="1">
        <v>13264</v>
      </c>
      <c r="M238" s="1">
        <v>13.041733000000001</v>
      </c>
      <c r="N238" s="1">
        <v>101.35556</v>
      </c>
      <c r="O238" s="1">
        <v>0.9</v>
      </c>
      <c r="P238" s="1">
        <v>1.3</v>
      </c>
      <c r="Q238" s="1">
        <v>0.12</v>
      </c>
      <c r="R238" s="1">
        <v>0.22</v>
      </c>
      <c r="S238" s="1">
        <v>7.49</v>
      </c>
      <c r="T238" s="1">
        <v>10.43</v>
      </c>
      <c r="U238" s="1">
        <v>7.26</v>
      </c>
      <c r="V238" s="1">
        <v>6.97</v>
      </c>
      <c r="W238" s="1">
        <v>0.05</v>
      </c>
      <c r="X238" s="1">
        <v>32473.162063</v>
      </c>
      <c r="Y238" s="1">
        <v>55578264.721600004</v>
      </c>
      <c r="Z238" t="str">
        <f>VLOOKUP(G238,'Code Pro'!$A$2:$B$9,2,FALSE)</f>
        <v>จ.ระยอง</v>
      </c>
      <c r="AA238" s="8">
        <f t="shared" si="28"/>
        <v>50020438.249440007</v>
      </c>
      <c r="AB238" s="8">
        <f t="shared" si="29"/>
        <v>72251744.138080001</v>
      </c>
      <c r="AC238" s="8">
        <f t="shared" si="30"/>
        <v>6669391.7665920006</v>
      </c>
      <c r="AD238" s="8">
        <f t="shared" si="31"/>
        <v>12227218.238752</v>
      </c>
      <c r="AE238" s="8">
        <f t="shared" si="32"/>
        <v>416281202.76478404</v>
      </c>
      <c r="AF238" s="8">
        <f t="shared" si="33"/>
        <v>579681301.04628801</v>
      </c>
      <c r="AG238" s="8">
        <f t="shared" si="34"/>
        <v>403498201.87881601</v>
      </c>
      <c r="AH238" s="8">
        <f t="shared" si="35"/>
        <v>387380505.10955203</v>
      </c>
      <c r="AI238" s="8">
        <f t="shared" si="36"/>
        <v>2778913.2360800002</v>
      </c>
    </row>
    <row r="239" spans="1:35" x14ac:dyDescent="0.55000000000000004">
      <c r="A239" s="1">
        <v>237</v>
      </c>
      <c r="B239" s="1" t="s">
        <v>20</v>
      </c>
      <c r="C239" s="1">
        <v>18</v>
      </c>
      <c r="D239" s="1">
        <v>6</v>
      </c>
      <c r="E239" s="1" t="s">
        <v>53</v>
      </c>
      <c r="F239" s="1" t="s">
        <v>54</v>
      </c>
      <c r="G239" s="1">
        <v>21</v>
      </c>
      <c r="H239" s="1">
        <v>2</v>
      </c>
      <c r="I239" s="1">
        <v>21060000</v>
      </c>
      <c r="J239" s="1">
        <v>735</v>
      </c>
      <c r="K239" s="1">
        <v>0</v>
      </c>
      <c r="L239" s="1">
        <v>13384</v>
      </c>
      <c r="M239" s="1">
        <v>13.122719</v>
      </c>
      <c r="N239" s="1">
        <v>101.35556</v>
      </c>
      <c r="O239" s="1">
        <v>0.4</v>
      </c>
      <c r="P239" s="1">
        <v>7.0000000000000007E-2</v>
      </c>
      <c r="Q239" s="1">
        <v>0.02</v>
      </c>
      <c r="R239" s="1">
        <v>0.97</v>
      </c>
      <c r="S239" s="1">
        <v>0.06</v>
      </c>
      <c r="T239" s="1">
        <v>24.940000999999999</v>
      </c>
      <c r="U239" s="1">
        <v>4.46</v>
      </c>
      <c r="V239" s="1">
        <v>4.47</v>
      </c>
      <c r="W239" s="1">
        <v>0</v>
      </c>
      <c r="X239" s="1">
        <v>2572.3072099999999</v>
      </c>
      <c r="Y239" s="1">
        <v>123385.209342</v>
      </c>
      <c r="Z239" t="str">
        <f>VLOOKUP(G239,'Code Pro'!$A$2:$B$9,2,FALSE)</f>
        <v>จ.ระยอง</v>
      </c>
      <c r="AA239" s="8">
        <f t="shared" si="28"/>
        <v>49354.083736800007</v>
      </c>
      <c r="AB239" s="8">
        <f t="shared" si="29"/>
        <v>8636.9646539400001</v>
      </c>
      <c r="AC239" s="8">
        <f t="shared" si="30"/>
        <v>2467.7041868400001</v>
      </c>
      <c r="AD239" s="8">
        <f t="shared" si="31"/>
        <v>119683.65306174</v>
      </c>
      <c r="AE239" s="8">
        <f t="shared" si="32"/>
        <v>7403.1125605199995</v>
      </c>
      <c r="AF239" s="8">
        <f t="shared" si="33"/>
        <v>3077227.2443746892</v>
      </c>
      <c r="AG239" s="8">
        <f t="shared" si="34"/>
        <v>550298.03366532002</v>
      </c>
      <c r="AH239" s="8">
        <f t="shared" si="35"/>
        <v>551531.88575874001</v>
      </c>
      <c r="AI239" s="8">
        <f t="shared" si="36"/>
        <v>0</v>
      </c>
    </row>
    <row r="240" spans="1:35" x14ac:dyDescent="0.55000000000000004">
      <c r="A240" s="1">
        <v>238</v>
      </c>
      <c r="B240" s="1" t="s">
        <v>20</v>
      </c>
      <c r="C240" s="1">
        <v>19</v>
      </c>
      <c r="D240" s="1">
        <v>7</v>
      </c>
      <c r="E240" s="1" t="s">
        <v>55</v>
      </c>
      <c r="F240" s="1" t="s">
        <v>56</v>
      </c>
      <c r="G240" s="1">
        <v>21</v>
      </c>
      <c r="H240" s="1">
        <v>2</v>
      </c>
      <c r="I240" s="1">
        <v>21070000</v>
      </c>
      <c r="J240" s="1">
        <v>294</v>
      </c>
      <c r="K240" s="1">
        <v>0</v>
      </c>
      <c r="L240" s="1">
        <v>12909</v>
      </c>
      <c r="M240" s="1">
        <v>12.798636999999999</v>
      </c>
      <c r="N240" s="1">
        <v>101.77124000000001</v>
      </c>
      <c r="O240" s="1">
        <v>0.06</v>
      </c>
      <c r="P240" s="1">
        <v>0</v>
      </c>
      <c r="Q240" s="1">
        <v>6.43</v>
      </c>
      <c r="R240" s="1">
        <v>8.75</v>
      </c>
      <c r="S240" s="1">
        <v>3.02</v>
      </c>
      <c r="T240" s="1">
        <v>4.2</v>
      </c>
      <c r="U240" s="1">
        <v>7.26</v>
      </c>
      <c r="V240" s="1">
        <v>20.82</v>
      </c>
      <c r="W240" s="1">
        <v>0.22</v>
      </c>
      <c r="X240" s="1">
        <v>3914.6191650000001</v>
      </c>
      <c r="Y240" s="1">
        <v>512574.87654600001</v>
      </c>
      <c r="Z240" t="str">
        <f>VLOOKUP(G240,'Code Pro'!$A$2:$B$9,2,FALSE)</f>
        <v>จ.ระยอง</v>
      </c>
      <c r="AA240" s="8">
        <f t="shared" si="28"/>
        <v>30754.492592759998</v>
      </c>
      <c r="AB240" s="8">
        <f t="shared" si="29"/>
        <v>0</v>
      </c>
      <c r="AC240" s="8">
        <f t="shared" si="30"/>
        <v>3295856.4561907798</v>
      </c>
      <c r="AD240" s="8">
        <f t="shared" si="31"/>
        <v>4485030.1697775004</v>
      </c>
      <c r="AE240" s="8">
        <f t="shared" si="32"/>
        <v>1547976.1271689201</v>
      </c>
      <c r="AF240" s="8">
        <f t="shared" si="33"/>
        <v>2152814.4814932002</v>
      </c>
      <c r="AG240" s="8">
        <f t="shared" si="34"/>
        <v>3721293.60372396</v>
      </c>
      <c r="AH240" s="8">
        <f t="shared" si="35"/>
        <v>10671808.92968772</v>
      </c>
      <c r="AI240" s="8">
        <f t="shared" si="36"/>
        <v>112766.47284012</v>
      </c>
    </row>
    <row r="241" spans="1:35" x14ac:dyDescent="0.55000000000000004">
      <c r="A241" s="1">
        <v>239</v>
      </c>
      <c r="B241" s="1" t="s">
        <v>20</v>
      </c>
      <c r="C241" s="1">
        <v>19</v>
      </c>
      <c r="D241" s="1">
        <v>7</v>
      </c>
      <c r="E241" s="1" t="s">
        <v>55</v>
      </c>
      <c r="F241" s="1" t="s">
        <v>56</v>
      </c>
      <c r="G241" s="1">
        <v>21</v>
      </c>
      <c r="H241" s="1">
        <v>2</v>
      </c>
      <c r="I241" s="1">
        <v>21070000</v>
      </c>
      <c r="J241" s="1">
        <v>299</v>
      </c>
      <c r="K241" s="1">
        <v>0</v>
      </c>
      <c r="L241" s="1">
        <v>13027</v>
      </c>
      <c r="M241" s="1">
        <v>12.8797</v>
      </c>
      <c r="N241" s="1">
        <v>101.60496500000001</v>
      </c>
      <c r="O241" s="1">
        <v>7.9</v>
      </c>
      <c r="P241" s="1">
        <v>0.01</v>
      </c>
      <c r="Q241" s="1">
        <v>0.3</v>
      </c>
      <c r="R241" s="1">
        <v>20.350000000000001</v>
      </c>
      <c r="S241" s="1">
        <v>0.67</v>
      </c>
      <c r="T241" s="1">
        <v>2.0099999999999998</v>
      </c>
      <c r="U241" s="1">
        <v>17.829999999999998</v>
      </c>
      <c r="V241" s="1">
        <v>18.5</v>
      </c>
      <c r="W241" s="1">
        <v>0.77</v>
      </c>
      <c r="X241" s="1">
        <v>18013.458707999998</v>
      </c>
      <c r="Y241" s="1">
        <v>12304229.3347</v>
      </c>
      <c r="Z241" t="str">
        <f>VLOOKUP(G241,'Code Pro'!$A$2:$B$9,2,FALSE)</f>
        <v>จ.ระยอง</v>
      </c>
      <c r="AA241" s="8">
        <f t="shared" si="28"/>
        <v>97203411.74413</v>
      </c>
      <c r="AB241" s="8">
        <f t="shared" si="29"/>
        <v>123042.293347</v>
      </c>
      <c r="AC241" s="8">
        <f t="shared" si="30"/>
        <v>3691268.8004099997</v>
      </c>
      <c r="AD241" s="8">
        <f t="shared" si="31"/>
        <v>250391066.96114501</v>
      </c>
      <c r="AE241" s="8">
        <f t="shared" si="32"/>
        <v>8243833.6542490004</v>
      </c>
      <c r="AF241" s="8">
        <f t="shared" si="33"/>
        <v>24731500.962746996</v>
      </c>
      <c r="AG241" s="8">
        <f t="shared" si="34"/>
        <v>219384409.03770098</v>
      </c>
      <c r="AH241" s="8">
        <f t="shared" si="35"/>
        <v>227628242.69194999</v>
      </c>
      <c r="AI241" s="8">
        <f t="shared" si="36"/>
        <v>9474256.587718999</v>
      </c>
    </row>
    <row r="242" spans="1:35" x14ac:dyDescent="0.55000000000000004">
      <c r="A242" s="1">
        <v>240</v>
      </c>
      <c r="B242" s="1" t="s">
        <v>20</v>
      </c>
      <c r="C242" s="1">
        <v>19</v>
      </c>
      <c r="D242" s="1">
        <v>7</v>
      </c>
      <c r="E242" s="1" t="s">
        <v>55</v>
      </c>
      <c r="F242" s="1" t="s">
        <v>56</v>
      </c>
      <c r="G242" s="1">
        <v>21</v>
      </c>
      <c r="H242" s="1">
        <v>2</v>
      </c>
      <c r="I242" s="1">
        <v>21070000</v>
      </c>
      <c r="J242" s="1">
        <v>300</v>
      </c>
      <c r="K242" s="1">
        <v>0</v>
      </c>
      <c r="L242" s="1">
        <v>12908</v>
      </c>
      <c r="M242" s="1">
        <v>12.798636999999999</v>
      </c>
      <c r="N242" s="1">
        <v>101.68810000000001</v>
      </c>
      <c r="O242" s="1">
        <v>0.03</v>
      </c>
      <c r="P242" s="1">
        <v>0</v>
      </c>
      <c r="Q242" s="1">
        <v>0.64</v>
      </c>
      <c r="R242" s="1">
        <v>4.8499999999999996</v>
      </c>
      <c r="S242" s="1">
        <v>0.48</v>
      </c>
      <c r="T242" s="1">
        <v>5.6</v>
      </c>
      <c r="U242" s="1">
        <v>4.21</v>
      </c>
      <c r="V242" s="1">
        <v>17.459999</v>
      </c>
      <c r="W242" s="1">
        <v>4.72</v>
      </c>
      <c r="X242" s="1">
        <v>1924.947831</v>
      </c>
      <c r="Y242" s="1">
        <v>124900.73732299999</v>
      </c>
      <c r="Z242" t="str">
        <f>VLOOKUP(G242,'Code Pro'!$A$2:$B$9,2,FALSE)</f>
        <v>จ.ระยอง</v>
      </c>
      <c r="AA242" s="8">
        <f t="shared" si="28"/>
        <v>3747.0221196899997</v>
      </c>
      <c r="AB242" s="8">
        <f t="shared" si="29"/>
        <v>0</v>
      </c>
      <c r="AC242" s="8">
        <f t="shared" si="30"/>
        <v>79936.471886719999</v>
      </c>
      <c r="AD242" s="8">
        <f t="shared" si="31"/>
        <v>605768.57601654995</v>
      </c>
      <c r="AE242" s="8">
        <f t="shared" si="32"/>
        <v>59952.353915039996</v>
      </c>
      <c r="AF242" s="8">
        <f t="shared" si="33"/>
        <v>699444.12900879991</v>
      </c>
      <c r="AG242" s="8">
        <f t="shared" si="34"/>
        <v>525832.10412983003</v>
      </c>
      <c r="AH242" s="8">
        <f t="shared" si="35"/>
        <v>2180766.7487588427</v>
      </c>
      <c r="AI242" s="8">
        <f t="shared" si="36"/>
        <v>589531.48016455991</v>
      </c>
    </row>
    <row r="243" spans="1:35" x14ac:dyDescent="0.55000000000000004">
      <c r="A243" s="1">
        <v>241</v>
      </c>
      <c r="B243" s="1" t="s">
        <v>20</v>
      </c>
      <c r="C243" s="1">
        <v>19</v>
      </c>
      <c r="D243" s="1">
        <v>7</v>
      </c>
      <c r="E243" s="1" t="s">
        <v>55</v>
      </c>
      <c r="F243" s="1" t="s">
        <v>56</v>
      </c>
      <c r="G243" s="1">
        <v>21</v>
      </c>
      <c r="H243" s="1">
        <v>2</v>
      </c>
      <c r="I243" s="1">
        <v>21070000</v>
      </c>
      <c r="J243" s="1">
        <v>301</v>
      </c>
      <c r="K243" s="1">
        <v>0</v>
      </c>
      <c r="L243" s="1">
        <v>13147</v>
      </c>
      <c r="M243" s="1">
        <v>12.960724000000001</v>
      </c>
      <c r="N243" s="1">
        <v>101.60496500000001</v>
      </c>
      <c r="O243" s="1">
        <v>5.55</v>
      </c>
      <c r="P243" s="1">
        <v>0.01</v>
      </c>
      <c r="Q243" s="1">
        <v>0.44</v>
      </c>
      <c r="R243" s="1">
        <v>0.42</v>
      </c>
      <c r="S243" s="1">
        <v>0.87</v>
      </c>
      <c r="T243" s="1">
        <v>3.94</v>
      </c>
      <c r="U243" s="1">
        <v>20.58</v>
      </c>
      <c r="V243" s="1">
        <v>0.19</v>
      </c>
      <c r="W243" s="1">
        <v>0</v>
      </c>
      <c r="X243" s="1">
        <v>35945.344613000001</v>
      </c>
      <c r="Y243" s="1">
        <v>42399310.382399999</v>
      </c>
      <c r="Z243" t="str">
        <f>VLOOKUP(G243,'Code Pro'!$A$2:$B$9,2,FALSE)</f>
        <v>จ.ระยอง</v>
      </c>
      <c r="AA243" s="8">
        <f t="shared" si="28"/>
        <v>235316172.62232</v>
      </c>
      <c r="AB243" s="8">
        <f t="shared" si="29"/>
        <v>423993.10382399999</v>
      </c>
      <c r="AC243" s="8">
        <f t="shared" si="30"/>
        <v>18655696.568255998</v>
      </c>
      <c r="AD243" s="8">
        <f t="shared" si="31"/>
        <v>17807710.360608</v>
      </c>
      <c r="AE243" s="8">
        <f t="shared" si="32"/>
        <v>36887400.032687999</v>
      </c>
      <c r="AF243" s="8">
        <f t="shared" si="33"/>
        <v>167053282.906656</v>
      </c>
      <c r="AG243" s="8">
        <f t="shared" si="34"/>
        <v>872577807.66979194</v>
      </c>
      <c r="AH243" s="8">
        <f t="shared" si="35"/>
        <v>8055868.9726559995</v>
      </c>
      <c r="AI243" s="8">
        <f t="shared" si="36"/>
        <v>0</v>
      </c>
    </row>
    <row r="244" spans="1:35" x14ac:dyDescent="0.55000000000000004">
      <c r="A244" s="1">
        <v>242</v>
      </c>
      <c r="B244" s="1" t="s">
        <v>20</v>
      </c>
      <c r="C244" s="1">
        <v>19</v>
      </c>
      <c r="D244" s="1">
        <v>7</v>
      </c>
      <c r="E244" s="1" t="s">
        <v>55</v>
      </c>
      <c r="F244" s="1" t="s">
        <v>56</v>
      </c>
      <c r="G244" s="1">
        <v>21</v>
      </c>
      <c r="H244" s="1">
        <v>2</v>
      </c>
      <c r="I244" s="1">
        <v>21070000</v>
      </c>
      <c r="J244" s="1">
        <v>303</v>
      </c>
      <c r="K244" s="1">
        <v>0</v>
      </c>
      <c r="L244" s="1">
        <v>13267</v>
      </c>
      <c r="M244" s="1">
        <v>13.041733000000001</v>
      </c>
      <c r="N244" s="1">
        <v>101.60496500000001</v>
      </c>
      <c r="O244" s="1">
        <v>6.03</v>
      </c>
      <c r="P244" s="1">
        <v>0.2</v>
      </c>
      <c r="Q244" s="1">
        <v>0.91</v>
      </c>
      <c r="R244" s="1">
        <v>0.01</v>
      </c>
      <c r="S244" s="1">
        <v>0.91</v>
      </c>
      <c r="T244" s="1">
        <v>4.74</v>
      </c>
      <c r="U244" s="1">
        <v>20.27</v>
      </c>
      <c r="V244" s="1">
        <v>1.1100000000000001</v>
      </c>
      <c r="W244" s="1">
        <v>0.05</v>
      </c>
      <c r="X244" s="1">
        <v>34337.256614999998</v>
      </c>
      <c r="Y244" s="1">
        <v>51554108.984999999</v>
      </c>
      <c r="Z244" t="str">
        <f>VLOOKUP(G244,'Code Pro'!$A$2:$B$9,2,FALSE)</f>
        <v>จ.ระยอง</v>
      </c>
      <c r="AA244" s="8">
        <f t="shared" si="28"/>
        <v>310871277.17954999</v>
      </c>
      <c r="AB244" s="8">
        <f t="shared" si="29"/>
        <v>10310821.797</v>
      </c>
      <c r="AC244" s="8">
        <f t="shared" si="30"/>
        <v>46914239.176349998</v>
      </c>
      <c r="AD244" s="8">
        <f t="shared" si="31"/>
        <v>515541.08984999999</v>
      </c>
      <c r="AE244" s="8">
        <f t="shared" si="32"/>
        <v>46914239.176349998</v>
      </c>
      <c r="AF244" s="8">
        <f t="shared" si="33"/>
        <v>244366476.5889</v>
      </c>
      <c r="AG244" s="8">
        <f t="shared" si="34"/>
        <v>1045001789.12595</v>
      </c>
      <c r="AH244" s="8">
        <f t="shared" si="35"/>
        <v>57225060.973350003</v>
      </c>
      <c r="AI244" s="8">
        <f t="shared" si="36"/>
        <v>2577705.4492500001</v>
      </c>
    </row>
    <row r="245" spans="1:35" x14ac:dyDescent="0.55000000000000004">
      <c r="A245" s="1">
        <v>243</v>
      </c>
      <c r="B245" s="1" t="s">
        <v>20</v>
      </c>
      <c r="C245" s="1">
        <v>19</v>
      </c>
      <c r="D245" s="1">
        <v>7</v>
      </c>
      <c r="E245" s="1" t="s">
        <v>55</v>
      </c>
      <c r="F245" s="1" t="s">
        <v>56</v>
      </c>
      <c r="G245" s="1">
        <v>21</v>
      </c>
      <c r="H245" s="1">
        <v>2</v>
      </c>
      <c r="I245" s="1">
        <v>21070000</v>
      </c>
      <c r="J245" s="1">
        <v>305</v>
      </c>
      <c r="K245" s="1">
        <v>0</v>
      </c>
      <c r="L245" s="1">
        <v>13028</v>
      </c>
      <c r="M245" s="1">
        <v>12.8797</v>
      </c>
      <c r="N245" s="1">
        <v>101.68810000000001</v>
      </c>
      <c r="O245" s="1">
        <v>0.43</v>
      </c>
      <c r="P245" s="1">
        <v>0</v>
      </c>
      <c r="Q245" s="1">
        <v>0.06</v>
      </c>
      <c r="R245" s="1">
        <v>23.01</v>
      </c>
      <c r="S245" s="1">
        <v>1.66</v>
      </c>
      <c r="T245" s="1">
        <v>9.74</v>
      </c>
      <c r="U245" s="1">
        <v>11.37</v>
      </c>
      <c r="V245" s="1">
        <v>7.01</v>
      </c>
      <c r="W245" s="1">
        <v>0.01</v>
      </c>
      <c r="X245" s="1">
        <v>37785.495216000003</v>
      </c>
      <c r="Y245" s="1">
        <v>43740533.944899999</v>
      </c>
      <c r="Z245" t="str">
        <f>VLOOKUP(G245,'Code Pro'!$A$2:$B$9,2,FALSE)</f>
        <v>จ.ระยอง</v>
      </c>
      <c r="AA245" s="8">
        <f t="shared" si="28"/>
        <v>18808429.596306998</v>
      </c>
      <c r="AB245" s="8">
        <f t="shared" si="29"/>
        <v>0</v>
      </c>
      <c r="AC245" s="8">
        <f t="shared" si="30"/>
        <v>2624432.036694</v>
      </c>
      <c r="AD245" s="8">
        <f t="shared" si="31"/>
        <v>1006469686.072149</v>
      </c>
      <c r="AE245" s="8">
        <f t="shared" si="32"/>
        <v>72609286.348533988</v>
      </c>
      <c r="AF245" s="8">
        <f t="shared" si="33"/>
        <v>426032800.623326</v>
      </c>
      <c r="AG245" s="8">
        <f t="shared" si="34"/>
        <v>497329870.95351297</v>
      </c>
      <c r="AH245" s="8">
        <f t="shared" si="35"/>
        <v>306621142.953749</v>
      </c>
      <c r="AI245" s="8">
        <f t="shared" si="36"/>
        <v>437405.33944900002</v>
      </c>
    </row>
    <row r="246" spans="1:35" x14ac:dyDescent="0.55000000000000004">
      <c r="A246" s="1">
        <v>244</v>
      </c>
      <c r="B246" s="1" t="s">
        <v>20</v>
      </c>
      <c r="C246" s="1">
        <v>19</v>
      </c>
      <c r="D246" s="1">
        <v>7</v>
      </c>
      <c r="E246" s="1" t="s">
        <v>55</v>
      </c>
      <c r="F246" s="1" t="s">
        <v>56</v>
      </c>
      <c r="G246" s="1">
        <v>21</v>
      </c>
      <c r="H246" s="1">
        <v>2</v>
      </c>
      <c r="I246" s="1">
        <v>21070000</v>
      </c>
      <c r="J246" s="1">
        <v>306</v>
      </c>
      <c r="K246" s="1">
        <v>0</v>
      </c>
      <c r="L246" s="1">
        <v>13149</v>
      </c>
      <c r="M246" s="1">
        <v>12.960724000000001</v>
      </c>
      <c r="N246" s="1">
        <v>101.77124000000001</v>
      </c>
      <c r="O246" s="1">
        <v>24.200001</v>
      </c>
      <c r="P246" s="1">
        <v>0</v>
      </c>
      <c r="Q246" s="1">
        <v>0.04</v>
      </c>
      <c r="R246" s="1">
        <v>0.35</v>
      </c>
      <c r="S246" s="1">
        <v>30.639999</v>
      </c>
      <c r="T246" s="1">
        <v>5.83</v>
      </c>
      <c r="U246" s="1">
        <v>7.29</v>
      </c>
      <c r="V246" s="1">
        <v>4.3</v>
      </c>
      <c r="W246" s="1">
        <v>0.17</v>
      </c>
      <c r="X246" s="1">
        <v>35935.507660000003</v>
      </c>
      <c r="Y246" s="1">
        <v>28633901.162</v>
      </c>
      <c r="Z246" t="str">
        <f>VLOOKUP(G246,'Code Pro'!$A$2:$B$9,2,FALSE)</f>
        <v>จ.ระยอง</v>
      </c>
      <c r="AA246" s="8">
        <f t="shared" si="28"/>
        <v>692940436.75430119</v>
      </c>
      <c r="AB246" s="8">
        <f t="shared" si="29"/>
        <v>0</v>
      </c>
      <c r="AC246" s="8">
        <f t="shared" si="30"/>
        <v>1145356.04648</v>
      </c>
      <c r="AD246" s="8">
        <f t="shared" si="31"/>
        <v>10021865.4067</v>
      </c>
      <c r="AE246" s="8">
        <f t="shared" si="32"/>
        <v>877342702.9697789</v>
      </c>
      <c r="AF246" s="8">
        <f t="shared" si="33"/>
        <v>166935643.77446002</v>
      </c>
      <c r="AG246" s="8">
        <f t="shared" si="34"/>
        <v>208741139.47098002</v>
      </c>
      <c r="AH246" s="8">
        <f t="shared" si="35"/>
        <v>123125774.9966</v>
      </c>
      <c r="AI246" s="8">
        <f t="shared" si="36"/>
        <v>4867763.1975400001</v>
      </c>
    </row>
    <row r="247" spans="1:35" x14ac:dyDescent="0.55000000000000004">
      <c r="A247" s="1">
        <v>245</v>
      </c>
      <c r="B247" s="1" t="s">
        <v>20</v>
      </c>
      <c r="C247" s="1">
        <v>19</v>
      </c>
      <c r="D247" s="1">
        <v>7</v>
      </c>
      <c r="E247" s="1" t="s">
        <v>55</v>
      </c>
      <c r="F247" s="1" t="s">
        <v>56</v>
      </c>
      <c r="G247" s="1">
        <v>21</v>
      </c>
      <c r="H247" s="1">
        <v>2</v>
      </c>
      <c r="I247" s="1">
        <v>21070000</v>
      </c>
      <c r="J247" s="1">
        <v>307</v>
      </c>
      <c r="K247" s="1">
        <v>0</v>
      </c>
      <c r="L247" s="1">
        <v>13148</v>
      </c>
      <c r="M247" s="1">
        <v>12.960724000000001</v>
      </c>
      <c r="N247" s="1">
        <v>101.68810000000001</v>
      </c>
      <c r="O247" s="1">
        <v>24.139999</v>
      </c>
      <c r="P247" s="1">
        <v>0</v>
      </c>
      <c r="Q247" s="1">
        <v>0.11</v>
      </c>
      <c r="R247" s="1">
        <v>0.39</v>
      </c>
      <c r="S247" s="1">
        <v>3.45</v>
      </c>
      <c r="T247" s="1">
        <v>4.29</v>
      </c>
      <c r="U247" s="1">
        <v>3.13</v>
      </c>
      <c r="V247" s="1">
        <v>5.63</v>
      </c>
      <c r="W247" s="1">
        <v>0.01</v>
      </c>
      <c r="X247" s="1">
        <v>35990.335778000001</v>
      </c>
      <c r="Y247" s="1">
        <v>80955682.422600001</v>
      </c>
      <c r="Z247" t="str">
        <f>VLOOKUP(G247,'Code Pro'!$A$2:$B$9,2,FALSE)</f>
        <v>จ.ระยอง</v>
      </c>
      <c r="AA247" s="8">
        <f t="shared" si="28"/>
        <v>1954270092.7258816</v>
      </c>
      <c r="AB247" s="8">
        <f t="shared" si="29"/>
        <v>0</v>
      </c>
      <c r="AC247" s="8">
        <f t="shared" si="30"/>
        <v>8905125.066486001</v>
      </c>
      <c r="AD247" s="8">
        <f t="shared" si="31"/>
        <v>31572716.144814003</v>
      </c>
      <c r="AE247" s="8">
        <f t="shared" si="32"/>
        <v>279297104.35797</v>
      </c>
      <c r="AF247" s="8">
        <f t="shared" si="33"/>
        <v>347299877.59295398</v>
      </c>
      <c r="AG247" s="8">
        <f t="shared" si="34"/>
        <v>253391285.98273799</v>
      </c>
      <c r="AH247" s="8">
        <f t="shared" si="35"/>
        <v>455780492.03923798</v>
      </c>
      <c r="AI247" s="8">
        <f t="shared" si="36"/>
        <v>809556.824226</v>
      </c>
    </row>
    <row r="248" spans="1:35" x14ac:dyDescent="0.55000000000000004">
      <c r="A248" s="1">
        <v>246</v>
      </c>
      <c r="B248" s="1" t="s">
        <v>20</v>
      </c>
      <c r="C248" s="1">
        <v>19</v>
      </c>
      <c r="D248" s="1">
        <v>7</v>
      </c>
      <c r="E248" s="1" t="s">
        <v>55</v>
      </c>
      <c r="F248" s="1" t="s">
        <v>56</v>
      </c>
      <c r="G248" s="1">
        <v>21</v>
      </c>
      <c r="H248" s="1">
        <v>2</v>
      </c>
      <c r="I248" s="1">
        <v>21070000</v>
      </c>
      <c r="J248" s="1">
        <v>308</v>
      </c>
      <c r="K248" s="1">
        <v>0</v>
      </c>
      <c r="L248" s="1">
        <v>13029</v>
      </c>
      <c r="M248" s="1">
        <v>12.8797</v>
      </c>
      <c r="N248" s="1">
        <v>101.77124000000001</v>
      </c>
      <c r="O248" s="1">
        <v>7.76</v>
      </c>
      <c r="P248" s="1">
        <v>0</v>
      </c>
      <c r="Q248" s="1">
        <v>0.36</v>
      </c>
      <c r="R248" s="1">
        <v>7.84</v>
      </c>
      <c r="S248" s="1">
        <v>4.29</v>
      </c>
      <c r="T248" s="1">
        <v>10.71</v>
      </c>
      <c r="U248" s="1">
        <v>2.85</v>
      </c>
      <c r="V248" s="1">
        <v>10.83</v>
      </c>
      <c r="W248" s="1">
        <v>0.12</v>
      </c>
      <c r="X248" s="1">
        <v>33133.061716999997</v>
      </c>
      <c r="Y248" s="1">
        <v>51199297.290600002</v>
      </c>
      <c r="Z248" t="str">
        <f>VLOOKUP(G248,'Code Pro'!$A$2:$B$9,2,FALSE)</f>
        <v>จ.ระยอง</v>
      </c>
      <c r="AA248" s="8">
        <f t="shared" si="28"/>
        <v>397306546.97505599</v>
      </c>
      <c r="AB248" s="8">
        <f t="shared" si="29"/>
        <v>0</v>
      </c>
      <c r="AC248" s="8">
        <f t="shared" si="30"/>
        <v>18431747.024615999</v>
      </c>
      <c r="AD248" s="8">
        <f t="shared" si="31"/>
        <v>401402490.758304</v>
      </c>
      <c r="AE248" s="8">
        <f t="shared" si="32"/>
        <v>219644985.376674</v>
      </c>
      <c r="AF248" s="8">
        <f t="shared" si="33"/>
        <v>548344473.98232603</v>
      </c>
      <c r="AG248" s="8">
        <f t="shared" si="34"/>
        <v>145917997.27821001</v>
      </c>
      <c r="AH248" s="8">
        <f t="shared" si="35"/>
        <v>554488389.65719807</v>
      </c>
      <c r="AI248" s="8">
        <f t="shared" si="36"/>
        <v>6143915.6748719998</v>
      </c>
    </row>
    <row r="249" spans="1:35" x14ac:dyDescent="0.55000000000000004">
      <c r="A249" s="1">
        <v>247</v>
      </c>
      <c r="B249" s="1" t="s">
        <v>20</v>
      </c>
      <c r="C249" s="1">
        <v>19</v>
      </c>
      <c r="D249" s="1">
        <v>7</v>
      </c>
      <c r="E249" s="1" t="s">
        <v>55</v>
      </c>
      <c r="F249" s="1" t="s">
        <v>56</v>
      </c>
      <c r="G249" s="1">
        <v>21</v>
      </c>
      <c r="H249" s="1">
        <v>2</v>
      </c>
      <c r="I249" s="1">
        <v>21070000</v>
      </c>
      <c r="J249" s="1">
        <v>309</v>
      </c>
      <c r="K249" s="1">
        <v>0</v>
      </c>
      <c r="L249" s="1">
        <v>13269</v>
      </c>
      <c r="M249" s="1">
        <v>13.041733000000001</v>
      </c>
      <c r="N249" s="1">
        <v>101.77124000000001</v>
      </c>
      <c r="O249" s="1">
        <v>27.299999</v>
      </c>
      <c r="P249" s="1">
        <v>0.04</v>
      </c>
      <c r="Q249" s="1">
        <v>0.06</v>
      </c>
      <c r="R249" s="1">
        <v>0.13</v>
      </c>
      <c r="S249" s="1">
        <v>99.449996999999996</v>
      </c>
      <c r="T249" s="1">
        <v>5.0199999999999996</v>
      </c>
      <c r="U249" s="1">
        <v>5.19</v>
      </c>
      <c r="V249" s="1">
        <v>0.5</v>
      </c>
      <c r="W249" s="1">
        <v>0</v>
      </c>
      <c r="X249" s="1">
        <v>16574.565480000001</v>
      </c>
      <c r="Y249" s="1">
        <v>12080348.01</v>
      </c>
      <c r="Z249" t="str">
        <f>VLOOKUP(G249,'Code Pro'!$A$2:$B$9,2,FALSE)</f>
        <v>จ.ระยอง</v>
      </c>
      <c r="AA249" s="8">
        <f t="shared" si="28"/>
        <v>329793488.59265196</v>
      </c>
      <c r="AB249" s="8">
        <f t="shared" si="29"/>
        <v>483213.9204</v>
      </c>
      <c r="AC249" s="8">
        <f t="shared" si="30"/>
        <v>724820.88059999992</v>
      </c>
      <c r="AD249" s="8">
        <f t="shared" si="31"/>
        <v>1570445.2413000001</v>
      </c>
      <c r="AE249" s="8">
        <f t="shared" si="32"/>
        <v>1201390573.353456</v>
      </c>
      <c r="AF249" s="8">
        <f t="shared" si="33"/>
        <v>60643347.010199994</v>
      </c>
      <c r="AG249" s="8">
        <f t="shared" si="34"/>
        <v>62697006.171900004</v>
      </c>
      <c r="AH249" s="8">
        <f t="shared" si="35"/>
        <v>6040174.0049999999</v>
      </c>
      <c r="AI249" s="8">
        <f t="shared" si="36"/>
        <v>0</v>
      </c>
    </row>
    <row r="250" spans="1:35" x14ac:dyDescent="0.55000000000000004">
      <c r="A250" s="1">
        <v>248</v>
      </c>
      <c r="B250" s="1" t="s">
        <v>20</v>
      </c>
      <c r="C250" s="1">
        <v>19</v>
      </c>
      <c r="D250" s="1">
        <v>7</v>
      </c>
      <c r="E250" s="1" t="s">
        <v>55</v>
      </c>
      <c r="F250" s="1" t="s">
        <v>56</v>
      </c>
      <c r="G250" s="1">
        <v>21</v>
      </c>
      <c r="H250" s="1">
        <v>2</v>
      </c>
      <c r="I250" s="1">
        <v>21070000</v>
      </c>
      <c r="J250" s="1">
        <v>310</v>
      </c>
      <c r="K250" s="1">
        <v>0</v>
      </c>
      <c r="L250" s="1">
        <v>13268</v>
      </c>
      <c r="M250" s="1">
        <v>13.041733000000001</v>
      </c>
      <c r="N250" s="1">
        <v>101.68810000000001</v>
      </c>
      <c r="O250" s="1">
        <v>29.49</v>
      </c>
      <c r="P250" s="1">
        <v>0.12</v>
      </c>
      <c r="Q250" s="1">
        <v>0.12</v>
      </c>
      <c r="R250" s="1">
        <v>7.0000000000000007E-2</v>
      </c>
      <c r="S250" s="1">
        <v>76.029999000000004</v>
      </c>
      <c r="T250" s="1">
        <v>6.3</v>
      </c>
      <c r="U250" s="1">
        <v>16.16</v>
      </c>
      <c r="V250" s="1">
        <v>0.04</v>
      </c>
      <c r="W250" s="1">
        <v>0</v>
      </c>
      <c r="X250" s="1">
        <v>35381.390383999998</v>
      </c>
      <c r="Y250" s="1">
        <v>68214121.098399997</v>
      </c>
      <c r="Z250" t="str">
        <f>VLOOKUP(G250,'Code Pro'!$A$2:$B$9,2,FALSE)</f>
        <v>จ.ระยอง</v>
      </c>
      <c r="AA250" s="8">
        <f t="shared" si="28"/>
        <v>2011634431.1918159</v>
      </c>
      <c r="AB250" s="8">
        <f t="shared" si="29"/>
        <v>8185694.5318079991</v>
      </c>
      <c r="AC250" s="8">
        <f t="shared" si="30"/>
        <v>8185694.5318079991</v>
      </c>
      <c r="AD250" s="8">
        <f t="shared" si="31"/>
        <v>4774988.476888</v>
      </c>
      <c r="AE250" s="8">
        <f t="shared" si="32"/>
        <v>5186319558.8972311</v>
      </c>
      <c r="AF250" s="8">
        <f t="shared" si="33"/>
        <v>429748962.91991997</v>
      </c>
      <c r="AG250" s="8">
        <f t="shared" si="34"/>
        <v>1102340196.9501441</v>
      </c>
      <c r="AH250" s="8">
        <f t="shared" si="35"/>
        <v>2728564.843936</v>
      </c>
      <c r="AI250" s="8">
        <f t="shared" si="36"/>
        <v>0</v>
      </c>
    </row>
    <row r="251" spans="1:35" x14ac:dyDescent="0.55000000000000004">
      <c r="A251" s="1">
        <v>249</v>
      </c>
      <c r="B251" s="1" t="s">
        <v>20</v>
      </c>
      <c r="C251" s="1">
        <v>19</v>
      </c>
      <c r="D251" s="1">
        <v>7</v>
      </c>
      <c r="E251" s="1" t="s">
        <v>55</v>
      </c>
      <c r="F251" s="1" t="s">
        <v>56</v>
      </c>
      <c r="G251" s="1">
        <v>21</v>
      </c>
      <c r="H251" s="1">
        <v>2</v>
      </c>
      <c r="I251" s="1">
        <v>21070000</v>
      </c>
      <c r="J251" s="1">
        <v>754</v>
      </c>
      <c r="K251" s="1">
        <v>0</v>
      </c>
      <c r="L251" s="1">
        <v>13387</v>
      </c>
      <c r="M251" s="1">
        <v>13.122719</v>
      </c>
      <c r="N251" s="1">
        <v>101.60496500000001</v>
      </c>
      <c r="O251" s="1">
        <v>4.76</v>
      </c>
      <c r="P251" s="1">
        <v>0</v>
      </c>
      <c r="Q251" s="1">
        <v>0.18</v>
      </c>
      <c r="R251" s="1">
        <v>0.41</v>
      </c>
      <c r="S251" s="1">
        <v>17.709999</v>
      </c>
      <c r="T251" s="1">
        <v>5.65</v>
      </c>
      <c r="U251" s="1">
        <v>7.1</v>
      </c>
      <c r="V251" s="1">
        <v>2.09</v>
      </c>
      <c r="W251" s="1">
        <v>1.71</v>
      </c>
      <c r="X251" s="1">
        <v>30241.543043999998</v>
      </c>
      <c r="Y251" s="1">
        <v>45498173.673</v>
      </c>
      <c r="Z251" t="str">
        <f>VLOOKUP(G251,'Code Pro'!$A$2:$B$9,2,FALSE)</f>
        <v>จ.ระยอง</v>
      </c>
      <c r="AA251" s="8">
        <f t="shared" si="28"/>
        <v>216571306.68347999</v>
      </c>
      <c r="AB251" s="8">
        <f t="shared" si="29"/>
        <v>0</v>
      </c>
      <c r="AC251" s="8">
        <f t="shared" si="30"/>
        <v>8189671.2611400001</v>
      </c>
      <c r="AD251" s="8">
        <f t="shared" si="31"/>
        <v>18654251.205929998</v>
      </c>
      <c r="AE251" s="8">
        <f t="shared" si="32"/>
        <v>805772610.25065637</v>
      </c>
      <c r="AF251" s="8">
        <f t="shared" si="33"/>
        <v>257064681.25245002</v>
      </c>
      <c r="AG251" s="8">
        <f t="shared" si="34"/>
        <v>323037033.0783</v>
      </c>
      <c r="AH251" s="8">
        <f t="shared" si="35"/>
        <v>95091182.976569995</v>
      </c>
      <c r="AI251" s="8">
        <f t="shared" si="36"/>
        <v>77801876.980829999</v>
      </c>
    </row>
    <row r="252" spans="1:35" x14ac:dyDescent="0.55000000000000004">
      <c r="A252" s="1">
        <v>250</v>
      </c>
      <c r="B252" s="1" t="s">
        <v>20</v>
      </c>
      <c r="C252" s="1">
        <v>19</v>
      </c>
      <c r="D252" s="1">
        <v>7</v>
      </c>
      <c r="E252" s="1" t="s">
        <v>55</v>
      </c>
      <c r="F252" s="1" t="s">
        <v>56</v>
      </c>
      <c r="G252" s="1">
        <v>21</v>
      </c>
      <c r="H252" s="1">
        <v>2</v>
      </c>
      <c r="I252" s="1">
        <v>21070000</v>
      </c>
      <c r="J252" s="1">
        <v>755</v>
      </c>
      <c r="K252" s="1">
        <v>0</v>
      </c>
      <c r="L252" s="1">
        <v>13388</v>
      </c>
      <c r="M252" s="1">
        <v>13.122719</v>
      </c>
      <c r="N252" s="1">
        <v>101.68810000000001</v>
      </c>
      <c r="O252" s="1">
        <v>11.11</v>
      </c>
      <c r="P252" s="1">
        <v>0.39</v>
      </c>
      <c r="Q252" s="1">
        <v>0.03</v>
      </c>
      <c r="R252" s="1">
        <v>0.1</v>
      </c>
      <c r="S252" s="1">
        <v>15.51</v>
      </c>
      <c r="T252" s="1">
        <v>19.079999999999998</v>
      </c>
      <c r="U252" s="1">
        <v>8.93</v>
      </c>
      <c r="V252" s="1">
        <v>0.32</v>
      </c>
      <c r="W252" s="1">
        <v>0.18</v>
      </c>
      <c r="X252" s="1">
        <v>30501.406833000001</v>
      </c>
      <c r="Y252" s="1">
        <v>39782281.053199999</v>
      </c>
      <c r="Z252" t="str">
        <f>VLOOKUP(G252,'Code Pro'!$A$2:$B$9,2,FALSE)</f>
        <v>จ.ระยอง</v>
      </c>
      <c r="AA252" s="8">
        <f t="shared" si="28"/>
        <v>441981142.50105196</v>
      </c>
      <c r="AB252" s="8">
        <f t="shared" si="29"/>
        <v>15515089.610748</v>
      </c>
      <c r="AC252" s="8">
        <f t="shared" si="30"/>
        <v>1193468.431596</v>
      </c>
      <c r="AD252" s="8">
        <f t="shared" si="31"/>
        <v>3978228.1053200001</v>
      </c>
      <c r="AE252" s="8">
        <f t="shared" si="32"/>
        <v>617023179.13513196</v>
      </c>
      <c r="AF252" s="8">
        <f t="shared" si="33"/>
        <v>759045922.49505591</v>
      </c>
      <c r="AG252" s="8">
        <f t="shared" si="34"/>
        <v>355255769.805076</v>
      </c>
      <c r="AH252" s="8">
        <f t="shared" si="35"/>
        <v>12730329.937023999</v>
      </c>
      <c r="AI252" s="8">
        <f t="shared" si="36"/>
        <v>7160810.5895759994</v>
      </c>
    </row>
    <row r="253" spans="1:35" x14ac:dyDescent="0.55000000000000004">
      <c r="A253" s="1">
        <v>251</v>
      </c>
      <c r="B253" s="1" t="s">
        <v>20</v>
      </c>
      <c r="C253" s="1">
        <v>19</v>
      </c>
      <c r="D253" s="1">
        <v>7</v>
      </c>
      <c r="E253" s="1" t="s">
        <v>55</v>
      </c>
      <c r="F253" s="1" t="s">
        <v>56</v>
      </c>
      <c r="G253" s="1">
        <v>21</v>
      </c>
      <c r="H253" s="1">
        <v>2</v>
      </c>
      <c r="I253" s="1">
        <v>21070000</v>
      </c>
      <c r="J253" s="1">
        <v>758</v>
      </c>
      <c r="K253" s="1">
        <v>0</v>
      </c>
      <c r="L253" s="1">
        <v>13508</v>
      </c>
      <c r="M253" s="1">
        <v>13.203666999999999</v>
      </c>
      <c r="N253" s="1">
        <v>101.68810000000001</v>
      </c>
      <c r="O253" s="1">
        <v>7.24</v>
      </c>
      <c r="P253" s="1">
        <v>0.11</v>
      </c>
      <c r="Q253" s="1">
        <v>0.27</v>
      </c>
      <c r="R253" s="1">
        <v>0.15</v>
      </c>
      <c r="S253" s="1">
        <v>34.200001</v>
      </c>
      <c r="T253" s="1">
        <v>43.549999</v>
      </c>
      <c r="U253" s="1">
        <v>12.57</v>
      </c>
      <c r="V253" s="1">
        <v>6.21</v>
      </c>
      <c r="W253" s="1">
        <v>0.05</v>
      </c>
      <c r="X253" s="1">
        <v>182.427301</v>
      </c>
      <c r="Y253" s="1">
        <v>1732.397489</v>
      </c>
      <c r="Z253" t="str">
        <f>VLOOKUP(G253,'Code Pro'!$A$2:$B$9,2,FALSE)</f>
        <v>จ.ระยอง</v>
      </c>
      <c r="AA253" s="8">
        <f t="shared" si="28"/>
        <v>12542.55782036</v>
      </c>
      <c r="AB253" s="8">
        <f t="shared" si="29"/>
        <v>190.56372378999998</v>
      </c>
      <c r="AC253" s="8">
        <f t="shared" si="30"/>
        <v>467.74732203000002</v>
      </c>
      <c r="AD253" s="8">
        <f t="shared" si="31"/>
        <v>259.85962334999999</v>
      </c>
      <c r="AE253" s="8">
        <f t="shared" si="32"/>
        <v>59247.995856197485</v>
      </c>
      <c r="AF253" s="8">
        <f t="shared" si="33"/>
        <v>75445.908913552514</v>
      </c>
      <c r="AG253" s="8">
        <f t="shared" si="34"/>
        <v>21776.23643673</v>
      </c>
      <c r="AH253" s="8">
        <f t="shared" si="35"/>
        <v>10758.18840669</v>
      </c>
      <c r="AI253" s="8">
        <f t="shared" si="36"/>
        <v>86.619874449999998</v>
      </c>
    </row>
    <row r="254" spans="1:35" x14ac:dyDescent="0.55000000000000004">
      <c r="A254" s="1">
        <v>252</v>
      </c>
      <c r="B254" s="1" t="s">
        <v>20</v>
      </c>
      <c r="C254" s="1">
        <v>20</v>
      </c>
      <c r="D254" s="1">
        <v>8</v>
      </c>
      <c r="E254" s="1" t="s">
        <v>57</v>
      </c>
      <c r="F254" s="1" t="s">
        <v>58</v>
      </c>
      <c r="G254" s="1">
        <v>21</v>
      </c>
      <c r="H254" s="1">
        <v>2</v>
      </c>
      <c r="I254" s="1">
        <v>21080000</v>
      </c>
      <c r="J254" s="1">
        <v>211</v>
      </c>
      <c r="K254" s="1">
        <v>0</v>
      </c>
      <c r="L254" s="1">
        <v>12901</v>
      </c>
      <c r="M254" s="1">
        <v>12.798636999999999</v>
      </c>
      <c r="N254" s="1">
        <v>101.10615</v>
      </c>
      <c r="O254" s="1">
        <v>0.01</v>
      </c>
      <c r="P254" s="1">
        <v>0.1</v>
      </c>
      <c r="Q254" s="1">
        <v>0</v>
      </c>
      <c r="R254" s="1">
        <v>0.05</v>
      </c>
      <c r="S254" s="1">
        <v>5.25</v>
      </c>
      <c r="T254" s="1">
        <v>13.88</v>
      </c>
      <c r="U254" s="1">
        <v>7.12</v>
      </c>
      <c r="V254" s="1">
        <v>22.43</v>
      </c>
      <c r="W254" s="1">
        <v>0.99</v>
      </c>
      <c r="X254" s="1">
        <v>29651.346878</v>
      </c>
      <c r="Y254" s="1">
        <v>30949254.239599999</v>
      </c>
      <c r="Z254" t="str">
        <f>VLOOKUP(G254,'Code Pro'!$A$2:$B$9,2,FALSE)</f>
        <v>จ.ระยอง</v>
      </c>
      <c r="AA254" s="8">
        <f t="shared" si="28"/>
        <v>309492.542396</v>
      </c>
      <c r="AB254" s="8">
        <f t="shared" si="29"/>
        <v>3094925.4239600003</v>
      </c>
      <c r="AC254" s="8">
        <f t="shared" si="30"/>
        <v>0</v>
      </c>
      <c r="AD254" s="8">
        <f t="shared" si="31"/>
        <v>1547462.7119800001</v>
      </c>
      <c r="AE254" s="8">
        <f t="shared" si="32"/>
        <v>162483584.7579</v>
      </c>
      <c r="AF254" s="8">
        <f t="shared" si="33"/>
        <v>429575648.84564799</v>
      </c>
      <c r="AG254" s="8">
        <f t="shared" si="34"/>
        <v>220358690.18595201</v>
      </c>
      <c r="AH254" s="8">
        <f t="shared" si="35"/>
        <v>694191772.59422803</v>
      </c>
      <c r="AI254" s="8">
        <f t="shared" si="36"/>
        <v>30639761.697203998</v>
      </c>
    </row>
    <row r="255" spans="1:35" x14ac:dyDescent="0.55000000000000004">
      <c r="A255" s="1">
        <v>253</v>
      </c>
      <c r="B255" s="1" t="s">
        <v>20</v>
      </c>
      <c r="C255" s="1">
        <v>20</v>
      </c>
      <c r="D255" s="1">
        <v>8</v>
      </c>
      <c r="E255" s="1" t="s">
        <v>57</v>
      </c>
      <c r="F255" s="1" t="s">
        <v>58</v>
      </c>
      <c r="G255" s="1">
        <v>21</v>
      </c>
      <c r="H255" s="1">
        <v>2</v>
      </c>
      <c r="I255" s="1">
        <v>21080000</v>
      </c>
      <c r="J255" s="1">
        <v>218</v>
      </c>
      <c r="K255" s="1">
        <v>0</v>
      </c>
      <c r="L255" s="1">
        <v>12900</v>
      </c>
      <c r="M255" s="1">
        <v>12.798636999999999</v>
      </c>
      <c r="N255" s="1">
        <v>101.02302</v>
      </c>
      <c r="O255" s="1">
        <v>0</v>
      </c>
      <c r="P255" s="1">
        <v>7.98</v>
      </c>
      <c r="Q255" s="1">
        <v>0.14000000000000001</v>
      </c>
      <c r="R255" s="1">
        <v>0.01</v>
      </c>
      <c r="S255" s="1">
        <v>1.87</v>
      </c>
      <c r="T255" s="1">
        <v>88.580001999999993</v>
      </c>
      <c r="U255" s="1">
        <v>14.2</v>
      </c>
      <c r="V255" s="1">
        <v>21.92</v>
      </c>
      <c r="W255" s="1">
        <v>7.95</v>
      </c>
      <c r="X255" s="1">
        <v>8314.6304130000008</v>
      </c>
      <c r="Y255" s="1">
        <v>1803396.59005</v>
      </c>
      <c r="Z255" t="str">
        <f>VLOOKUP(G255,'Code Pro'!$A$2:$B$9,2,FALSE)</f>
        <v>จ.ระยอง</v>
      </c>
      <c r="AA255" s="8">
        <f t="shared" si="28"/>
        <v>0</v>
      </c>
      <c r="AB255" s="8">
        <f t="shared" si="29"/>
        <v>14391104.788599001</v>
      </c>
      <c r="AC255" s="8">
        <f t="shared" si="30"/>
        <v>252475.52260700002</v>
      </c>
      <c r="AD255" s="8">
        <f t="shared" si="31"/>
        <v>18033.965900499999</v>
      </c>
      <c r="AE255" s="8">
        <f t="shared" si="32"/>
        <v>3372351.6233935002</v>
      </c>
      <c r="AF255" s="8">
        <f t="shared" si="33"/>
        <v>159744873.55342215</v>
      </c>
      <c r="AG255" s="8">
        <f t="shared" si="34"/>
        <v>25608231.578709997</v>
      </c>
      <c r="AH255" s="8">
        <f t="shared" si="35"/>
        <v>39530453.253896005</v>
      </c>
      <c r="AI255" s="8">
        <f t="shared" si="36"/>
        <v>14337002.890897499</v>
      </c>
    </row>
    <row r="256" spans="1:35" x14ac:dyDescent="0.55000000000000004">
      <c r="A256" s="1">
        <v>254</v>
      </c>
      <c r="B256" s="1" t="s">
        <v>20</v>
      </c>
      <c r="C256" s="1">
        <v>20</v>
      </c>
      <c r="D256" s="1">
        <v>8</v>
      </c>
      <c r="E256" s="1" t="s">
        <v>57</v>
      </c>
      <c r="F256" s="1" t="s">
        <v>58</v>
      </c>
      <c r="G256" s="1">
        <v>21</v>
      </c>
      <c r="H256" s="1">
        <v>2</v>
      </c>
      <c r="I256" s="1">
        <v>21080000</v>
      </c>
      <c r="J256" s="1">
        <v>223</v>
      </c>
      <c r="K256" s="1">
        <v>0</v>
      </c>
      <c r="L256" s="1">
        <v>13020</v>
      </c>
      <c r="M256" s="1">
        <v>12.8797</v>
      </c>
      <c r="N256" s="1">
        <v>101.02302</v>
      </c>
      <c r="O256" s="1">
        <v>0.05</v>
      </c>
      <c r="P256" s="1">
        <v>0.23</v>
      </c>
      <c r="Q256" s="1">
        <v>0.15</v>
      </c>
      <c r="R256" s="1">
        <v>0.04</v>
      </c>
      <c r="S256" s="1">
        <v>3.58</v>
      </c>
      <c r="T256" s="1">
        <v>27.25</v>
      </c>
      <c r="U256" s="1">
        <v>8.32</v>
      </c>
      <c r="V256" s="1">
        <v>24.030000999999999</v>
      </c>
      <c r="W256" s="1">
        <v>8.8800000000000008</v>
      </c>
      <c r="X256" s="1">
        <v>4657.5701959999997</v>
      </c>
      <c r="Y256" s="1">
        <v>380505.245222</v>
      </c>
      <c r="Z256" t="str">
        <f>VLOOKUP(G256,'Code Pro'!$A$2:$B$9,2,FALSE)</f>
        <v>จ.ระยอง</v>
      </c>
      <c r="AA256" s="8">
        <f t="shared" si="28"/>
        <v>19025.262261100001</v>
      </c>
      <c r="AB256" s="8">
        <f t="shared" si="29"/>
        <v>87516.206401060001</v>
      </c>
      <c r="AC256" s="8">
        <f t="shared" si="30"/>
        <v>57075.786783299998</v>
      </c>
      <c r="AD256" s="8">
        <f t="shared" si="31"/>
        <v>15220.209808879999</v>
      </c>
      <c r="AE256" s="8">
        <f t="shared" si="32"/>
        <v>1362208.77789476</v>
      </c>
      <c r="AF256" s="8">
        <f t="shared" si="33"/>
        <v>10368767.9322995</v>
      </c>
      <c r="AG256" s="8">
        <f t="shared" si="34"/>
        <v>3165803.64024704</v>
      </c>
      <c r="AH256" s="8">
        <f t="shared" si="35"/>
        <v>9143541.4231899045</v>
      </c>
      <c r="AI256" s="8">
        <f t="shared" si="36"/>
        <v>3378886.5775713604</v>
      </c>
    </row>
    <row r="257" spans="1:35" x14ac:dyDescent="0.55000000000000004">
      <c r="A257" s="1">
        <v>255</v>
      </c>
      <c r="B257" s="1" t="s">
        <v>20</v>
      </c>
      <c r="C257" s="1">
        <v>20</v>
      </c>
      <c r="D257" s="1">
        <v>8</v>
      </c>
      <c r="E257" s="1" t="s">
        <v>57</v>
      </c>
      <c r="F257" s="1" t="s">
        <v>58</v>
      </c>
      <c r="G257" s="1">
        <v>21</v>
      </c>
      <c r="H257" s="1">
        <v>2</v>
      </c>
      <c r="I257" s="1">
        <v>21080000</v>
      </c>
      <c r="J257" s="1">
        <v>224</v>
      </c>
      <c r="K257" s="1">
        <v>0</v>
      </c>
      <c r="L257" s="1">
        <v>13141</v>
      </c>
      <c r="M257" s="1">
        <v>12.960724000000001</v>
      </c>
      <c r="N257" s="1">
        <v>101.10615</v>
      </c>
      <c r="O257" s="1">
        <v>0.11</v>
      </c>
      <c r="P257" s="1">
        <v>0.09</v>
      </c>
      <c r="Q257" s="1">
        <v>0.11</v>
      </c>
      <c r="R257" s="1">
        <v>0.02</v>
      </c>
      <c r="S257" s="1">
        <v>0.24</v>
      </c>
      <c r="T257" s="1">
        <v>46.040000999999997</v>
      </c>
      <c r="U257" s="1">
        <v>3.41</v>
      </c>
      <c r="V257" s="1">
        <v>28.25</v>
      </c>
      <c r="W257" s="1">
        <v>2.17</v>
      </c>
      <c r="X257" s="1">
        <v>15938.993302999999</v>
      </c>
      <c r="Y257" s="1">
        <v>7270542.9811100001</v>
      </c>
      <c r="Z257" t="str">
        <f>VLOOKUP(G257,'Code Pro'!$A$2:$B$9,2,FALSE)</f>
        <v>จ.ระยอง</v>
      </c>
      <c r="AA257" s="8">
        <f t="shared" si="28"/>
        <v>799759.72792209999</v>
      </c>
      <c r="AB257" s="8">
        <f t="shared" si="29"/>
        <v>654348.86829989997</v>
      </c>
      <c r="AC257" s="8">
        <f t="shared" si="30"/>
        <v>799759.72792209999</v>
      </c>
      <c r="AD257" s="8">
        <f t="shared" si="31"/>
        <v>145410.85962219999</v>
      </c>
      <c r="AE257" s="8">
        <f t="shared" si="32"/>
        <v>1744930.3154664</v>
      </c>
      <c r="AF257" s="8">
        <f t="shared" si="33"/>
        <v>334735806.12084734</v>
      </c>
      <c r="AG257" s="8">
        <f t="shared" si="34"/>
        <v>24792551.565585103</v>
      </c>
      <c r="AH257" s="8">
        <f t="shared" si="35"/>
        <v>205392839.2163575</v>
      </c>
      <c r="AI257" s="8">
        <f t="shared" si="36"/>
        <v>15777078.2690087</v>
      </c>
    </row>
    <row r="258" spans="1:35" x14ac:dyDescent="0.55000000000000004">
      <c r="A258" s="1">
        <v>256</v>
      </c>
      <c r="B258" s="1" t="s">
        <v>20</v>
      </c>
      <c r="C258" s="1">
        <v>20</v>
      </c>
      <c r="D258" s="1">
        <v>8</v>
      </c>
      <c r="E258" s="1" t="s">
        <v>57</v>
      </c>
      <c r="F258" s="1" t="s">
        <v>58</v>
      </c>
      <c r="G258" s="1">
        <v>21</v>
      </c>
      <c r="H258" s="1">
        <v>2</v>
      </c>
      <c r="I258" s="1">
        <v>21080000</v>
      </c>
      <c r="J258" s="1">
        <v>226</v>
      </c>
      <c r="K258" s="1">
        <v>0</v>
      </c>
      <c r="L258" s="1">
        <v>13021</v>
      </c>
      <c r="M258" s="1">
        <v>12.8797</v>
      </c>
      <c r="N258" s="1">
        <v>101.10615</v>
      </c>
      <c r="O258" s="1">
        <v>7.0000000000000007E-2</v>
      </c>
      <c r="P258" s="1">
        <v>0.01</v>
      </c>
      <c r="Q258" s="1">
        <v>0</v>
      </c>
      <c r="R258" s="1">
        <v>1.1000000000000001</v>
      </c>
      <c r="S258" s="1">
        <v>3.27</v>
      </c>
      <c r="T258" s="1">
        <v>24.68</v>
      </c>
      <c r="U258" s="1">
        <v>36.240001999999997</v>
      </c>
      <c r="V258" s="1">
        <v>10.33</v>
      </c>
      <c r="W258" s="1">
        <v>5.99</v>
      </c>
      <c r="X258" s="1">
        <v>34705.406583000004</v>
      </c>
      <c r="Y258" s="1">
        <v>72784876.605399996</v>
      </c>
      <c r="Z258" t="str">
        <f>VLOOKUP(G258,'Code Pro'!$A$2:$B$9,2,FALSE)</f>
        <v>จ.ระยอง</v>
      </c>
      <c r="AA258" s="8">
        <f t="shared" si="28"/>
        <v>5094941.3623780003</v>
      </c>
      <c r="AB258" s="8">
        <f t="shared" si="29"/>
        <v>727848.76605400001</v>
      </c>
      <c r="AC258" s="8">
        <f t="shared" si="30"/>
        <v>0</v>
      </c>
      <c r="AD258" s="8">
        <f t="shared" si="31"/>
        <v>80063364.265939996</v>
      </c>
      <c r="AE258" s="8">
        <f t="shared" si="32"/>
        <v>238006546.49965799</v>
      </c>
      <c r="AF258" s="8">
        <f t="shared" si="33"/>
        <v>1796330754.6212718</v>
      </c>
      <c r="AG258" s="8">
        <f t="shared" si="34"/>
        <v>2637724073.7494488</v>
      </c>
      <c r="AH258" s="8">
        <f t="shared" si="35"/>
        <v>751867775.33378196</v>
      </c>
      <c r="AI258" s="8">
        <f t="shared" si="36"/>
        <v>435981410.866346</v>
      </c>
    </row>
    <row r="259" spans="1:35" x14ac:dyDescent="0.55000000000000004">
      <c r="A259" s="1">
        <v>257</v>
      </c>
      <c r="B259" s="1" t="s">
        <v>20</v>
      </c>
      <c r="C259" s="1">
        <v>20</v>
      </c>
      <c r="D259" s="1">
        <v>8</v>
      </c>
      <c r="E259" s="1" t="s">
        <v>57</v>
      </c>
      <c r="F259" s="1" t="s">
        <v>58</v>
      </c>
      <c r="G259" s="1">
        <v>21</v>
      </c>
      <c r="H259" s="1">
        <v>2</v>
      </c>
      <c r="I259" s="1">
        <v>21080000</v>
      </c>
      <c r="J259" s="1">
        <v>270</v>
      </c>
      <c r="K259" s="1">
        <v>0</v>
      </c>
      <c r="L259" s="1">
        <v>12783</v>
      </c>
      <c r="M259" s="1">
        <v>12.717560000000001</v>
      </c>
      <c r="N259" s="1">
        <v>101.27242</v>
      </c>
      <c r="O259" s="1">
        <v>0.2</v>
      </c>
      <c r="P259" s="1">
        <v>5.66</v>
      </c>
      <c r="Q259" s="1">
        <v>0.28000000000000003</v>
      </c>
      <c r="R259" s="1">
        <v>20.530000999999999</v>
      </c>
      <c r="S259" s="1">
        <v>21.32</v>
      </c>
      <c r="T259" s="1">
        <v>7.22</v>
      </c>
      <c r="U259" s="1">
        <v>5.61</v>
      </c>
      <c r="V259" s="1">
        <v>56.59</v>
      </c>
      <c r="W259" s="1">
        <v>11.67</v>
      </c>
      <c r="X259" s="1">
        <v>4192.5523999999996</v>
      </c>
      <c r="Y259" s="1">
        <v>1026971.0310899999</v>
      </c>
      <c r="Z259" t="str">
        <f>VLOOKUP(G259,'Code Pro'!$A$2:$B$9,2,FALSE)</f>
        <v>จ.ระยอง</v>
      </c>
      <c r="AA259" s="8">
        <f t="shared" ref="AA259:AA322" si="37">+O259*$Y259</f>
        <v>205394.20621800001</v>
      </c>
      <c r="AB259" s="8">
        <f t="shared" ref="AB259:AB322" si="38">+P259*$Y259</f>
        <v>5812656.0359693998</v>
      </c>
      <c r="AC259" s="8">
        <f t="shared" ref="AC259:AC322" si="39">+Q259*$Y259</f>
        <v>287551.88870519999</v>
      </c>
      <c r="AD259" s="8">
        <f t="shared" ref="AD259:AD322" si="40">+R259*$Y259</f>
        <v>21083716.295248728</v>
      </c>
      <c r="AE259" s="8">
        <f t="shared" ref="AE259:AE322" si="41">+S259*$Y259</f>
        <v>21895022.382838801</v>
      </c>
      <c r="AF259" s="8">
        <f t="shared" ref="AF259:AF322" si="42">+T259*$Y259</f>
        <v>7414730.8444697997</v>
      </c>
      <c r="AG259" s="8">
        <f t="shared" ref="AG259:AG322" si="43">+U259*$Y259</f>
        <v>5761307.4844148997</v>
      </c>
      <c r="AH259" s="8">
        <f t="shared" ref="AH259:AH322" si="44">+V259*$Y259</f>
        <v>58116290.649383098</v>
      </c>
      <c r="AI259" s="8">
        <f t="shared" ref="AI259:AI322" si="45">+W259*$Y259</f>
        <v>11984751.9328203</v>
      </c>
    </row>
    <row r="260" spans="1:35" x14ac:dyDescent="0.55000000000000004">
      <c r="A260" s="1">
        <v>258</v>
      </c>
      <c r="B260" s="1" t="s">
        <v>20</v>
      </c>
      <c r="C260" s="1">
        <v>20</v>
      </c>
      <c r="D260" s="1">
        <v>8</v>
      </c>
      <c r="E260" s="1" t="s">
        <v>57</v>
      </c>
      <c r="F260" s="1" t="s">
        <v>58</v>
      </c>
      <c r="G260" s="1">
        <v>21</v>
      </c>
      <c r="H260" s="1">
        <v>2</v>
      </c>
      <c r="I260" s="1">
        <v>21080000</v>
      </c>
      <c r="J260" s="1">
        <v>271</v>
      </c>
      <c r="K260" s="1">
        <v>0</v>
      </c>
      <c r="L260" s="1">
        <v>12902</v>
      </c>
      <c r="M260" s="1">
        <v>12.798636999999999</v>
      </c>
      <c r="N260" s="1">
        <v>101.189285</v>
      </c>
      <c r="O260" s="1">
        <v>0.01</v>
      </c>
      <c r="P260" s="1">
        <v>0.13</v>
      </c>
      <c r="Q260" s="1">
        <v>0.27</v>
      </c>
      <c r="R260" s="1">
        <v>0.36</v>
      </c>
      <c r="S260" s="1">
        <v>38.709999000000003</v>
      </c>
      <c r="T260" s="1">
        <v>7.87</v>
      </c>
      <c r="U260" s="1">
        <v>6.24</v>
      </c>
      <c r="V260" s="1">
        <v>26.75</v>
      </c>
      <c r="W260" s="1">
        <v>0.01</v>
      </c>
      <c r="X260" s="1">
        <v>36234.783080000001</v>
      </c>
      <c r="Y260" s="1">
        <v>67917120.464900002</v>
      </c>
      <c r="Z260" t="str">
        <f>VLOOKUP(G260,'Code Pro'!$A$2:$B$9,2,FALSE)</f>
        <v>จ.ระยอง</v>
      </c>
      <c r="AA260" s="8">
        <f t="shared" si="37"/>
        <v>679171.20464900008</v>
      </c>
      <c r="AB260" s="8">
        <f t="shared" si="38"/>
        <v>8829225.6604370009</v>
      </c>
      <c r="AC260" s="8">
        <f t="shared" si="39"/>
        <v>18337622.525523003</v>
      </c>
      <c r="AD260" s="8">
        <f t="shared" si="40"/>
        <v>24450163.367364001</v>
      </c>
      <c r="AE260" s="8">
        <f t="shared" si="41"/>
        <v>2629071665.2791591</v>
      </c>
      <c r="AF260" s="8">
        <f t="shared" si="42"/>
        <v>534507738.05876303</v>
      </c>
      <c r="AG260" s="8">
        <f t="shared" si="43"/>
        <v>423802831.70097601</v>
      </c>
      <c r="AH260" s="8">
        <f t="shared" si="44"/>
        <v>1816782972.436075</v>
      </c>
      <c r="AI260" s="8">
        <f t="shared" si="45"/>
        <v>679171.20464900008</v>
      </c>
    </row>
    <row r="261" spans="1:35" x14ac:dyDescent="0.55000000000000004">
      <c r="A261" s="1">
        <v>259</v>
      </c>
      <c r="B261" s="1" t="s">
        <v>20</v>
      </c>
      <c r="C261" s="1">
        <v>20</v>
      </c>
      <c r="D261" s="1">
        <v>8</v>
      </c>
      <c r="E261" s="1" t="s">
        <v>57</v>
      </c>
      <c r="F261" s="1" t="s">
        <v>58</v>
      </c>
      <c r="G261" s="1">
        <v>21</v>
      </c>
      <c r="H261" s="1">
        <v>2</v>
      </c>
      <c r="I261" s="1">
        <v>21080000</v>
      </c>
      <c r="J261" s="1">
        <v>273</v>
      </c>
      <c r="K261" s="1">
        <v>0</v>
      </c>
      <c r="L261" s="1">
        <v>13022</v>
      </c>
      <c r="M261" s="1">
        <v>12.8797</v>
      </c>
      <c r="N261" s="1">
        <v>101.189285</v>
      </c>
      <c r="O261" s="1">
        <v>0</v>
      </c>
      <c r="P261" s="1">
        <v>0.12</v>
      </c>
      <c r="Q261" s="1">
        <v>0</v>
      </c>
      <c r="R261" s="1">
        <v>0.65</v>
      </c>
      <c r="S261" s="1">
        <v>7.99</v>
      </c>
      <c r="T261" s="1">
        <v>53.490001999999997</v>
      </c>
      <c r="U261" s="1">
        <v>33.259998000000003</v>
      </c>
      <c r="V261" s="1">
        <v>10.199999999999999</v>
      </c>
      <c r="W261" s="1">
        <v>0.03</v>
      </c>
      <c r="X261" s="1">
        <v>39090.990998000001</v>
      </c>
      <c r="Y261" s="1">
        <v>45970552.156099997</v>
      </c>
      <c r="Z261" t="str">
        <f>VLOOKUP(G261,'Code Pro'!$A$2:$B$9,2,FALSE)</f>
        <v>จ.ระยอง</v>
      </c>
      <c r="AA261" s="8">
        <f t="shared" si="37"/>
        <v>0</v>
      </c>
      <c r="AB261" s="8">
        <f t="shared" si="38"/>
        <v>5516466.2587319994</v>
      </c>
      <c r="AC261" s="8">
        <f t="shared" si="39"/>
        <v>0</v>
      </c>
      <c r="AD261" s="8">
        <f t="shared" si="40"/>
        <v>29880858.901464999</v>
      </c>
      <c r="AE261" s="8">
        <f t="shared" si="41"/>
        <v>367304711.72723901</v>
      </c>
      <c r="AF261" s="8">
        <f t="shared" si="42"/>
        <v>2458964926.7708931</v>
      </c>
      <c r="AG261" s="8">
        <f t="shared" si="43"/>
        <v>1528980472.7707818</v>
      </c>
      <c r="AH261" s="8">
        <f t="shared" si="44"/>
        <v>468899631.99221992</v>
      </c>
      <c r="AI261" s="8">
        <f t="shared" si="45"/>
        <v>1379116.5646829999</v>
      </c>
    </row>
    <row r="262" spans="1:35" x14ac:dyDescent="0.55000000000000004">
      <c r="A262" s="1">
        <v>260</v>
      </c>
      <c r="B262" s="1" t="s">
        <v>20</v>
      </c>
      <c r="C262" s="1">
        <v>20</v>
      </c>
      <c r="D262" s="1">
        <v>8</v>
      </c>
      <c r="E262" s="1" t="s">
        <v>57</v>
      </c>
      <c r="F262" s="1" t="s">
        <v>58</v>
      </c>
      <c r="G262" s="1">
        <v>21</v>
      </c>
      <c r="H262" s="1">
        <v>2</v>
      </c>
      <c r="I262" s="1">
        <v>21080000</v>
      </c>
      <c r="J262" s="1">
        <v>274</v>
      </c>
      <c r="K262" s="1">
        <v>0</v>
      </c>
      <c r="L262" s="1">
        <v>12903</v>
      </c>
      <c r="M262" s="1">
        <v>12.798636999999999</v>
      </c>
      <c r="N262" s="1">
        <v>101.27242</v>
      </c>
      <c r="O262" s="1">
        <v>0</v>
      </c>
      <c r="P262" s="1">
        <v>5.74</v>
      </c>
      <c r="Q262" s="1">
        <v>14.41</v>
      </c>
      <c r="R262" s="1">
        <v>6.87</v>
      </c>
      <c r="S262" s="1">
        <v>5.4</v>
      </c>
      <c r="T262" s="1">
        <v>2.44</v>
      </c>
      <c r="U262" s="1">
        <v>5.55</v>
      </c>
      <c r="V262" s="1">
        <v>30.98</v>
      </c>
      <c r="W262" s="1">
        <v>0.06</v>
      </c>
      <c r="X262" s="1">
        <v>4655.3940780000003</v>
      </c>
      <c r="Y262" s="1">
        <v>926225.31449400005</v>
      </c>
      <c r="Z262" t="str">
        <f>VLOOKUP(G262,'Code Pro'!$A$2:$B$9,2,FALSE)</f>
        <v>จ.ระยอง</v>
      </c>
      <c r="AA262" s="8">
        <f t="shared" si="37"/>
        <v>0</v>
      </c>
      <c r="AB262" s="8">
        <f t="shared" si="38"/>
        <v>5316533.3051955607</v>
      </c>
      <c r="AC262" s="8">
        <f t="shared" si="39"/>
        <v>13346906.781858541</v>
      </c>
      <c r="AD262" s="8">
        <f t="shared" si="40"/>
        <v>6363167.9105737805</v>
      </c>
      <c r="AE262" s="8">
        <f t="shared" si="41"/>
        <v>5001616.6982676005</v>
      </c>
      <c r="AF262" s="8">
        <f t="shared" si="42"/>
        <v>2259989.7673653602</v>
      </c>
      <c r="AG262" s="8">
        <f t="shared" si="43"/>
        <v>5140550.4954417003</v>
      </c>
      <c r="AH262" s="8">
        <f t="shared" si="44"/>
        <v>28694460.243024122</v>
      </c>
      <c r="AI262" s="8">
        <f t="shared" si="45"/>
        <v>55573.51886964</v>
      </c>
    </row>
    <row r="263" spans="1:35" x14ac:dyDescent="0.55000000000000004">
      <c r="A263" s="1">
        <v>261</v>
      </c>
      <c r="B263" s="1" t="s">
        <v>20</v>
      </c>
      <c r="C263" s="1">
        <v>20</v>
      </c>
      <c r="D263" s="1">
        <v>8</v>
      </c>
      <c r="E263" s="1" t="s">
        <v>57</v>
      </c>
      <c r="F263" s="1" t="s">
        <v>58</v>
      </c>
      <c r="G263" s="1">
        <v>21</v>
      </c>
      <c r="H263" s="1">
        <v>2</v>
      </c>
      <c r="I263" s="1">
        <v>21080000</v>
      </c>
      <c r="J263" s="1">
        <v>276</v>
      </c>
      <c r="K263" s="1">
        <v>0</v>
      </c>
      <c r="L263" s="1">
        <v>13142</v>
      </c>
      <c r="M263" s="1">
        <v>12.960724000000001</v>
      </c>
      <c r="N263" s="1">
        <v>101.189285</v>
      </c>
      <c r="O263" s="1">
        <v>0.36</v>
      </c>
      <c r="P263" s="1">
        <v>0.01</v>
      </c>
      <c r="Q263" s="1">
        <v>0</v>
      </c>
      <c r="R263" s="1">
        <v>0</v>
      </c>
      <c r="S263" s="1">
        <v>2.86</v>
      </c>
      <c r="T263" s="1">
        <v>31.66</v>
      </c>
      <c r="U263" s="1">
        <v>7.71</v>
      </c>
      <c r="V263" s="1">
        <v>4.55</v>
      </c>
      <c r="W263" s="1">
        <v>1.32</v>
      </c>
      <c r="X263" s="1">
        <v>3488.5500820000002</v>
      </c>
      <c r="Y263" s="1">
        <v>602034.89559199999</v>
      </c>
      <c r="Z263" t="str">
        <f>VLOOKUP(G263,'Code Pro'!$A$2:$B$9,2,FALSE)</f>
        <v>จ.ระยอง</v>
      </c>
      <c r="AA263" s="8">
        <f t="shared" si="37"/>
        <v>216732.56241311997</v>
      </c>
      <c r="AB263" s="8">
        <f t="shared" si="38"/>
        <v>6020.3489559199998</v>
      </c>
      <c r="AC263" s="8">
        <f t="shared" si="39"/>
        <v>0</v>
      </c>
      <c r="AD263" s="8">
        <f t="shared" si="40"/>
        <v>0</v>
      </c>
      <c r="AE263" s="8">
        <f t="shared" si="41"/>
        <v>1721819.8013931199</v>
      </c>
      <c r="AF263" s="8">
        <f t="shared" si="42"/>
        <v>19060424.794442721</v>
      </c>
      <c r="AG263" s="8">
        <f t="shared" si="43"/>
        <v>4641689.0450143199</v>
      </c>
      <c r="AH263" s="8">
        <f t="shared" si="44"/>
        <v>2739258.7749435999</v>
      </c>
      <c r="AI263" s="8">
        <f t="shared" si="45"/>
        <v>794686.06218144007</v>
      </c>
    </row>
    <row r="264" spans="1:35" x14ac:dyDescent="0.55000000000000004">
      <c r="A264" s="1">
        <v>262</v>
      </c>
      <c r="B264" s="1" t="s">
        <v>20</v>
      </c>
      <c r="C264" s="1">
        <v>20</v>
      </c>
      <c r="D264" s="1">
        <v>8</v>
      </c>
      <c r="E264" s="1" t="s">
        <v>57</v>
      </c>
      <c r="F264" s="1" t="s">
        <v>58</v>
      </c>
      <c r="G264" s="1">
        <v>21</v>
      </c>
      <c r="H264" s="1">
        <v>2</v>
      </c>
      <c r="I264" s="1">
        <v>21080000</v>
      </c>
      <c r="J264" s="1">
        <v>291</v>
      </c>
      <c r="K264" s="1">
        <v>0</v>
      </c>
      <c r="L264" s="1">
        <v>12782</v>
      </c>
      <c r="M264" s="1">
        <v>12.717560000000001</v>
      </c>
      <c r="N264" s="1">
        <v>101.189285</v>
      </c>
      <c r="O264" s="1">
        <v>0.15</v>
      </c>
      <c r="P264" s="1">
        <v>3.69</v>
      </c>
      <c r="Q264" s="1">
        <v>2.58</v>
      </c>
      <c r="R264" s="1">
        <v>7.7</v>
      </c>
      <c r="S264" s="1">
        <v>74.230002999999996</v>
      </c>
      <c r="T264" s="1">
        <v>26.700001</v>
      </c>
      <c r="U264" s="1">
        <v>16.18</v>
      </c>
      <c r="V264" s="1">
        <v>39.130001</v>
      </c>
      <c r="W264" s="1">
        <v>4.7</v>
      </c>
      <c r="X264" s="1">
        <v>14916.455475999999</v>
      </c>
      <c r="Y264" s="1">
        <v>6386344.5045600003</v>
      </c>
      <c r="Z264" t="str">
        <f>VLOOKUP(G264,'Code Pro'!$A$2:$B$9,2,FALSE)</f>
        <v>จ.ระยอง</v>
      </c>
      <c r="AA264" s="8">
        <f t="shared" si="37"/>
        <v>957951.67568400002</v>
      </c>
      <c r="AB264" s="8">
        <f t="shared" si="38"/>
        <v>23565611.221826401</v>
      </c>
      <c r="AC264" s="8">
        <f t="shared" si="39"/>
        <v>16476768.821764801</v>
      </c>
      <c r="AD264" s="8">
        <f t="shared" si="40"/>
        <v>49174852.685112</v>
      </c>
      <c r="AE264" s="8">
        <f t="shared" si="41"/>
        <v>474058371.73252231</v>
      </c>
      <c r="AF264" s="8">
        <f t="shared" si="42"/>
        <v>170515404.65809652</v>
      </c>
      <c r="AG264" s="8">
        <f t="shared" si="43"/>
        <v>103331054.0837808</v>
      </c>
      <c r="AH264" s="8">
        <f t="shared" si="44"/>
        <v>249897666.84977731</v>
      </c>
      <c r="AI264" s="8">
        <f t="shared" si="45"/>
        <v>30015819.171432003</v>
      </c>
    </row>
    <row r="265" spans="1:35" x14ac:dyDescent="0.55000000000000004">
      <c r="A265" s="1">
        <v>263</v>
      </c>
      <c r="B265" s="1" t="s">
        <v>20</v>
      </c>
      <c r="C265" s="1">
        <v>21</v>
      </c>
      <c r="D265" s="1">
        <v>1</v>
      </c>
      <c r="E265" s="1" t="s">
        <v>59</v>
      </c>
      <c r="F265" s="1" t="s">
        <v>60</v>
      </c>
      <c r="G265" s="1">
        <v>22</v>
      </c>
      <c r="H265" s="1">
        <v>2</v>
      </c>
      <c r="I265" s="1">
        <v>22010000</v>
      </c>
      <c r="J265" s="1">
        <v>495</v>
      </c>
      <c r="K265" s="1">
        <v>0</v>
      </c>
      <c r="L265" s="1">
        <v>12552</v>
      </c>
      <c r="M265" s="1">
        <v>12.555313</v>
      </c>
      <c r="N265" s="1">
        <v>102.020645</v>
      </c>
      <c r="O265" s="1">
        <v>0.22</v>
      </c>
      <c r="P265" s="1">
        <v>0.06</v>
      </c>
      <c r="Q265" s="1">
        <v>0.04</v>
      </c>
      <c r="R265" s="1">
        <v>0.42</v>
      </c>
      <c r="S265" s="1">
        <v>4.2699999999999996</v>
      </c>
      <c r="T265" s="1">
        <v>10.82</v>
      </c>
      <c r="U265" s="1">
        <v>26.82</v>
      </c>
      <c r="V265" s="1">
        <v>4.8600000000000003</v>
      </c>
      <c r="W265" s="1">
        <v>7.78</v>
      </c>
      <c r="X265" s="1">
        <v>24265.268478000002</v>
      </c>
      <c r="Y265" s="1">
        <v>20277261.714499999</v>
      </c>
      <c r="Z265" t="str">
        <f>VLOOKUP(G265,'Code Pro'!$A$2:$B$9,2,FALSE)</f>
        <v>จ.จันทบุรี</v>
      </c>
      <c r="AA265" s="8">
        <f t="shared" si="37"/>
        <v>4460997.5771899996</v>
      </c>
      <c r="AB265" s="8">
        <f t="shared" si="38"/>
        <v>1216635.7028699999</v>
      </c>
      <c r="AC265" s="8">
        <f t="shared" si="39"/>
        <v>811090.46857999999</v>
      </c>
      <c r="AD265" s="8">
        <f t="shared" si="40"/>
        <v>8516449.9200899992</v>
      </c>
      <c r="AE265" s="8">
        <f t="shared" si="41"/>
        <v>86583907.520914987</v>
      </c>
      <c r="AF265" s="8">
        <f t="shared" si="42"/>
        <v>219399971.75088999</v>
      </c>
      <c r="AG265" s="8">
        <f t="shared" si="43"/>
        <v>543836159.18288994</v>
      </c>
      <c r="AH265" s="8">
        <f t="shared" si="44"/>
        <v>98547491.932469994</v>
      </c>
      <c r="AI265" s="8">
        <f t="shared" si="45"/>
        <v>157757096.13881001</v>
      </c>
    </row>
    <row r="266" spans="1:35" x14ac:dyDescent="0.55000000000000004">
      <c r="A266" s="1">
        <v>264</v>
      </c>
      <c r="B266" s="1" t="s">
        <v>20</v>
      </c>
      <c r="C266" s="1">
        <v>21</v>
      </c>
      <c r="D266" s="1">
        <v>1</v>
      </c>
      <c r="E266" s="1" t="s">
        <v>59</v>
      </c>
      <c r="F266" s="1" t="s">
        <v>60</v>
      </c>
      <c r="G266" s="1">
        <v>22</v>
      </c>
      <c r="H266" s="1">
        <v>2</v>
      </c>
      <c r="I266" s="1">
        <v>22010000</v>
      </c>
      <c r="J266" s="1">
        <v>500</v>
      </c>
      <c r="K266" s="1">
        <v>0</v>
      </c>
      <c r="L266" s="1">
        <v>12672</v>
      </c>
      <c r="M266" s="1">
        <v>12.636443999999999</v>
      </c>
      <c r="N266" s="1">
        <v>102.020645</v>
      </c>
      <c r="O266" s="1">
        <v>4.21</v>
      </c>
      <c r="P266" s="1">
        <v>0.06</v>
      </c>
      <c r="Q266" s="1">
        <v>0.09</v>
      </c>
      <c r="R266" s="1">
        <v>4.38</v>
      </c>
      <c r="S266" s="1">
        <v>1.21</v>
      </c>
      <c r="T266" s="1">
        <v>2.69</v>
      </c>
      <c r="U266" s="1">
        <v>16.170000000000002</v>
      </c>
      <c r="V266" s="1">
        <v>24.790001</v>
      </c>
      <c r="W266" s="1">
        <v>7.83</v>
      </c>
      <c r="X266" s="1">
        <v>5051.7287729999998</v>
      </c>
      <c r="Y266" s="1">
        <v>815611.27054299996</v>
      </c>
      <c r="Z266" t="str">
        <f>VLOOKUP(G266,'Code Pro'!$A$2:$B$9,2,FALSE)</f>
        <v>จ.จันทบุรี</v>
      </c>
      <c r="AA266" s="8">
        <f t="shared" si="37"/>
        <v>3433723.4489860297</v>
      </c>
      <c r="AB266" s="8">
        <f t="shared" si="38"/>
        <v>48936.676232579994</v>
      </c>
      <c r="AC266" s="8">
        <f t="shared" si="39"/>
        <v>73405.014348869998</v>
      </c>
      <c r="AD266" s="8">
        <f t="shared" si="40"/>
        <v>3572377.3649783395</v>
      </c>
      <c r="AE266" s="8">
        <f t="shared" si="41"/>
        <v>986889.63735702995</v>
      </c>
      <c r="AF266" s="8">
        <f t="shared" si="42"/>
        <v>2193994.3177606696</v>
      </c>
      <c r="AG266" s="8">
        <f t="shared" si="43"/>
        <v>13188434.244680312</v>
      </c>
      <c r="AH266" s="8">
        <f t="shared" si="44"/>
        <v>20219004.21237224</v>
      </c>
      <c r="AI266" s="8">
        <f t="shared" si="45"/>
        <v>6386236.2483516894</v>
      </c>
    </row>
    <row r="267" spans="1:35" x14ac:dyDescent="0.55000000000000004">
      <c r="A267" s="1">
        <v>265</v>
      </c>
      <c r="B267" s="1" t="s">
        <v>20</v>
      </c>
      <c r="C267" s="1">
        <v>21</v>
      </c>
      <c r="D267" s="1">
        <v>1</v>
      </c>
      <c r="E267" s="1" t="s">
        <v>59</v>
      </c>
      <c r="F267" s="1" t="s">
        <v>60</v>
      </c>
      <c r="G267" s="1">
        <v>22</v>
      </c>
      <c r="H267" s="1">
        <v>2</v>
      </c>
      <c r="I267" s="1">
        <v>22010000</v>
      </c>
      <c r="J267" s="1">
        <v>501</v>
      </c>
      <c r="K267" s="1">
        <v>0</v>
      </c>
      <c r="L267" s="1">
        <v>12553</v>
      </c>
      <c r="M267" s="1">
        <v>12.555313</v>
      </c>
      <c r="N267" s="1">
        <v>102.10378</v>
      </c>
      <c r="O267" s="1">
        <v>0.03</v>
      </c>
      <c r="P267" s="1">
        <v>0</v>
      </c>
      <c r="Q267" s="1">
        <v>0.05</v>
      </c>
      <c r="R267" s="1">
        <v>3.67</v>
      </c>
      <c r="S267" s="1">
        <v>7.96</v>
      </c>
      <c r="T267" s="1">
        <v>10</v>
      </c>
      <c r="U267" s="1">
        <v>26.879999000000002</v>
      </c>
      <c r="V267" s="1">
        <v>5.94</v>
      </c>
      <c r="W267" s="1">
        <v>2.73</v>
      </c>
      <c r="X267" s="1">
        <v>37371.646317999999</v>
      </c>
      <c r="Y267" s="1">
        <v>73445605.965900004</v>
      </c>
      <c r="Z267" t="str">
        <f>VLOOKUP(G267,'Code Pro'!$A$2:$B$9,2,FALSE)</f>
        <v>จ.จันทบุรี</v>
      </c>
      <c r="AA267" s="8">
        <f t="shared" si="37"/>
        <v>2203368.1789770001</v>
      </c>
      <c r="AB267" s="8">
        <f t="shared" si="38"/>
        <v>0</v>
      </c>
      <c r="AC267" s="8">
        <f t="shared" si="39"/>
        <v>3672280.2982950006</v>
      </c>
      <c r="AD267" s="8">
        <f t="shared" si="40"/>
        <v>269545373.894853</v>
      </c>
      <c r="AE267" s="8">
        <f t="shared" si="41"/>
        <v>584627023.48856401</v>
      </c>
      <c r="AF267" s="8">
        <f t="shared" si="42"/>
        <v>734456059.65900004</v>
      </c>
      <c r="AG267" s="8">
        <f t="shared" si="43"/>
        <v>1974217814.9177864</v>
      </c>
      <c r="AH267" s="8">
        <f t="shared" si="44"/>
        <v>436266899.43744606</v>
      </c>
      <c r="AI267" s="8">
        <f t="shared" si="45"/>
        <v>200506504.28690702</v>
      </c>
    </row>
    <row r="268" spans="1:35" x14ac:dyDescent="0.55000000000000004">
      <c r="A268" s="1">
        <v>266</v>
      </c>
      <c r="B268" s="1" t="s">
        <v>20</v>
      </c>
      <c r="C268" s="1">
        <v>21</v>
      </c>
      <c r="D268" s="1">
        <v>1</v>
      </c>
      <c r="E268" s="1" t="s">
        <v>59</v>
      </c>
      <c r="F268" s="1" t="s">
        <v>60</v>
      </c>
      <c r="G268" s="1">
        <v>22</v>
      </c>
      <c r="H268" s="1">
        <v>2</v>
      </c>
      <c r="I268" s="1">
        <v>22010000</v>
      </c>
      <c r="J268" s="1">
        <v>502</v>
      </c>
      <c r="K268" s="1">
        <v>0</v>
      </c>
      <c r="L268" s="1">
        <v>12433</v>
      </c>
      <c r="M268" s="1">
        <v>12.474159</v>
      </c>
      <c r="N268" s="1">
        <v>102.10378</v>
      </c>
      <c r="O268" s="1">
        <v>0.08</v>
      </c>
      <c r="P268" s="1">
        <v>0.26</v>
      </c>
      <c r="Q268" s="1">
        <v>0.13</v>
      </c>
      <c r="R268" s="1">
        <v>0.52</v>
      </c>
      <c r="S268" s="1">
        <v>35.990001999999997</v>
      </c>
      <c r="T268" s="1">
        <v>0.97</v>
      </c>
      <c r="U268" s="1">
        <v>13.03</v>
      </c>
      <c r="V268" s="1">
        <v>5.34</v>
      </c>
      <c r="W268" s="1">
        <v>7.63</v>
      </c>
      <c r="X268" s="1">
        <v>2497.4531999999999</v>
      </c>
      <c r="Y268" s="1">
        <v>243298.07498500001</v>
      </c>
      <c r="Z268" t="str">
        <f>VLOOKUP(G268,'Code Pro'!$A$2:$B$9,2,FALSE)</f>
        <v>จ.จันทบุรี</v>
      </c>
      <c r="AA268" s="8">
        <f t="shared" si="37"/>
        <v>19463.845998800003</v>
      </c>
      <c r="AB268" s="8">
        <f t="shared" si="38"/>
        <v>63257.499496100005</v>
      </c>
      <c r="AC268" s="8">
        <f t="shared" si="39"/>
        <v>31628.749748050002</v>
      </c>
      <c r="AD268" s="8">
        <f t="shared" si="40"/>
        <v>126514.99899220001</v>
      </c>
      <c r="AE268" s="8">
        <f t="shared" si="41"/>
        <v>8756298.205306299</v>
      </c>
      <c r="AF268" s="8">
        <f t="shared" si="42"/>
        <v>235999.13273545</v>
      </c>
      <c r="AG268" s="8">
        <f t="shared" si="43"/>
        <v>3170173.9170545503</v>
      </c>
      <c r="AH268" s="8">
        <f t="shared" si="44"/>
        <v>1299211.7204199</v>
      </c>
      <c r="AI268" s="8">
        <f t="shared" si="45"/>
        <v>1856364.3121355502</v>
      </c>
    </row>
    <row r="269" spans="1:35" x14ac:dyDescent="0.55000000000000004">
      <c r="A269" s="1">
        <v>267</v>
      </c>
      <c r="B269" s="1" t="s">
        <v>20</v>
      </c>
      <c r="C269" s="1">
        <v>21</v>
      </c>
      <c r="D269" s="1">
        <v>1</v>
      </c>
      <c r="E269" s="1" t="s">
        <v>59</v>
      </c>
      <c r="F269" s="1" t="s">
        <v>60</v>
      </c>
      <c r="G269" s="1">
        <v>22</v>
      </c>
      <c r="H269" s="1">
        <v>2</v>
      </c>
      <c r="I269" s="1">
        <v>22010000</v>
      </c>
      <c r="J269" s="1">
        <v>503</v>
      </c>
      <c r="K269" s="1">
        <v>0</v>
      </c>
      <c r="L269" s="1">
        <v>12674</v>
      </c>
      <c r="M269" s="1">
        <v>12.636443999999999</v>
      </c>
      <c r="N269" s="1">
        <v>102.18692</v>
      </c>
      <c r="O269" s="1">
        <v>1.7</v>
      </c>
      <c r="P269" s="1">
        <v>11.62</v>
      </c>
      <c r="Q269" s="1">
        <v>0.92</v>
      </c>
      <c r="R269" s="1">
        <v>3.09</v>
      </c>
      <c r="S269" s="1">
        <v>3.71</v>
      </c>
      <c r="T269" s="1">
        <v>1.9</v>
      </c>
      <c r="U269" s="1">
        <v>12.01</v>
      </c>
      <c r="V269" s="1">
        <v>4.4000000000000004</v>
      </c>
      <c r="W269" s="1">
        <v>3.28</v>
      </c>
      <c r="X269" s="1">
        <v>22365.570987999999</v>
      </c>
      <c r="Y269" s="1">
        <v>20804677.385499999</v>
      </c>
      <c r="Z269" t="str">
        <f>VLOOKUP(G269,'Code Pro'!$A$2:$B$9,2,FALSE)</f>
        <v>จ.จันทบุรี</v>
      </c>
      <c r="AA269" s="8">
        <f t="shared" si="37"/>
        <v>35367951.555349998</v>
      </c>
      <c r="AB269" s="8">
        <f t="shared" si="38"/>
        <v>241750351.21950996</v>
      </c>
      <c r="AC269" s="8">
        <f t="shared" si="39"/>
        <v>19140303.194660001</v>
      </c>
      <c r="AD269" s="8">
        <f t="shared" si="40"/>
        <v>64286453.121194996</v>
      </c>
      <c r="AE269" s="8">
        <f t="shared" si="41"/>
        <v>77185353.100204989</v>
      </c>
      <c r="AF269" s="8">
        <f t="shared" si="42"/>
        <v>39528887.032449998</v>
      </c>
      <c r="AG269" s="8">
        <f t="shared" si="43"/>
        <v>249864175.39985499</v>
      </c>
      <c r="AH269" s="8">
        <f t="shared" si="44"/>
        <v>91540580.496199995</v>
      </c>
      <c r="AI269" s="8">
        <f t="shared" si="45"/>
        <v>68239341.824439988</v>
      </c>
    </row>
    <row r="270" spans="1:35" x14ac:dyDescent="0.55000000000000004">
      <c r="A270" s="1">
        <v>268</v>
      </c>
      <c r="B270" s="1" t="s">
        <v>20</v>
      </c>
      <c r="C270" s="1">
        <v>21</v>
      </c>
      <c r="D270" s="1">
        <v>1</v>
      </c>
      <c r="E270" s="1" t="s">
        <v>59</v>
      </c>
      <c r="F270" s="1" t="s">
        <v>60</v>
      </c>
      <c r="G270" s="1">
        <v>22</v>
      </c>
      <c r="H270" s="1">
        <v>2</v>
      </c>
      <c r="I270" s="1">
        <v>22010000</v>
      </c>
      <c r="J270" s="1">
        <v>504</v>
      </c>
      <c r="K270" s="1">
        <v>0</v>
      </c>
      <c r="L270" s="1">
        <v>12673</v>
      </c>
      <c r="M270" s="1">
        <v>12.636443999999999</v>
      </c>
      <c r="N270" s="1">
        <v>102.10378</v>
      </c>
      <c r="O270" s="1">
        <v>2.1</v>
      </c>
      <c r="P270" s="1">
        <v>0.18</v>
      </c>
      <c r="Q270" s="1">
        <v>0</v>
      </c>
      <c r="R270" s="1">
        <v>5.64</v>
      </c>
      <c r="S270" s="1">
        <v>3.69</v>
      </c>
      <c r="T270" s="1">
        <v>4.9400000000000004</v>
      </c>
      <c r="U270" s="1">
        <v>17.719999000000001</v>
      </c>
      <c r="V270" s="1">
        <v>18.59</v>
      </c>
      <c r="W270" s="1">
        <v>21.59</v>
      </c>
      <c r="X270" s="1">
        <v>40893.536673000002</v>
      </c>
      <c r="Y270" s="1">
        <v>73749715.241600007</v>
      </c>
      <c r="Z270" t="str">
        <f>VLOOKUP(G270,'Code Pro'!$A$2:$B$9,2,FALSE)</f>
        <v>จ.จันทบุรี</v>
      </c>
      <c r="AA270" s="8">
        <f t="shared" si="37"/>
        <v>154874402.00736001</v>
      </c>
      <c r="AB270" s="8">
        <f t="shared" si="38"/>
        <v>13274948.743488001</v>
      </c>
      <c r="AC270" s="8">
        <f t="shared" si="39"/>
        <v>0</v>
      </c>
      <c r="AD270" s="8">
        <f t="shared" si="40"/>
        <v>415948393.96262401</v>
      </c>
      <c r="AE270" s="8">
        <f t="shared" si="41"/>
        <v>272136449.24150401</v>
      </c>
      <c r="AF270" s="8">
        <f t="shared" si="42"/>
        <v>364323593.29350406</v>
      </c>
      <c r="AG270" s="8">
        <f t="shared" si="43"/>
        <v>1306844880.3314369</v>
      </c>
      <c r="AH270" s="8">
        <f t="shared" si="44"/>
        <v>1371007206.3413441</v>
      </c>
      <c r="AI270" s="8">
        <f t="shared" si="45"/>
        <v>1592256352.0661442</v>
      </c>
    </row>
    <row r="271" spans="1:35" x14ac:dyDescent="0.55000000000000004">
      <c r="A271" s="1">
        <v>269</v>
      </c>
      <c r="B271" s="1" t="s">
        <v>20</v>
      </c>
      <c r="C271" s="1">
        <v>21</v>
      </c>
      <c r="D271" s="1">
        <v>1</v>
      </c>
      <c r="E271" s="1" t="s">
        <v>59</v>
      </c>
      <c r="F271" s="1" t="s">
        <v>60</v>
      </c>
      <c r="G271" s="1">
        <v>22</v>
      </c>
      <c r="H271" s="1">
        <v>2</v>
      </c>
      <c r="I271" s="1">
        <v>22010000</v>
      </c>
      <c r="J271" s="1">
        <v>505</v>
      </c>
      <c r="K271" s="1">
        <v>0</v>
      </c>
      <c r="L271" s="1">
        <v>12554</v>
      </c>
      <c r="M271" s="1">
        <v>12.555313</v>
      </c>
      <c r="N271" s="1">
        <v>102.18692</v>
      </c>
      <c r="O271" s="1">
        <v>2.08</v>
      </c>
      <c r="P271" s="1">
        <v>0.11</v>
      </c>
      <c r="Q271" s="1">
        <v>0.01</v>
      </c>
      <c r="R271" s="1">
        <v>3.34</v>
      </c>
      <c r="S271" s="1">
        <v>0.43</v>
      </c>
      <c r="T271" s="1">
        <v>1.39</v>
      </c>
      <c r="U271" s="1">
        <v>12.93</v>
      </c>
      <c r="V271" s="1">
        <v>9.9700000000000006</v>
      </c>
      <c r="W271" s="1">
        <v>8.17</v>
      </c>
      <c r="X271" s="1">
        <v>33620.353271</v>
      </c>
      <c r="Y271" s="1">
        <v>53920206.689000003</v>
      </c>
      <c r="Z271" t="str">
        <f>VLOOKUP(G271,'Code Pro'!$A$2:$B$9,2,FALSE)</f>
        <v>จ.จันทบุรี</v>
      </c>
      <c r="AA271" s="8">
        <f t="shared" si="37"/>
        <v>112154029.91312002</v>
      </c>
      <c r="AB271" s="8">
        <f t="shared" si="38"/>
        <v>5931222.7357900003</v>
      </c>
      <c r="AC271" s="8">
        <f t="shared" si="39"/>
        <v>539202.06689000002</v>
      </c>
      <c r="AD271" s="8">
        <f t="shared" si="40"/>
        <v>180093490.34126002</v>
      </c>
      <c r="AE271" s="8">
        <f t="shared" si="41"/>
        <v>23185688.87627</v>
      </c>
      <c r="AF271" s="8">
        <f t="shared" si="42"/>
        <v>74949087.297710001</v>
      </c>
      <c r="AG271" s="8">
        <f t="shared" si="43"/>
        <v>697188272.48877001</v>
      </c>
      <c r="AH271" s="8">
        <f t="shared" si="44"/>
        <v>537584460.6893301</v>
      </c>
      <c r="AI271" s="8">
        <f t="shared" si="45"/>
        <v>440528088.64913005</v>
      </c>
    </row>
    <row r="272" spans="1:35" x14ac:dyDescent="0.55000000000000004">
      <c r="A272" s="1">
        <v>270</v>
      </c>
      <c r="B272" s="1" t="s">
        <v>20</v>
      </c>
      <c r="C272" s="1">
        <v>21</v>
      </c>
      <c r="D272" s="1">
        <v>1</v>
      </c>
      <c r="E272" s="1" t="s">
        <v>59</v>
      </c>
      <c r="F272" s="1" t="s">
        <v>60</v>
      </c>
      <c r="G272" s="1">
        <v>22</v>
      </c>
      <c r="H272" s="1">
        <v>2</v>
      </c>
      <c r="I272" s="1">
        <v>22010000</v>
      </c>
      <c r="J272" s="1">
        <v>538</v>
      </c>
      <c r="K272" s="1">
        <v>0</v>
      </c>
      <c r="L272" s="1">
        <v>12793</v>
      </c>
      <c r="M272" s="1">
        <v>12.717560000000001</v>
      </c>
      <c r="N272" s="1">
        <v>102.10378</v>
      </c>
      <c r="O272" s="1">
        <v>23.540001</v>
      </c>
      <c r="P272" s="1">
        <v>0.01</v>
      </c>
      <c r="Q272" s="1">
        <v>0.01</v>
      </c>
      <c r="R272" s="1">
        <v>2.27</v>
      </c>
      <c r="S272" s="1">
        <v>0.73</v>
      </c>
      <c r="T272" s="1">
        <v>7.64</v>
      </c>
      <c r="U272" s="1">
        <v>4.29</v>
      </c>
      <c r="V272" s="1">
        <v>0.47</v>
      </c>
      <c r="W272" s="1">
        <v>4.49</v>
      </c>
      <c r="X272" s="1">
        <v>27072.230145000001</v>
      </c>
      <c r="Y272" s="1">
        <v>38974592.1087</v>
      </c>
      <c r="Z272" t="str">
        <f>VLOOKUP(G272,'Code Pro'!$A$2:$B$9,2,FALSE)</f>
        <v>จ.จันทบุรี</v>
      </c>
      <c r="AA272" s="8">
        <f t="shared" si="37"/>
        <v>917461937.21339011</v>
      </c>
      <c r="AB272" s="8">
        <f t="shared" si="38"/>
        <v>389745.921087</v>
      </c>
      <c r="AC272" s="8">
        <f t="shared" si="39"/>
        <v>389745.921087</v>
      </c>
      <c r="AD272" s="8">
        <f t="shared" si="40"/>
        <v>88472324.086749002</v>
      </c>
      <c r="AE272" s="8">
        <f t="shared" si="41"/>
        <v>28451452.239351001</v>
      </c>
      <c r="AF272" s="8">
        <f t="shared" si="42"/>
        <v>297765883.71046799</v>
      </c>
      <c r="AG272" s="8">
        <f t="shared" si="43"/>
        <v>167201000.146323</v>
      </c>
      <c r="AH272" s="8">
        <f t="shared" si="44"/>
        <v>18318058.291088998</v>
      </c>
      <c r="AI272" s="8">
        <f t="shared" si="45"/>
        <v>174995918.56806302</v>
      </c>
    </row>
    <row r="273" spans="1:35" x14ac:dyDescent="0.55000000000000004">
      <c r="A273" s="1">
        <v>271</v>
      </c>
      <c r="B273" s="1" t="s">
        <v>20</v>
      </c>
      <c r="C273" s="1">
        <v>22</v>
      </c>
      <c r="D273" s="1">
        <v>2</v>
      </c>
      <c r="E273" s="1" t="s">
        <v>61</v>
      </c>
      <c r="F273" s="1" t="s">
        <v>62</v>
      </c>
      <c r="G273" s="1">
        <v>22</v>
      </c>
      <c r="H273" s="1">
        <v>2</v>
      </c>
      <c r="I273" s="1">
        <v>22020000</v>
      </c>
      <c r="J273" s="1">
        <v>438</v>
      </c>
      <c r="K273" s="1">
        <v>0</v>
      </c>
      <c r="L273" s="1">
        <v>12194</v>
      </c>
      <c r="M273" s="1">
        <v>12.311752</v>
      </c>
      <c r="N273" s="1">
        <v>102.18692</v>
      </c>
      <c r="O273" s="1">
        <v>0.03</v>
      </c>
      <c r="P273" s="1">
        <v>0.01</v>
      </c>
      <c r="Q273" s="1">
        <v>0.01</v>
      </c>
      <c r="R273" s="1">
        <v>0.62</v>
      </c>
      <c r="S273" s="1">
        <v>63.91</v>
      </c>
      <c r="T273" s="1">
        <v>0</v>
      </c>
      <c r="U273" s="1">
        <v>4.51</v>
      </c>
      <c r="V273" s="1">
        <v>6.66</v>
      </c>
      <c r="W273" s="1">
        <v>24.870000999999998</v>
      </c>
      <c r="X273" s="1">
        <v>10419.3927</v>
      </c>
      <c r="Y273" s="1">
        <v>5289873.1174299996</v>
      </c>
      <c r="Z273" t="str">
        <f>VLOOKUP(G273,'Code Pro'!$A$2:$B$9,2,FALSE)</f>
        <v>จ.จันทบุรี</v>
      </c>
      <c r="AA273" s="8">
        <f t="shared" si="37"/>
        <v>158696.19352289999</v>
      </c>
      <c r="AB273" s="8">
        <f t="shared" si="38"/>
        <v>52898.731174299995</v>
      </c>
      <c r="AC273" s="8">
        <f t="shared" si="39"/>
        <v>52898.731174299995</v>
      </c>
      <c r="AD273" s="8">
        <f t="shared" si="40"/>
        <v>3279721.3328065998</v>
      </c>
      <c r="AE273" s="8">
        <f t="shared" si="41"/>
        <v>338075790.93495125</v>
      </c>
      <c r="AF273" s="8">
        <f t="shared" si="42"/>
        <v>0</v>
      </c>
      <c r="AG273" s="8">
        <f t="shared" si="43"/>
        <v>23857327.759609297</v>
      </c>
      <c r="AH273" s="8">
        <f t="shared" si="44"/>
        <v>35230554.962083802</v>
      </c>
      <c r="AI273" s="8">
        <f t="shared" si="45"/>
        <v>131559149.72035719</v>
      </c>
    </row>
    <row r="274" spans="1:35" x14ac:dyDescent="0.55000000000000004">
      <c r="A274" s="1">
        <v>272</v>
      </c>
      <c r="B274" s="1" t="s">
        <v>20</v>
      </c>
      <c r="C274" s="1">
        <v>22</v>
      </c>
      <c r="D274" s="1">
        <v>2</v>
      </c>
      <c r="E274" s="1" t="s">
        <v>61</v>
      </c>
      <c r="F274" s="1" t="s">
        <v>62</v>
      </c>
      <c r="G274" s="1">
        <v>22</v>
      </c>
      <c r="H274" s="1">
        <v>2</v>
      </c>
      <c r="I274" s="1">
        <v>22020000</v>
      </c>
      <c r="J274" s="1">
        <v>497</v>
      </c>
      <c r="K274" s="1">
        <v>0</v>
      </c>
      <c r="L274" s="1">
        <v>12314</v>
      </c>
      <c r="M274" s="1">
        <v>12.392967000000001</v>
      </c>
      <c r="N274" s="1">
        <v>102.18692</v>
      </c>
      <c r="O274" s="1">
        <v>1.04</v>
      </c>
      <c r="P274" s="1">
        <v>0.05</v>
      </c>
      <c r="Q274" s="1">
        <v>0</v>
      </c>
      <c r="R274" s="1">
        <v>0.35</v>
      </c>
      <c r="S274" s="1">
        <v>11.34</v>
      </c>
      <c r="T274" s="1">
        <v>7.0000000000000007E-2</v>
      </c>
      <c r="U274" s="1">
        <v>9.34</v>
      </c>
      <c r="V274" s="1">
        <v>4.3099999999999996</v>
      </c>
      <c r="W274" s="1">
        <v>12.96</v>
      </c>
      <c r="X274" s="1">
        <v>27560.552436999998</v>
      </c>
      <c r="Y274" s="1">
        <v>19589562.028099999</v>
      </c>
      <c r="Z274" t="str">
        <f>VLOOKUP(G274,'Code Pro'!$A$2:$B$9,2,FALSE)</f>
        <v>จ.จันทบุรี</v>
      </c>
      <c r="AA274" s="8">
        <f t="shared" si="37"/>
        <v>20373144.509224001</v>
      </c>
      <c r="AB274" s="8">
        <f t="shared" si="38"/>
        <v>979478.10140499996</v>
      </c>
      <c r="AC274" s="8">
        <f t="shared" si="39"/>
        <v>0</v>
      </c>
      <c r="AD274" s="8">
        <f t="shared" si="40"/>
        <v>6856346.7098349994</v>
      </c>
      <c r="AE274" s="8">
        <f t="shared" si="41"/>
        <v>222145633.39865398</v>
      </c>
      <c r="AF274" s="8">
        <f t="shared" si="42"/>
        <v>1371269.3419670002</v>
      </c>
      <c r="AG274" s="8">
        <f t="shared" si="43"/>
        <v>182966509.34245399</v>
      </c>
      <c r="AH274" s="8">
        <f t="shared" si="44"/>
        <v>84431012.341110989</v>
      </c>
      <c r="AI274" s="8">
        <f t="shared" si="45"/>
        <v>253880723.88417602</v>
      </c>
    </row>
    <row r="275" spans="1:35" x14ac:dyDescent="0.55000000000000004">
      <c r="A275" s="1">
        <v>273</v>
      </c>
      <c r="B275" s="1" t="s">
        <v>20</v>
      </c>
      <c r="C275" s="1">
        <v>22</v>
      </c>
      <c r="D275" s="1">
        <v>2</v>
      </c>
      <c r="E275" s="1" t="s">
        <v>61</v>
      </c>
      <c r="F275" s="1" t="s">
        <v>62</v>
      </c>
      <c r="G275" s="1">
        <v>22</v>
      </c>
      <c r="H275" s="1">
        <v>2</v>
      </c>
      <c r="I275" s="1">
        <v>22020000</v>
      </c>
      <c r="J275" s="1">
        <v>499</v>
      </c>
      <c r="K275" s="1">
        <v>0</v>
      </c>
      <c r="L275" s="1">
        <v>12434</v>
      </c>
      <c r="M275" s="1">
        <v>12.474159</v>
      </c>
      <c r="N275" s="1">
        <v>102.18692</v>
      </c>
      <c r="O275" s="1">
        <v>4.21</v>
      </c>
      <c r="P275" s="1">
        <v>0.06</v>
      </c>
      <c r="Q275" s="1">
        <v>0.16</v>
      </c>
      <c r="R275" s="1">
        <v>0.14000000000000001</v>
      </c>
      <c r="S275" s="1">
        <v>0.92</v>
      </c>
      <c r="T275" s="1">
        <v>5.78</v>
      </c>
      <c r="U275" s="1">
        <v>10.24</v>
      </c>
      <c r="V275" s="1">
        <v>4.34</v>
      </c>
      <c r="W275" s="1">
        <v>4.9800000000000004</v>
      </c>
      <c r="X275" s="1">
        <v>35223.516895000001</v>
      </c>
      <c r="Y275" s="1">
        <v>63262059.803800002</v>
      </c>
      <c r="Z275" t="str">
        <f>VLOOKUP(G275,'Code Pro'!$A$2:$B$9,2,FALSE)</f>
        <v>จ.จันทบุรี</v>
      </c>
      <c r="AA275" s="8">
        <f t="shared" si="37"/>
        <v>266333271.77399799</v>
      </c>
      <c r="AB275" s="8">
        <f t="shared" si="38"/>
        <v>3795723.5882279999</v>
      </c>
      <c r="AC275" s="8">
        <f t="shared" si="39"/>
        <v>10121929.568608001</v>
      </c>
      <c r="AD275" s="8">
        <f t="shared" si="40"/>
        <v>8856688.3725320008</v>
      </c>
      <c r="AE275" s="8">
        <f t="shared" si="41"/>
        <v>58201095.019496001</v>
      </c>
      <c r="AF275" s="8">
        <f t="shared" si="42"/>
        <v>365654705.66596401</v>
      </c>
      <c r="AG275" s="8">
        <f t="shared" si="43"/>
        <v>647803492.39091206</v>
      </c>
      <c r="AH275" s="8">
        <f t="shared" si="44"/>
        <v>274557339.54849201</v>
      </c>
      <c r="AI275" s="8">
        <f t="shared" si="45"/>
        <v>315045057.82292402</v>
      </c>
    </row>
    <row r="276" spans="1:35" x14ac:dyDescent="0.55000000000000004">
      <c r="A276" s="1">
        <v>274</v>
      </c>
      <c r="B276" s="1" t="s">
        <v>20</v>
      </c>
      <c r="C276" s="1">
        <v>22</v>
      </c>
      <c r="D276" s="1">
        <v>2</v>
      </c>
      <c r="E276" s="1" t="s">
        <v>61</v>
      </c>
      <c r="F276" s="1" t="s">
        <v>62</v>
      </c>
      <c r="G276" s="1">
        <v>22</v>
      </c>
      <c r="H276" s="1">
        <v>2</v>
      </c>
      <c r="I276" s="1">
        <v>22020000</v>
      </c>
      <c r="J276" s="1">
        <v>503</v>
      </c>
      <c r="K276" s="1">
        <v>0</v>
      </c>
      <c r="L276" s="1">
        <v>12674</v>
      </c>
      <c r="M276" s="1">
        <v>12.636443999999999</v>
      </c>
      <c r="N276" s="1">
        <v>102.18692</v>
      </c>
      <c r="O276" s="1">
        <v>1.7</v>
      </c>
      <c r="P276" s="1">
        <v>11.62</v>
      </c>
      <c r="Q276" s="1">
        <v>0.92</v>
      </c>
      <c r="R276" s="1">
        <v>3.09</v>
      </c>
      <c r="S276" s="1">
        <v>3.71</v>
      </c>
      <c r="T276" s="1">
        <v>1.9</v>
      </c>
      <c r="U276" s="1">
        <v>12.01</v>
      </c>
      <c r="V276" s="1">
        <v>4.4000000000000004</v>
      </c>
      <c r="W276" s="1">
        <v>3.28</v>
      </c>
      <c r="X276" s="1">
        <v>3301.5572820000002</v>
      </c>
      <c r="Y276" s="1">
        <v>412847.55459700001</v>
      </c>
      <c r="Z276" t="str">
        <f>VLOOKUP(G276,'Code Pro'!$A$2:$B$9,2,FALSE)</f>
        <v>จ.จันทบุรี</v>
      </c>
      <c r="AA276" s="8">
        <f t="shared" si="37"/>
        <v>701840.84281489998</v>
      </c>
      <c r="AB276" s="8">
        <f t="shared" si="38"/>
        <v>4797288.5844171401</v>
      </c>
      <c r="AC276" s="8">
        <f t="shared" si="39"/>
        <v>379819.75022924005</v>
      </c>
      <c r="AD276" s="8">
        <f t="shared" si="40"/>
        <v>1275698.9437047299</v>
      </c>
      <c r="AE276" s="8">
        <f t="shared" si="41"/>
        <v>1531664.42755487</v>
      </c>
      <c r="AF276" s="8">
        <f t="shared" si="42"/>
        <v>784410.35373430001</v>
      </c>
      <c r="AG276" s="8">
        <f t="shared" si="43"/>
        <v>4958299.1307099704</v>
      </c>
      <c r="AH276" s="8">
        <f t="shared" si="44"/>
        <v>1816529.2402268001</v>
      </c>
      <c r="AI276" s="8">
        <f t="shared" si="45"/>
        <v>1354139.9790781599</v>
      </c>
    </row>
    <row r="277" spans="1:35" x14ac:dyDescent="0.55000000000000004">
      <c r="A277" s="1">
        <v>275</v>
      </c>
      <c r="B277" s="1" t="s">
        <v>20</v>
      </c>
      <c r="C277" s="1">
        <v>22</v>
      </c>
      <c r="D277" s="1">
        <v>2</v>
      </c>
      <c r="E277" s="1" t="s">
        <v>61</v>
      </c>
      <c r="F277" s="1" t="s">
        <v>62</v>
      </c>
      <c r="G277" s="1">
        <v>22</v>
      </c>
      <c r="H277" s="1">
        <v>2</v>
      </c>
      <c r="I277" s="1">
        <v>22020000</v>
      </c>
      <c r="J277" s="1">
        <v>505</v>
      </c>
      <c r="K277" s="1">
        <v>0</v>
      </c>
      <c r="L277" s="1">
        <v>12554</v>
      </c>
      <c r="M277" s="1">
        <v>12.555313</v>
      </c>
      <c r="N277" s="1">
        <v>102.18692</v>
      </c>
      <c r="O277" s="1">
        <v>2.08</v>
      </c>
      <c r="P277" s="1">
        <v>0.11</v>
      </c>
      <c r="Q277" s="1">
        <v>0.01</v>
      </c>
      <c r="R277" s="1">
        <v>3.34</v>
      </c>
      <c r="S277" s="1">
        <v>0.43</v>
      </c>
      <c r="T277" s="1">
        <v>1.39</v>
      </c>
      <c r="U277" s="1">
        <v>12.93</v>
      </c>
      <c r="V277" s="1">
        <v>9.9700000000000006</v>
      </c>
      <c r="W277" s="1">
        <v>8.17</v>
      </c>
      <c r="X277" s="1">
        <v>27927.355028999998</v>
      </c>
      <c r="Y277" s="1">
        <v>22009169.8508</v>
      </c>
      <c r="Z277" t="str">
        <f>VLOOKUP(G277,'Code Pro'!$A$2:$B$9,2,FALSE)</f>
        <v>จ.จันทบุรี</v>
      </c>
      <c r="AA277" s="8">
        <f t="shared" si="37"/>
        <v>45779073.289664</v>
      </c>
      <c r="AB277" s="8">
        <f t="shared" si="38"/>
        <v>2421008.683588</v>
      </c>
      <c r="AC277" s="8">
        <f t="shared" si="39"/>
        <v>220091.698508</v>
      </c>
      <c r="AD277" s="8">
        <f t="shared" si="40"/>
        <v>73510627.301671997</v>
      </c>
      <c r="AE277" s="8">
        <f t="shared" si="41"/>
        <v>9463943.0358440001</v>
      </c>
      <c r="AF277" s="8">
        <f t="shared" si="42"/>
        <v>30592746.092611998</v>
      </c>
      <c r="AG277" s="8">
        <f t="shared" si="43"/>
        <v>284578566.17084402</v>
      </c>
      <c r="AH277" s="8">
        <f t="shared" si="44"/>
        <v>219431423.412476</v>
      </c>
      <c r="AI277" s="8">
        <f t="shared" si="45"/>
        <v>179814917.681036</v>
      </c>
    </row>
    <row r="278" spans="1:35" x14ac:dyDescent="0.55000000000000004">
      <c r="A278" s="1">
        <v>276</v>
      </c>
      <c r="B278" s="1" t="s">
        <v>20</v>
      </c>
      <c r="C278" s="1">
        <v>22</v>
      </c>
      <c r="D278" s="1">
        <v>2</v>
      </c>
      <c r="E278" s="1" t="s">
        <v>61</v>
      </c>
      <c r="F278" s="1" t="s">
        <v>62</v>
      </c>
      <c r="G278" s="1">
        <v>22</v>
      </c>
      <c r="H278" s="1">
        <v>2</v>
      </c>
      <c r="I278" s="1">
        <v>22020000</v>
      </c>
      <c r="J278" s="1">
        <v>506</v>
      </c>
      <c r="K278" s="1">
        <v>0</v>
      </c>
      <c r="L278" s="1">
        <v>12195</v>
      </c>
      <c r="M278" s="1">
        <v>12.311752</v>
      </c>
      <c r="N278" s="1">
        <v>102.27006</v>
      </c>
      <c r="O278" s="1">
        <v>0.44</v>
      </c>
      <c r="P278" s="1">
        <v>0.04</v>
      </c>
      <c r="Q278" s="1">
        <v>0.28000000000000003</v>
      </c>
      <c r="R278" s="1">
        <v>0.06</v>
      </c>
      <c r="S278" s="1">
        <v>1.67</v>
      </c>
      <c r="T278" s="1">
        <v>0.26</v>
      </c>
      <c r="U278" s="1">
        <v>16.719999000000001</v>
      </c>
      <c r="V278" s="1">
        <v>9.58</v>
      </c>
      <c r="W278" s="1">
        <v>38.689999</v>
      </c>
      <c r="X278" s="1">
        <v>35555.899892000001</v>
      </c>
      <c r="Y278" s="1">
        <v>48098375.563500002</v>
      </c>
      <c r="Z278" t="str">
        <f>VLOOKUP(G278,'Code Pro'!$A$2:$B$9,2,FALSE)</f>
        <v>จ.จันทบุรี</v>
      </c>
      <c r="AA278" s="8">
        <f t="shared" si="37"/>
        <v>21163285.24794</v>
      </c>
      <c r="AB278" s="8">
        <f t="shared" si="38"/>
        <v>1923935.02254</v>
      </c>
      <c r="AC278" s="8">
        <f t="shared" si="39"/>
        <v>13467545.157780001</v>
      </c>
      <c r="AD278" s="8">
        <f t="shared" si="40"/>
        <v>2885902.5338099999</v>
      </c>
      <c r="AE278" s="8">
        <f t="shared" si="41"/>
        <v>80324287.191045001</v>
      </c>
      <c r="AF278" s="8">
        <f t="shared" si="42"/>
        <v>12505577.646510001</v>
      </c>
      <c r="AG278" s="8">
        <f t="shared" si="43"/>
        <v>804204791.32334459</v>
      </c>
      <c r="AH278" s="8">
        <f t="shared" si="44"/>
        <v>460782437.89833003</v>
      </c>
      <c r="AI278" s="8">
        <f t="shared" si="45"/>
        <v>1860926102.4534395</v>
      </c>
    </row>
    <row r="279" spans="1:35" x14ac:dyDescent="0.55000000000000004">
      <c r="A279" s="1">
        <v>277</v>
      </c>
      <c r="B279" s="1" t="s">
        <v>20</v>
      </c>
      <c r="C279" s="1">
        <v>22</v>
      </c>
      <c r="D279" s="1">
        <v>2</v>
      </c>
      <c r="E279" s="1" t="s">
        <v>61</v>
      </c>
      <c r="F279" s="1" t="s">
        <v>62</v>
      </c>
      <c r="G279" s="1">
        <v>22</v>
      </c>
      <c r="H279" s="1">
        <v>2</v>
      </c>
      <c r="I279" s="1">
        <v>22020000</v>
      </c>
      <c r="J279" s="1">
        <v>507</v>
      </c>
      <c r="K279" s="1">
        <v>0</v>
      </c>
      <c r="L279" s="1">
        <v>12196</v>
      </c>
      <c r="M279" s="1">
        <v>12.311752</v>
      </c>
      <c r="N279" s="1">
        <v>102.35319</v>
      </c>
      <c r="O279" s="1">
        <v>0.45</v>
      </c>
      <c r="P279" s="1">
        <v>0.01</v>
      </c>
      <c r="Q279" s="1">
        <v>0.03</v>
      </c>
      <c r="R279" s="1">
        <v>0</v>
      </c>
      <c r="S279" s="1">
        <v>4.8</v>
      </c>
      <c r="T279" s="1">
        <v>1.42</v>
      </c>
      <c r="U279" s="1">
        <v>2.83</v>
      </c>
      <c r="V279" s="1">
        <v>18.850000000000001</v>
      </c>
      <c r="W279" s="1">
        <v>35.279998999999997</v>
      </c>
      <c r="X279" s="1">
        <v>16061.882356</v>
      </c>
      <c r="Y279" s="1">
        <v>13905701.164000001</v>
      </c>
      <c r="Z279" t="str">
        <f>VLOOKUP(G279,'Code Pro'!$A$2:$B$9,2,FALSE)</f>
        <v>จ.จันทบุรี</v>
      </c>
      <c r="AA279" s="8">
        <f t="shared" si="37"/>
        <v>6257565.5238000005</v>
      </c>
      <c r="AB279" s="8">
        <f t="shared" si="38"/>
        <v>139057.01164000001</v>
      </c>
      <c r="AC279" s="8">
        <f t="shared" si="39"/>
        <v>417171.03492000001</v>
      </c>
      <c r="AD279" s="8">
        <f t="shared" si="40"/>
        <v>0</v>
      </c>
      <c r="AE279" s="8">
        <f t="shared" si="41"/>
        <v>66747365.587200001</v>
      </c>
      <c r="AF279" s="8">
        <f t="shared" si="42"/>
        <v>19746095.652880002</v>
      </c>
      <c r="AG279" s="8">
        <f t="shared" si="43"/>
        <v>39353134.294120006</v>
      </c>
      <c r="AH279" s="8">
        <f t="shared" si="44"/>
        <v>262122466.94140002</v>
      </c>
      <c r="AI279" s="8">
        <f t="shared" si="45"/>
        <v>490593123.16021883</v>
      </c>
    </row>
    <row r="280" spans="1:35" x14ac:dyDescent="0.55000000000000004">
      <c r="A280" s="1">
        <v>278</v>
      </c>
      <c r="B280" s="1" t="s">
        <v>20</v>
      </c>
      <c r="C280" s="1">
        <v>22</v>
      </c>
      <c r="D280" s="1">
        <v>2</v>
      </c>
      <c r="E280" s="1" t="s">
        <v>61</v>
      </c>
      <c r="F280" s="1" t="s">
        <v>62</v>
      </c>
      <c r="G280" s="1">
        <v>22</v>
      </c>
      <c r="H280" s="1">
        <v>2</v>
      </c>
      <c r="I280" s="1">
        <v>22020000</v>
      </c>
      <c r="J280" s="1">
        <v>508</v>
      </c>
      <c r="K280" s="1">
        <v>0</v>
      </c>
      <c r="L280" s="1">
        <v>12436</v>
      </c>
      <c r="M280" s="1">
        <v>12.474159</v>
      </c>
      <c r="N280" s="1">
        <v>102.35319</v>
      </c>
      <c r="O280" s="1">
        <v>4.47</v>
      </c>
      <c r="P280" s="1">
        <v>0.03</v>
      </c>
      <c r="Q280" s="1">
        <v>0.12</v>
      </c>
      <c r="R280" s="1">
        <v>0.02</v>
      </c>
      <c r="S280" s="1">
        <v>0.2</v>
      </c>
      <c r="T280" s="1">
        <v>0.03</v>
      </c>
      <c r="U280" s="1">
        <v>3.87</v>
      </c>
      <c r="V280" s="1">
        <v>4.8</v>
      </c>
      <c r="W280" s="1">
        <v>17.110001</v>
      </c>
      <c r="X280" s="1">
        <v>28187.022786000001</v>
      </c>
      <c r="Y280" s="1">
        <v>21002088.430100001</v>
      </c>
      <c r="Z280" t="str">
        <f>VLOOKUP(G280,'Code Pro'!$A$2:$B$9,2,FALSE)</f>
        <v>จ.จันทบุรี</v>
      </c>
      <c r="AA280" s="8">
        <f t="shared" si="37"/>
        <v>93879335.282546997</v>
      </c>
      <c r="AB280" s="8">
        <f t="shared" si="38"/>
        <v>630062.65290300001</v>
      </c>
      <c r="AC280" s="8">
        <f t="shared" si="39"/>
        <v>2520250.611612</v>
      </c>
      <c r="AD280" s="8">
        <f t="shared" si="40"/>
        <v>420041.76860200003</v>
      </c>
      <c r="AE280" s="8">
        <f t="shared" si="41"/>
        <v>4200417.6860200008</v>
      </c>
      <c r="AF280" s="8">
        <f t="shared" si="42"/>
        <v>630062.65290300001</v>
      </c>
      <c r="AG280" s="8">
        <f t="shared" si="43"/>
        <v>81278082.224487007</v>
      </c>
      <c r="AH280" s="8">
        <f t="shared" si="44"/>
        <v>100810024.46448</v>
      </c>
      <c r="AI280" s="8">
        <f t="shared" si="45"/>
        <v>359345754.04109949</v>
      </c>
    </row>
    <row r="281" spans="1:35" x14ac:dyDescent="0.55000000000000004">
      <c r="A281" s="1">
        <v>279</v>
      </c>
      <c r="B281" s="1" t="s">
        <v>20</v>
      </c>
      <c r="C281" s="1">
        <v>22</v>
      </c>
      <c r="D281" s="1">
        <v>2</v>
      </c>
      <c r="E281" s="1" t="s">
        <v>61</v>
      </c>
      <c r="F281" s="1" t="s">
        <v>62</v>
      </c>
      <c r="G281" s="1">
        <v>22</v>
      </c>
      <c r="H281" s="1">
        <v>2</v>
      </c>
      <c r="I281" s="1">
        <v>22020000</v>
      </c>
      <c r="J281" s="1">
        <v>509</v>
      </c>
      <c r="K281" s="1">
        <v>0</v>
      </c>
      <c r="L281" s="1">
        <v>12315</v>
      </c>
      <c r="M281" s="1">
        <v>12.392967000000001</v>
      </c>
      <c r="N281" s="1">
        <v>102.27006</v>
      </c>
      <c r="O281" s="1">
        <v>1.38</v>
      </c>
      <c r="P281" s="1">
        <v>0.04</v>
      </c>
      <c r="Q281" s="1">
        <v>0.12</v>
      </c>
      <c r="R281" s="1">
        <v>0.14000000000000001</v>
      </c>
      <c r="S281" s="1">
        <v>1.33</v>
      </c>
      <c r="T281" s="1">
        <v>0.89</v>
      </c>
      <c r="U281" s="1">
        <v>9.99</v>
      </c>
      <c r="V281" s="1">
        <v>2.34</v>
      </c>
      <c r="W281" s="1">
        <v>26.959999</v>
      </c>
      <c r="X281" s="1">
        <v>36088.934050000003</v>
      </c>
      <c r="Y281" s="1">
        <v>81399878.930299997</v>
      </c>
      <c r="Z281" t="str">
        <f>VLOOKUP(G281,'Code Pro'!$A$2:$B$9,2,FALSE)</f>
        <v>จ.จันทบุรี</v>
      </c>
      <c r="AA281" s="8">
        <f t="shared" si="37"/>
        <v>112331832.92381398</v>
      </c>
      <c r="AB281" s="8">
        <f t="shared" si="38"/>
        <v>3255995.1572119999</v>
      </c>
      <c r="AC281" s="8">
        <f t="shared" si="39"/>
        <v>9767985.4716359992</v>
      </c>
      <c r="AD281" s="8">
        <f t="shared" si="40"/>
        <v>11395983.050242001</v>
      </c>
      <c r="AE281" s="8">
        <f t="shared" si="41"/>
        <v>108261838.977299</v>
      </c>
      <c r="AF281" s="8">
        <f t="shared" si="42"/>
        <v>72445892.247967005</v>
      </c>
      <c r="AG281" s="8">
        <f t="shared" si="43"/>
        <v>813184790.51369703</v>
      </c>
      <c r="AH281" s="8">
        <f t="shared" si="44"/>
        <v>190475716.69690198</v>
      </c>
      <c r="AI281" s="8">
        <f t="shared" si="45"/>
        <v>2194540654.5610089</v>
      </c>
    </row>
    <row r="282" spans="1:35" x14ac:dyDescent="0.55000000000000004">
      <c r="A282" s="1">
        <v>280</v>
      </c>
      <c r="B282" s="1" t="s">
        <v>20</v>
      </c>
      <c r="C282" s="1">
        <v>22</v>
      </c>
      <c r="D282" s="1">
        <v>2</v>
      </c>
      <c r="E282" s="1" t="s">
        <v>61</v>
      </c>
      <c r="F282" s="1" t="s">
        <v>62</v>
      </c>
      <c r="G282" s="1">
        <v>22</v>
      </c>
      <c r="H282" s="1">
        <v>2</v>
      </c>
      <c r="I282" s="1">
        <v>22020000</v>
      </c>
      <c r="J282" s="1">
        <v>510</v>
      </c>
      <c r="K282" s="1">
        <v>0</v>
      </c>
      <c r="L282" s="1">
        <v>12316</v>
      </c>
      <c r="M282" s="1">
        <v>12.392967000000001</v>
      </c>
      <c r="N282" s="1">
        <v>102.35319</v>
      </c>
      <c r="O282" s="1">
        <v>2.63</v>
      </c>
      <c r="P282" s="1">
        <v>0</v>
      </c>
      <c r="Q282" s="1">
        <v>6.75</v>
      </c>
      <c r="R282" s="1">
        <v>0</v>
      </c>
      <c r="S282" s="1">
        <v>3.33</v>
      </c>
      <c r="T282" s="1">
        <v>8.19</v>
      </c>
      <c r="U282" s="1">
        <v>13.55</v>
      </c>
      <c r="V282" s="1">
        <v>6.33</v>
      </c>
      <c r="W282" s="1">
        <v>24.24</v>
      </c>
      <c r="X282" s="1">
        <v>28039.726197</v>
      </c>
      <c r="Y282" s="1">
        <v>38432060.196500003</v>
      </c>
      <c r="Z282" t="str">
        <f>VLOOKUP(G282,'Code Pro'!$A$2:$B$9,2,FALSE)</f>
        <v>จ.จันทบุรี</v>
      </c>
      <c r="AA282" s="8">
        <f t="shared" si="37"/>
        <v>101076318.31679501</v>
      </c>
      <c r="AB282" s="8">
        <f t="shared" si="38"/>
        <v>0</v>
      </c>
      <c r="AC282" s="8">
        <f t="shared" si="39"/>
        <v>259416406.32637501</v>
      </c>
      <c r="AD282" s="8">
        <f t="shared" si="40"/>
        <v>0</v>
      </c>
      <c r="AE282" s="8">
        <f t="shared" si="41"/>
        <v>127978760.45434502</v>
      </c>
      <c r="AF282" s="8">
        <f t="shared" si="42"/>
        <v>314758573.00933498</v>
      </c>
      <c r="AG282" s="8">
        <f t="shared" si="43"/>
        <v>520754415.66257507</v>
      </c>
      <c r="AH282" s="8">
        <f t="shared" si="44"/>
        <v>243274941.04384503</v>
      </c>
      <c r="AI282" s="8">
        <f t="shared" si="45"/>
        <v>931593139.16315997</v>
      </c>
    </row>
    <row r="283" spans="1:35" x14ac:dyDescent="0.55000000000000004">
      <c r="A283" s="1">
        <v>281</v>
      </c>
      <c r="B283" s="1" t="s">
        <v>20</v>
      </c>
      <c r="C283" s="1">
        <v>22</v>
      </c>
      <c r="D283" s="1">
        <v>2</v>
      </c>
      <c r="E283" s="1" t="s">
        <v>61</v>
      </c>
      <c r="F283" s="1" t="s">
        <v>62</v>
      </c>
      <c r="G283" s="1">
        <v>22</v>
      </c>
      <c r="H283" s="1">
        <v>2</v>
      </c>
      <c r="I283" s="1">
        <v>22020000</v>
      </c>
      <c r="J283" s="1">
        <v>511</v>
      </c>
      <c r="K283" s="1">
        <v>0</v>
      </c>
      <c r="L283" s="1">
        <v>12675</v>
      </c>
      <c r="M283" s="1">
        <v>12.636443999999999</v>
      </c>
      <c r="N283" s="1">
        <v>102.27006</v>
      </c>
      <c r="O283" s="1">
        <v>22.74</v>
      </c>
      <c r="P283" s="1">
        <v>0.09</v>
      </c>
      <c r="Q283" s="1">
        <v>0.17</v>
      </c>
      <c r="R283" s="1">
        <v>0.82</v>
      </c>
      <c r="S283" s="1">
        <v>1.5</v>
      </c>
      <c r="T283" s="1">
        <v>2.41</v>
      </c>
      <c r="U283" s="1">
        <v>8.68</v>
      </c>
      <c r="V283" s="1">
        <v>4.07</v>
      </c>
      <c r="W283" s="1">
        <v>5.54</v>
      </c>
      <c r="X283" s="1">
        <v>37516.024141000002</v>
      </c>
      <c r="Y283" s="1">
        <v>44448360.668700002</v>
      </c>
      <c r="Z283" t="str">
        <f>VLOOKUP(G283,'Code Pro'!$A$2:$B$9,2,FALSE)</f>
        <v>จ.จันทบุรี</v>
      </c>
      <c r="AA283" s="8">
        <f t="shared" si="37"/>
        <v>1010755721.606238</v>
      </c>
      <c r="AB283" s="8">
        <f t="shared" si="38"/>
        <v>4000352.4601830002</v>
      </c>
      <c r="AC283" s="8">
        <f t="shared" si="39"/>
        <v>7556221.3136790013</v>
      </c>
      <c r="AD283" s="8">
        <f t="shared" si="40"/>
        <v>36447655.748333998</v>
      </c>
      <c r="AE283" s="8">
        <f t="shared" si="41"/>
        <v>66672541.003049999</v>
      </c>
      <c r="AF283" s="8">
        <f t="shared" si="42"/>
        <v>107120549.21156701</v>
      </c>
      <c r="AG283" s="8">
        <f t="shared" si="43"/>
        <v>385811770.604316</v>
      </c>
      <c r="AH283" s="8">
        <f t="shared" si="44"/>
        <v>180904827.92160901</v>
      </c>
      <c r="AI283" s="8">
        <f t="shared" si="45"/>
        <v>246243918.10459802</v>
      </c>
    </row>
    <row r="284" spans="1:35" x14ac:dyDescent="0.55000000000000004">
      <c r="A284" s="1">
        <v>282</v>
      </c>
      <c r="B284" s="1" t="s">
        <v>20</v>
      </c>
      <c r="C284" s="1">
        <v>22</v>
      </c>
      <c r="D284" s="1">
        <v>2</v>
      </c>
      <c r="E284" s="1" t="s">
        <v>61</v>
      </c>
      <c r="F284" s="1" t="s">
        <v>62</v>
      </c>
      <c r="G284" s="1">
        <v>22</v>
      </c>
      <c r="H284" s="1">
        <v>2</v>
      </c>
      <c r="I284" s="1">
        <v>22020000</v>
      </c>
      <c r="J284" s="1">
        <v>512</v>
      </c>
      <c r="K284" s="1">
        <v>0</v>
      </c>
      <c r="L284" s="1">
        <v>12555</v>
      </c>
      <c r="M284" s="1">
        <v>12.555313</v>
      </c>
      <c r="N284" s="1">
        <v>102.27006</v>
      </c>
      <c r="O284" s="1">
        <v>21.91</v>
      </c>
      <c r="P284" s="1">
        <v>0.03</v>
      </c>
      <c r="Q284" s="1">
        <v>0.08</v>
      </c>
      <c r="R284" s="1">
        <v>0.46</v>
      </c>
      <c r="S284" s="1">
        <v>0.96</v>
      </c>
      <c r="T284" s="1">
        <v>1.86</v>
      </c>
      <c r="U284" s="1">
        <v>4.79</v>
      </c>
      <c r="V284" s="1">
        <v>4.22</v>
      </c>
      <c r="W284" s="1">
        <v>10.68</v>
      </c>
      <c r="X284" s="1">
        <v>36991.406370999997</v>
      </c>
      <c r="Y284" s="1">
        <v>80132717.409400001</v>
      </c>
      <c r="Z284" t="str">
        <f>VLOOKUP(G284,'Code Pro'!$A$2:$B$9,2,FALSE)</f>
        <v>จ.จันทบุรี</v>
      </c>
      <c r="AA284" s="8">
        <f t="shared" si="37"/>
        <v>1755707838.439954</v>
      </c>
      <c r="AB284" s="8">
        <f t="shared" si="38"/>
        <v>2403981.5222820002</v>
      </c>
      <c r="AC284" s="8">
        <f t="shared" si="39"/>
        <v>6410617.3927520001</v>
      </c>
      <c r="AD284" s="8">
        <f t="shared" si="40"/>
        <v>36861050.008324005</v>
      </c>
      <c r="AE284" s="8">
        <f t="shared" si="41"/>
        <v>76927408.713024005</v>
      </c>
      <c r="AF284" s="8">
        <f t="shared" si="42"/>
        <v>149046854.381484</v>
      </c>
      <c r="AG284" s="8">
        <f t="shared" si="43"/>
        <v>383835716.39102602</v>
      </c>
      <c r="AH284" s="8">
        <f t="shared" si="44"/>
        <v>338160067.467668</v>
      </c>
      <c r="AI284" s="8">
        <f t="shared" si="45"/>
        <v>855817421.932392</v>
      </c>
    </row>
    <row r="285" spans="1:35" x14ac:dyDescent="0.55000000000000004">
      <c r="A285" s="1">
        <v>283</v>
      </c>
      <c r="B285" s="1" t="s">
        <v>20</v>
      </c>
      <c r="C285" s="1">
        <v>22</v>
      </c>
      <c r="D285" s="1">
        <v>2</v>
      </c>
      <c r="E285" s="1" t="s">
        <v>61</v>
      </c>
      <c r="F285" s="1" t="s">
        <v>62</v>
      </c>
      <c r="G285" s="1">
        <v>22</v>
      </c>
      <c r="H285" s="1">
        <v>2</v>
      </c>
      <c r="I285" s="1">
        <v>22020000</v>
      </c>
      <c r="J285" s="1">
        <v>513</v>
      </c>
      <c r="K285" s="1">
        <v>0</v>
      </c>
      <c r="L285" s="1">
        <v>12435</v>
      </c>
      <c r="M285" s="1">
        <v>12.474159</v>
      </c>
      <c r="N285" s="1">
        <v>102.27006</v>
      </c>
      <c r="O285" s="1">
        <v>1.78</v>
      </c>
      <c r="P285" s="1">
        <v>0</v>
      </c>
      <c r="Q285" s="1">
        <v>0.21</v>
      </c>
      <c r="R285" s="1">
        <v>0.08</v>
      </c>
      <c r="S285" s="1">
        <v>0.05</v>
      </c>
      <c r="T285" s="1">
        <v>3.03</v>
      </c>
      <c r="U285" s="1">
        <v>2.4500000000000002</v>
      </c>
      <c r="V285" s="1">
        <v>7.78</v>
      </c>
      <c r="W285" s="1">
        <v>27.709999</v>
      </c>
      <c r="X285" s="1">
        <v>36076.631817000001</v>
      </c>
      <c r="Y285" s="1">
        <v>81344376.775000006</v>
      </c>
      <c r="Z285" t="str">
        <f>VLOOKUP(G285,'Code Pro'!$A$2:$B$9,2,FALSE)</f>
        <v>จ.จันทบุรี</v>
      </c>
      <c r="AA285" s="8">
        <f t="shared" si="37"/>
        <v>144792990.6595</v>
      </c>
      <c r="AB285" s="8">
        <f t="shared" si="38"/>
        <v>0</v>
      </c>
      <c r="AC285" s="8">
        <f t="shared" si="39"/>
        <v>17082319.122749999</v>
      </c>
      <c r="AD285" s="8">
        <f t="shared" si="40"/>
        <v>6507550.1420000009</v>
      </c>
      <c r="AE285" s="8">
        <f t="shared" si="41"/>
        <v>4067218.8387500006</v>
      </c>
      <c r="AF285" s="8">
        <f t="shared" si="42"/>
        <v>246473461.62825</v>
      </c>
      <c r="AG285" s="8">
        <f t="shared" si="43"/>
        <v>199293723.09875003</v>
      </c>
      <c r="AH285" s="8">
        <f t="shared" si="44"/>
        <v>632859251.3095001</v>
      </c>
      <c r="AI285" s="8">
        <f t="shared" si="45"/>
        <v>2254052599.0908732</v>
      </c>
    </row>
    <row r="286" spans="1:35" x14ac:dyDescent="0.55000000000000004">
      <c r="A286" s="1">
        <v>284</v>
      </c>
      <c r="B286" s="1" t="s">
        <v>20</v>
      </c>
      <c r="C286" s="1">
        <v>22</v>
      </c>
      <c r="D286" s="1">
        <v>2</v>
      </c>
      <c r="E286" s="1" t="s">
        <v>61</v>
      </c>
      <c r="F286" s="1" t="s">
        <v>62</v>
      </c>
      <c r="G286" s="1">
        <v>22</v>
      </c>
      <c r="H286" s="1">
        <v>2</v>
      </c>
      <c r="I286" s="1">
        <v>22020000</v>
      </c>
      <c r="J286" s="1">
        <v>514</v>
      </c>
      <c r="K286" s="1">
        <v>0</v>
      </c>
      <c r="L286" s="1">
        <v>12676</v>
      </c>
      <c r="M286" s="1">
        <v>12.636443999999999</v>
      </c>
      <c r="N286" s="1">
        <v>102.35319</v>
      </c>
      <c r="O286" s="1">
        <v>3.75</v>
      </c>
      <c r="P286" s="1">
        <v>0.04</v>
      </c>
      <c r="Q286" s="1">
        <v>0.19</v>
      </c>
      <c r="R286" s="1">
        <v>5.0599999999999996</v>
      </c>
      <c r="S286" s="1">
        <v>19.190000999999999</v>
      </c>
      <c r="T286" s="1">
        <v>2.71</v>
      </c>
      <c r="U286" s="1">
        <v>13.07</v>
      </c>
      <c r="V286" s="1">
        <v>13.06</v>
      </c>
      <c r="W286" s="1">
        <v>5.93</v>
      </c>
      <c r="X286" s="1">
        <v>38169.258145</v>
      </c>
      <c r="Y286" s="1">
        <v>76590297.607199997</v>
      </c>
      <c r="Z286" t="str">
        <f>VLOOKUP(G286,'Code Pro'!$A$2:$B$9,2,FALSE)</f>
        <v>จ.จันทบุรี</v>
      </c>
      <c r="AA286" s="8">
        <f t="shared" si="37"/>
        <v>287213616.02700001</v>
      </c>
      <c r="AB286" s="8">
        <f t="shared" si="38"/>
        <v>3063611.904288</v>
      </c>
      <c r="AC286" s="8">
        <f t="shared" si="39"/>
        <v>14552156.545367999</v>
      </c>
      <c r="AD286" s="8">
        <f t="shared" si="40"/>
        <v>387546905.89243197</v>
      </c>
      <c r="AE286" s="8">
        <f t="shared" si="41"/>
        <v>1469767887.6724656</v>
      </c>
      <c r="AF286" s="8">
        <f t="shared" si="42"/>
        <v>207559706.51551199</v>
      </c>
      <c r="AG286" s="8">
        <f t="shared" si="43"/>
        <v>1001035189.726104</v>
      </c>
      <c r="AH286" s="8">
        <f t="shared" si="44"/>
        <v>1000269286.7500319</v>
      </c>
      <c r="AI286" s="8">
        <f t="shared" si="45"/>
        <v>454180464.81069595</v>
      </c>
    </row>
    <row r="287" spans="1:35" x14ac:dyDescent="0.55000000000000004">
      <c r="A287" s="1">
        <v>285</v>
      </c>
      <c r="B287" s="1" t="s">
        <v>20</v>
      </c>
      <c r="C287" s="1">
        <v>22</v>
      </c>
      <c r="D287" s="1">
        <v>2</v>
      </c>
      <c r="E287" s="1" t="s">
        <v>61</v>
      </c>
      <c r="F287" s="1" t="s">
        <v>62</v>
      </c>
      <c r="G287" s="1">
        <v>22</v>
      </c>
      <c r="H287" s="1">
        <v>2</v>
      </c>
      <c r="I287" s="1">
        <v>22020000</v>
      </c>
      <c r="J287" s="1">
        <v>515</v>
      </c>
      <c r="K287" s="1">
        <v>0</v>
      </c>
      <c r="L287" s="1">
        <v>12556</v>
      </c>
      <c r="M287" s="1">
        <v>12.555313</v>
      </c>
      <c r="N287" s="1">
        <v>102.35319</v>
      </c>
      <c r="O287" s="1">
        <v>19.329999999999998</v>
      </c>
      <c r="P287" s="1">
        <v>0.01</v>
      </c>
      <c r="Q287" s="1">
        <v>0.18</v>
      </c>
      <c r="R287" s="1">
        <v>0.06</v>
      </c>
      <c r="S287" s="1">
        <v>5.28</v>
      </c>
      <c r="T287" s="1">
        <v>2.3199999999999998</v>
      </c>
      <c r="U287" s="1">
        <v>6.17</v>
      </c>
      <c r="V287" s="1">
        <v>7.36</v>
      </c>
      <c r="W287" s="1">
        <v>21.870000999999998</v>
      </c>
      <c r="X287" s="1">
        <v>41285.940225999999</v>
      </c>
      <c r="Y287" s="1">
        <v>17580144.757300001</v>
      </c>
      <c r="Z287" t="str">
        <f>VLOOKUP(G287,'Code Pro'!$A$2:$B$9,2,FALSE)</f>
        <v>จ.จันทบุรี</v>
      </c>
      <c r="AA287" s="8">
        <f t="shared" si="37"/>
        <v>339824198.15860897</v>
      </c>
      <c r="AB287" s="8">
        <f t="shared" si="38"/>
        <v>175801.44757300001</v>
      </c>
      <c r="AC287" s="8">
        <f t="shared" si="39"/>
        <v>3164426.0563139999</v>
      </c>
      <c r="AD287" s="8">
        <f t="shared" si="40"/>
        <v>1054808.6854379999</v>
      </c>
      <c r="AE287" s="8">
        <f t="shared" si="41"/>
        <v>92823164.318544</v>
      </c>
      <c r="AF287" s="8">
        <f t="shared" si="42"/>
        <v>40785935.836935997</v>
      </c>
      <c r="AG287" s="8">
        <f t="shared" si="43"/>
        <v>108469493.152541</v>
      </c>
      <c r="AH287" s="8">
        <f t="shared" si="44"/>
        <v>129389865.41372801</v>
      </c>
      <c r="AI287" s="8">
        <f t="shared" si="45"/>
        <v>384477783.42229575</v>
      </c>
    </row>
    <row r="288" spans="1:35" x14ac:dyDescent="0.55000000000000004">
      <c r="A288" s="1">
        <v>286</v>
      </c>
      <c r="B288" s="1" t="s">
        <v>20</v>
      </c>
      <c r="C288" s="1">
        <v>22</v>
      </c>
      <c r="D288" s="1">
        <v>2</v>
      </c>
      <c r="E288" s="1" t="s">
        <v>61</v>
      </c>
      <c r="F288" s="1" t="s">
        <v>62</v>
      </c>
      <c r="G288" s="1">
        <v>22</v>
      </c>
      <c r="H288" s="1">
        <v>2</v>
      </c>
      <c r="I288" s="1">
        <v>22020000</v>
      </c>
      <c r="J288" s="1">
        <v>521</v>
      </c>
      <c r="K288" s="1">
        <v>0</v>
      </c>
      <c r="L288" s="1">
        <v>12677</v>
      </c>
      <c r="M288" s="1">
        <v>12.636443999999999</v>
      </c>
      <c r="N288" s="1">
        <v>102.436325</v>
      </c>
      <c r="O288" s="1">
        <v>3.42</v>
      </c>
      <c r="P288" s="1">
        <v>0.15</v>
      </c>
      <c r="Q288" s="1">
        <v>0.08</v>
      </c>
      <c r="R288" s="1">
        <v>4.88</v>
      </c>
      <c r="S288" s="1">
        <v>2.09</v>
      </c>
      <c r="T288" s="1">
        <v>5.81</v>
      </c>
      <c r="U288" s="1">
        <v>20.149999999999999</v>
      </c>
      <c r="V288" s="1">
        <v>7.7</v>
      </c>
      <c r="W288" s="1">
        <v>9.84</v>
      </c>
      <c r="X288" s="1">
        <v>7986.7760399999997</v>
      </c>
      <c r="Y288" s="1">
        <v>847387.87528100004</v>
      </c>
      <c r="Z288" t="str">
        <f>VLOOKUP(G288,'Code Pro'!$A$2:$B$9,2,FALSE)</f>
        <v>จ.จันทบุรี</v>
      </c>
      <c r="AA288" s="8">
        <f t="shared" si="37"/>
        <v>2898066.5334610199</v>
      </c>
      <c r="AB288" s="8">
        <f t="shared" si="38"/>
        <v>127108.18129214999</v>
      </c>
      <c r="AC288" s="8">
        <f t="shared" si="39"/>
        <v>67791.030022480001</v>
      </c>
      <c r="AD288" s="8">
        <f t="shared" si="40"/>
        <v>4135252.8313712799</v>
      </c>
      <c r="AE288" s="8">
        <f t="shared" si="41"/>
        <v>1771040.6593372899</v>
      </c>
      <c r="AF288" s="8">
        <f t="shared" si="42"/>
        <v>4923323.5553826103</v>
      </c>
      <c r="AG288" s="8">
        <f t="shared" si="43"/>
        <v>17074865.686912149</v>
      </c>
      <c r="AH288" s="8">
        <f t="shared" si="44"/>
        <v>6524886.6396637009</v>
      </c>
      <c r="AI288" s="8">
        <f t="shared" si="45"/>
        <v>8338296.6927650403</v>
      </c>
    </row>
    <row r="289" spans="1:35" x14ac:dyDescent="0.55000000000000004">
      <c r="A289" s="1">
        <v>287</v>
      </c>
      <c r="B289" s="1" t="s">
        <v>20</v>
      </c>
      <c r="C289" s="1">
        <v>22</v>
      </c>
      <c r="D289" s="1">
        <v>2</v>
      </c>
      <c r="E289" s="1" t="s">
        <v>61</v>
      </c>
      <c r="F289" s="1" t="s">
        <v>62</v>
      </c>
      <c r="G289" s="1">
        <v>22</v>
      </c>
      <c r="H289" s="1">
        <v>2</v>
      </c>
      <c r="I289" s="1">
        <v>22020000</v>
      </c>
      <c r="J289" s="1">
        <v>522</v>
      </c>
      <c r="K289" s="1">
        <v>0</v>
      </c>
      <c r="L289" s="1">
        <v>12557</v>
      </c>
      <c r="M289" s="1">
        <v>12.555313</v>
      </c>
      <c r="N289" s="1">
        <v>102.436325</v>
      </c>
      <c r="O289" s="1">
        <v>4.0599999999999996</v>
      </c>
      <c r="P289" s="1">
        <v>0.01</v>
      </c>
      <c r="Q289" s="1">
        <v>0.03</v>
      </c>
      <c r="R289" s="1">
        <v>0.09</v>
      </c>
      <c r="S289" s="1">
        <v>3.2</v>
      </c>
      <c r="T289" s="1">
        <v>1.71</v>
      </c>
      <c r="U289" s="1">
        <v>3.84</v>
      </c>
      <c r="V289" s="1">
        <v>10.08</v>
      </c>
      <c r="W289" s="1">
        <v>8.01</v>
      </c>
      <c r="X289" s="1">
        <v>12539.519049</v>
      </c>
      <c r="Y289" s="1">
        <v>5799986.0814899998</v>
      </c>
      <c r="Z289" t="str">
        <f>VLOOKUP(G289,'Code Pro'!$A$2:$B$9,2,FALSE)</f>
        <v>จ.จันทบุรี</v>
      </c>
      <c r="AA289" s="8">
        <f t="shared" si="37"/>
        <v>23547943.490849398</v>
      </c>
      <c r="AB289" s="8">
        <f t="shared" si="38"/>
        <v>57999.860814899999</v>
      </c>
      <c r="AC289" s="8">
        <f t="shared" si="39"/>
        <v>173999.58244469998</v>
      </c>
      <c r="AD289" s="8">
        <f t="shared" si="40"/>
        <v>521998.74733409996</v>
      </c>
      <c r="AE289" s="8">
        <f t="shared" si="41"/>
        <v>18559955.460767999</v>
      </c>
      <c r="AF289" s="8">
        <f t="shared" si="42"/>
        <v>9917976.1993479002</v>
      </c>
      <c r="AG289" s="8">
        <f t="shared" si="43"/>
        <v>22271946.552921597</v>
      </c>
      <c r="AH289" s="8">
        <f t="shared" si="44"/>
        <v>58463859.701419197</v>
      </c>
      <c r="AI289" s="8">
        <f t="shared" si="45"/>
        <v>46457888.512734897</v>
      </c>
    </row>
    <row r="290" spans="1:35" x14ac:dyDescent="0.55000000000000004">
      <c r="A290" s="1">
        <v>288</v>
      </c>
      <c r="B290" s="1" t="s">
        <v>20</v>
      </c>
      <c r="C290" s="1">
        <v>22</v>
      </c>
      <c r="D290" s="1">
        <v>2</v>
      </c>
      <c r="E290" s="1" t="s">
        <v>61</v>
      </c>
      <c r="F290" s="1" t="s">
        <v>62</v>
      </c>
      <c r="G290" s="1">
        <v>22</v>
      </c>
      <c r="H290" s="1">
        <v>2</v>
      </c>
      <c r="I290" s="1">
        <v>22020000</v>
      </c>
      <c r="J290" s="1">
        <v>548</v>
      </c>
      <c r="K290" s="1">
        <v>0</v>
      </c>
      <c r="L290" s="1">
        <v>12795</v>
      </c>
      <c r="M290" s="1">
        <v>12.717560000000001</v>
      </c>
      <c r="N290" s="1">
        <v>102.27006</v>
      </c>
      <c r="O290" s="1">
        <v>0.82</v>
      </c>
      <c r="P290" s="1">
        <v>3.1</v>
      </c>
      <c r="Q290" s="1">
        <v>15.02</v>
      </c>
      <c r="R290" s="1">
        <v>0.74</v>
      </c>
      <c r="S290" s="1">
        <v>9.0299999999999994</v>
      </c>
      <c r="T290" s="1">
        <v>23.219999000000001</v>
      </c>
      <c r="U290" s="1">
        <v>5.01</v>
      </c>
      <c r="V290" s="1">
        <v>2.96</v>
      </c>
      <c r="W290" s="1">
        <v>2.23</v>
      </c>
      <c r="X290" s="1">
        <v>18790.375048000002</v>
      </c>
      <c r="Y290" s="1">
        <v>15366411.9003</v>
      </c>
      <c r="Z290" t="str">
        <f>VLOOKUP(G290,'Code Pro'!$A$2:$B$9,2,FALSE)</f>
        <v>จ.จันทบุรี</v>
      </c>
      <c r="AA290" s="8">
        <f t="shared" si="37"/>
        <v>12600457.758245999</v>
      </c>
      <c r="AB290" s="8">
        <f t="shared" si="38"/>
        <v>47635876.890930004</v>
      </c>
      <c r="AC290" s="8">
        <f t="shared" si="39"/>
        <v>230803506.742506</v>
      </c>
      <c r="AD290" s="8">
        <f t="shared" si="40"/>
        <v>11371144.806221999</v>
      </c>
      <c r="AE290" s="8">
        <f t="shared" si="41"/>
        <v>138758699.45970899</v>
      </c>
      <c r="AF290" s="8">
        <f t="shared" si="42"/>
        <v>356808068.95855409</v>
      </c>
      <c r="AG290" s="8">
        <f t="shared" si="43"/>
        <v>76985723.620502993</v>
      </c>
      <c r="AH290" s="8">
        <f t="shared" si="44"/>
        <v>45484579.224887997</v>
      </c>
      <c r="AI290" s="8">
        <f t="shared" si="45"/>
        <v>34267098.537669003</v>
      </c>
    </row>
    <row r="291" spans="1:35" x14ac:dyDescent="0.55000000000000004">
      <c r="A291" s="1">
        <v>289</v>
      </c>
      <c r="B291" s="1" t="s">
        <v>20</v>
      </c>
      <c r="C291" s="1">
        <v>22</v>
      </c>
      <c r="D291" s="1">
        <v>2</v>
      </c>
      <c r="E291" s="1" t="s">
        <v>61</v>
      </c>
      <c r="F291" s="1" t="s">
        <v>62</v>
      </c>
      <c r="G291" s="1">
        <v>22</v>
      </c>
      <c r="H291" s="1">
        <v>2</v>
      </c>
      <c r="I291" s="1">
        <v>22020000</v>
      </c>
      <c r="J291" s="1">
        <v>552</v>
      </c>
      <c r="K291" s="1">
        <v>0</v>
      </c>
      <c r="L291" s="1">
        <v>12796</v>
      </c>
      <c r="M291" s="1">
        <v>12.717560000000001</v>
      </c>
      <c r="N291" s="1">
        <v>102.35319</v>
      </c>
      <c r="O291" s="1">
        <v>1.5</v>
      </c>
      <c r="P291" s="1">
        <v>0.03</v>
      </c>
      <c r="Q291" s="1">
        <v>2.89</v>
      </c>
      <c r="R291" s="1">
        <v>6.88</v>
      </c>
      <c r="S291" s="1">
        <v>3.84</v>
      </c>
      <c r="T291" s="1">
        <v>22.870000999999998</v>
      </c>
      <c r="U291" s="1">
        <v>28.59</v>
      </c>
      <c r="V291" s="1">
        <v>0.43</v>
      </c>
      <c r="W291" s="1">
        <v>18.829999999999998</v>
      </c>
      <c r="X291" s="1">
        <v>39995.921520999997</v>
      </c>
      <c r="Y291" s="1">
        <v>74412107.296900004</v>
      </c>
      <c r="Z291" t="str">
        <f>VLOOKUP(G291,'Code Pro'!$A$2:$B$9,2,FALSE)</f>
        <v>จ.จันทบุรี</v>
      </c>
      <c r="AA291" s="8">
        <f t="shared" si="37"/>
        <v>111618160.94535001</v>
      </c>
      <c r="AB291" s="8">
        <f t="shared" si="38"/>
        <v>2232363.218907</v>
      </c>
      <c r="AC291" s="8">
        <f t="shared" si="39"/>
        <v>215050990.08804101</v>
      </c>
      <c r="AD291" s="8">
        <f t="shared" si="40"/>
        <v>511955298.202672</v>
      </c>
      <c r="AE291" s="8">
        <f t="shared" si="41"/>
        <v>285742492.020096</v>
      </c>
      <c r="AF291" s="8">
        <f t="shared" si="42"/>
        <v>1701804968.2922103</v>
      </c>
      <c r="AG291" s="8">
        <f t="shared" si="43"/>
        <v>2127442147.618371</v>
      </c>
      <c r="AH291" s="8">
        <f t="shared" si="44"/>
        <v>31997206.137667</v>
      </c>
      <c r="AI291" s="8">
        <f t="shared" si="45"/>
        <v>1401179980.4006269</v>
      </c>
    </row>
    <row r="292" spans="1:35" x14ac:dyDescent="0.55000000000000004">
      <c r="A292" s="1">
        <v>290</v>
      </c>
      <c r="B292" s="1" t="s">
        <v>20</v>
      </c>
      <c r="C292" s="1">
        <v>22</v>
      </c>
      <c r="D292" s="1">
        <v>2</v>
      </c>
      <c r="E292" s="1" t="s">
        <v>61</v>
      </c>
      <c r="F292" s="1" t="s">
        <v>62</v>
      </c>
      <c r="G292" s="1">
        <v>22</v>
      </c>
      <c r="H292" s="1">
        <v>2</v>
      </c>
      <c r="I292" s="1">
        <v>22020000</v>
      </c>
      <c r="J292" s="1">
        <v>555</v>
      </c>
      <c r="K292" s="1">
        <v>0</v>
      </c>
      <c r="L292" s="1">
        <v>12916</v>
      </c>
      <c r="M292" s="1">
        <v>12.798636999999999</v>
      </c>
      <c r="N292" s="1">
        <v>102.35319</v>
      </c>
      <c r="O292" s="1">
        <v>15.27</v>
      </c>
      <c r="P292" s="1">
        <v>0.14000000000000001</v>
      </c>
      <c r="Q292" s="1">
        <v>0.05</v>
      </c>
      <c r="R292" s="1">
        <v>0.55000000000000004</v>
      </c>
      <c r="S292" s="1">
        <v>11.51</v>
      </c>
      <c r="T292" s="1">
        <v>6.64</v>
      </c>
      <c r="U292" s="1">
        <v>3.02</v>
      </c>
      <c r="V292" s="1">
        <v>0.74</v>
      </c>
      <c r="W292" s="1">
        <v>1.8</v>
      </c>
      <c r="X292" s="1">
        <v>28544.082012999999</v>
      </c>
      <c r="Y292" s="1">
        <v>32873431.977600001</v>
      </c>
      <c r="Z292" t="str">
        <f>VLOOKUP(G292,'Code Pro'!$A$2:$B$9,2,FALSE)</f>
        <v>จ.จันทบุรี</v>
      </c>
      <c r="AA292" s="8">
        <f t="shared" si="37"/>
        <v>501977306.297952</v>
      </c>
      <c r="AB292" s="8">
        <f t="shared" si="38"/>
        <v>4602280.4768640008</v>
      </c>
      <c r="AC292" s="8">
        <f t="shared" si="39"/>
        <v>1643671.5988800002</v>
      </c>
      <c r="AD292" s="8">
        <f t="shared" si="40"/>
        <v>18080387.587680001</v>
      </c>
      <c r="AE292" s="8">
        <f t="shared" si="41"/>
        <v>378373202.06217599</v>
      </c>
      <c r="AF292" s="8">
        <f t="shared" si="42"/>
        <v>218279588.33126399</v>
      </c>
      <c r="AG292" s="8">
        <f t="shared" si="43"/>
        <v>99277764.572352007</v>
      </c>
      <c r="AH292" s="8">
        <f t="shared" si="44"/>
        <v>24326339.663424</v>
      </c>
      <c r="AI292" s="8">
        <f t="shared" si="45"/>
        <v>59172177.55968</v>
      </c>
    </row>
    <row r="293" spans="1:35" x14ac:dyDescent="0.55000000000000004">
      <c r="A293" s="1">
        <v>291</v>
      </c>
      <c r="B293" s="1" t="s">
        <v>20</v>
      </c>
      <c r="C293" s="1">
        <v>22</v>
      </c>
      <c r="D293" s="1">
        <v>2</v>
      </c>
      <c r="E293" s="1" t="s">
        <v>61</v>
      </c>
      <c r="F293" s="1" t="s">
        <v>62</v>
      </c>
      <c r="G293" s="1">
        <v>22</v>
      </c>
      <c r="H293" s="1">
        <v>2</v>
      </c>
      <c r="I293" s="1">
        <v>22020000</v>
      </c>
      <c r="J293" s="1">
        <v>558</v>
      </c>
      <c r="K293" s="1">
        <v>0</v>
      </c>
      <c r="L293" s="1">
        <v>12797</v>
      </c>
      <c r="M293" s="1">
        <v>12.717560000000001</v>
      </c>
      <c r="N293" s="1">
        <v>102.436325</v>
      </c>
      <c r="O293" s="1">
        <v>21.59</v>
      </c>
      <c r="P293" s="1">
        <v>0.49</v>
      </c>
      <c r="Q293" s="1">
        <v>0.68</v>
      </c>
      <c r="R293" s="1">
        <v>11.2</v>
      </c>
      <c r="S293" s="1">
        <v>4.28</v>
      </c>
      <c r="T293" s="1">
        <v>28.68</v>
      </c>
      <c r="U293" s="1">
        <v>9.84</v>
      </c>
      <c r="V293" s="1">
        <v>0.69</v>
      </c>
      <c r="W293" s="1">
        <v>16.379999000000002</v>
      </c>
      <c r="X293" s="1">
        <v>32120.075377000001</v>
      </c>
      <c r="Y293" s="1">
        <v>36001521.285300002</v>
      </c>
      <c r="Z293" t="str">
        <f>VLOOKUP(G293,'Code Pro'!$A$2:$B$9,2,FALSE)</f>
        <v>จ.จันทบุรี</v>
      </c>
      <c r="AA293" s="8">
        <f t="shared" si="37"/>
        <v>777272844.54962707</v>
      </c>
      <c r="AB293" s="8">
        <f t="shared" si="38"/>
        <v>17640745.429797001</v>
      </c>
      <c r="AC293" s="8">
        <f t="shared" si="39"/>
        <v>24481034.474004004</v>
      </c>
      <c r="AD293" s="8">
        <f t="shared" si="40"/>
        <v>403217038.39535999</v>
      </c>
      <c r="AE293" s="8">
        <f t="shared" si="41"/>
        <v>154086511.10108402</v>
      </c>
      <c r="AF293" s="8">
        <f t="shared" si="42"/>
        <v>1032523630.462404</v>
      </c>
      <c r="AG293" s="8">
        <f t="shared" si="43"/>
        <v>354254969.44735199</v>
      </c>
      <c r="AH293" s="8">
        <f t="shared" si="44"/>
        <v>24841049.686857</v>
      </c>
      <c r="AI293" s="8">
        <f t="shared" si="45"/>
        <v>589704882.65169275</v>
      </c>
    </row>
    <row r="294" spans="1:35" x14ac:dyDescent="0.55000000000000004">
      <c r="A294" s="1">
        <v>292</v>
      </c>
      <c r="B294" s="1" t="s">
        <v>20</v>
      </c>
      <c r="C294" s="1">
        <v>22</v>
      </c>
      <c r="D294" s="1">
        <v>2</v>
      </c>
      <c r="E294" s="1" t="s">
        <v>61</v>
      </c>
      <c r="F294" s="1" t="s">
        <v>62</v>
      </c>
      <c r="G294" s="1">
        <v>22</v>
      </c>
      <c r="H294" s="1">
        <v>2</v>
      </c>
      <c r="I294" s="1">
        <v>22020000</v>
      </c>
      <c r="J294" s="1">
        <v>559</v>
      </c>
      <c r="K294" s="1">
        <v>0</v>
      </c>
      <c r="L294" s="1">
        <v>12917</v>
      </c>
      <c r="M294" s="1">
        <v>12.798636999999999</v>
      </c>
      <c r="N294" s="1">
        <v>102.436325</v>
      </c>
      <c r="O294" s="1">
        <v>19.09</v>
      </c>
      <c r="P294" s="1">
        <v>0.15</v>
      </c>
      <c r="Q294" s="1">
        <v>0.37</v>
      </c>
      <c r="R294" s="1">
        <v>0.73</v>
      </c>
      <c r="S294" s="1">
        <v>11.93</v>
      </c>
      <c r="T294" s="1">
        <v>13.45</v>
      </c>
      <c r="U294" s="1">
        <v>1.87</v>
      </c>
      <c r="V294" s="1">
        <v>0.92</v>
      </c>
      <c r="W294" s="1">
        <v>0.34</v>
      </c>
      <c r="X294" s="1">
        <v>18318.892462</v>
      </c>
      <c r="Y294" s="1">
        <v>4640508.1318100002</v>
      </c>
      <c r="Z294" t="str">
        <f>VLOOKUP(G294,'Code Pro'!$A$2:$B$9,2,FALSE)</f>
        <v>จ.จันทบุรี</v>
      </c>
      <c r="AA294" s="8">
        <f t="shared" si="37"/>
        <v>88587300.236252904</v>
      </c>
      <c r="AB294" s="8">
        <f t="shared" si="38"/>
        <v>696076.21977149998</v>
      </c>
      <c r="AC294" s="8">
        <f t="shared" si="39"/>
        <v>1716988.0087697001</v>
      </c>
      <c r="AD294" s="8">
        <f t="shared" si="40"/>
        <v>3387570.9362213002</v>
      </c>
      <c r="AE294" s="8">
        <f t="shared" si="41"/>
        <v>55361262.012493297</v>
      </c>
      <c r="AF294" s="8">
        <f t="shared" si="42"/>
        <v>62414834.372844502</v>
      </c>
      <c r="AG294" s="8">
        <f t="shared" si="43"/>
        <v>8677750.2064847015</v>
      </c>
      <c r="AH294" s="8">
        <f t="shared" si="44"/>
        <v>4269267.4812652003</v>
      </c>
      <c r="AI294" s="8">
        <f t="shared" si="45"/>
        <v>1577772.7648154001</v>
      </c>
    </row>
    <row r="295" spans="1:35" x14ac:dyDescent="0.55000000000000004">
      <c r="A295" s="1">
        <v>293</v>
      </c>
      <c r="B295" s="1" t="s">
        <v>20</v>
      </c>
      <c r="C295" s="1">
        <v>22</v>
      </c>
      <c r="D295" s="1">
        <v>2</v>
      </c>
      <c r="E295" s="1" t="s">
        <v>61</v>
      </c>
      <c r="F295" s="1" t="s">
        <v>62</v>
      </c>
      <c r="G295" s="1">
        <v>22</v>
      </c>
      <c r="H295" s="1">
        <v>2</v>
      </c>
      <c r="I295" s="1">
        <v>22020000</v>
      </c>
      <c r="J295" s="1">
        <v>560</v>
      </c>
      <c r="K295" s="1">
        <v>0</v>
      </c>
      <c r="L295" s="1">
        <v>12798</v>
      </c>
      <c r="M295" s="1">
        <v>12.717560000000001</v>
      </c>
      <c r="N295" s="1">
        <v>102.51946</v>
      </c>
      <c r="O295" s="1">
        <v>34.57</v>
      </c>
      <c r="P295" s="1">
        <v>0.61</v>
      </c>
      <c r="Q295" s="1">
        <v>0.37</v>
      </c>
      <c r="R295" s="1">
        <v>21.92</v>
      </c>
      <c r="S295" s="1">
        <v>10.58</v>
      </c>
      <c r="T295" s="1">
        <v>50.459999000000003</v>
      </c>
      <c r="U295" s="1">
        <v>0.32</v>
      </c>
      <c r="V295" s="1">
        <v>3.26</v>
      </c>
      <c r="W295" s="1">
        <v>0.93</v>
      </c>
      <c r="X295" s="1">
        <v>5419.7080800000003</v>
      </c>
      <c r="Y295" s="1">
        <v>1010142.3922999999</v>
      </c>
      <c r="Z295" t="str">
        <f>VLOOKUP(G295,'Code Pro'!$A$2:$B$9,2,FALSE)</f>
        <v>จ.จันทบุรี</v>
      </c>
      <c r="AA295" s="8">
        <f t="shared" si="37"/>
        <v>34920622.501810998</v>
      </c>
      <c r="AB295" s="8">
        <f t="shared" si="38"/>
        <v>616186.85930299992</v>
      </c>
      <c r="AC295" s="8">
        <f t="shared" si="39"/>
        <v>373752.68515099998</v>
      </c>
      <c r="AD295" s="8">
        <f t="shared" si="40"/>
        <v>22142321.239216</v>
      </c>
      <c r="AE295" s="8">
        <f t="shared" si="41"/>
        <v>10687306.510534</v>
      </c>
      <c r="AF295" s="8">
        <f t="shared" si="42"/>
        <v>50971784.105315611</v>
      </c>
      <c r="AG295" s="8">
        <f t="shared" si="43"/>
        <v>323245.56553600001</v>
      </c>
      <c r="AH295" s="8">
        <f t="shared" si="44"/>
        <v>3293064.1988979997</v>
      </c>
      <c r="AI295" s="8">
        <f t="shared" si="45"/>
        <v>939432.42483899998</v>
      </c>
    </row>
    <row r="296" spans="1:35" x14ac:dyDescent="0.55000000000000004">
      <c r="A296" s="1">
        <v>294</v>
      </c>
      <c r="B296" s="1" t="s">
        <v>20</v>
      </c>
      <c r="C296" s="1">
        <v>23</v>
      </c>
      <c r="D296" s="1">
        <v>3</v>
      </c>
      <c r="E296" s="1" t="s">
        <v>63</v>
      </c>
      <c r="F296" s="1" t="s">
        <v>64</v>
      </c>
      <c r="G296" s="1">
        <v>22</v>
      </c>
      <c r="H296" s="1">
        <v>2</v>
      </c>
      <c r="I296" s="1">
        <v>22030000</v>
      </c>
      <c r="J296" s="1">
        <v>489</v>
      </c>
      <c r="K296" s="1">
        <v>0</v>
      </c>
      <c r="L296" s="1">
        <v>12431</v>
      </c>
      <c r="M296" s="1">
        <v>12.474159</v>
      </c>
      <c r="N296" s="1">
        <v>101.93751</v>
      </c>
      <c r="O296" s="1">
        <v>0.38</v>
      </c>
      <c r="P296" s="1">
        <v>0.04</v>
      </c>
      <c r="Q296" s="1">
        <v>0.2</v>
      </c>
      <c r="R296" s="1">
        <v>0.93</v>
      </c>
      <c r="S296" s="1">
        <v>3.58</v>
      </c>
      <c r="T296" s="1">
        <v>0.91</v>
      </c>
      <c r="U296" s="1">
        <v>13.32</v>
      </c>
      <c r="V296" s="1">
        <v>0.11</v>
      </c>
      <c r="W296" s="1">
        <v>6.4</v>
      </c>
      <c r="X296" s="1">
        <v>2068.7501830000001</v>
      </c>
      <c r="Y296" s="1">
        <v>199966.283761</v>
      </c>
      <c r="Z296" t="str">
        <f>VLOOKUP(G296,'Code Pro'!$A$2:$B$9,2,FALSE)</f>
        <v>จ.จันทบุรี</v>
      </c>
      <c r="AA296" s="8">
        <f t="shared" si="37"/>
        <v>75987.187829179995</v>
      </c>
      <c r="AB296" s="8">
        <f t="shared" si="38"/>
        <v>7998.65135044</v>
      </c>
      <c r="AC296" s="8">
        <f t="shared" si="39"/>
        <v>39993.256752200003</v>
      </c>
      <c r="AD296" s="8">
        <f t="shared" si="40"/>
        <v>185968.64389773001</v>
      </c>
      <c r="AE296" s="8">
        <f t="shared" si="41"/>
        <v>715879.29586437996</v>
      </c>
      <c r="AF296" s="8">
        <f t="shared" si="42"/>
        <v>181969.31822251002</v>
      </c>
      <c r="AG296" s="8">
        <f t="shared" si="43"/>
        <v>2663550.8996965201</v>
      </c>
      <c r="AH296" s="8">
        <f t="shared" si="44"/>
        <v>21996.291213709999</v>
      </c>
      <c r="AI296" s="8">
        <f t="shared" si="45"/>
        <v>1279784.2160704001</v>
      </c>
    </row>
    <row r="297" spans="1:35" x14ac:dyDescent="0.55000000000000004">
      <c r="A297" s="1">
        <v>295</v>
      </c>
      <c r="B297" s="1" t="s">
        <v>20</v>
      </c>
      <c r="C297" s="1">
        <v>23</v>
      </c>
      <c r="D297" s="1">
        <v>3</v>
      </c>
      <c r="E297" s="1" t="s">
        <v>63</v>
      </c>
      <c r="F297" s="1" t="s">
        <v>64</v>
      </c>
      <c r="G297" s="1">
        <v>22</v>
      </c>
      <c r="H297" s="1">
        <v>2</v>
      </c>
      <c r="I297" s="1">
        <v>22030000</v>
      </c>
      <c r="J297" s="1">
        <v>491</v>
      </c>
      <c r="K297" s="1">
        <v>0</v>
      </c>
      <c r="L297" s="1">
        <v>12670</v>
      </c>
      <c r="M297" s="1">
        <v>12.636443999999999</v>
      </c>
      <c r="N297" s="1">
        <v>101.85438000000001</v>
      </c>
      <c r="O297" s="1">
        <v>0</v>
      </c>
      <c r="P297" s="1">
        <v>0.56999999999999995</v>
      </c>
      <c r="Q297" s="1">
        <v>0.32</v>
      </c>
      <c r="R297" s="1">
        <v>0.47</v>
      </c>
      <c r="S297" s="1">
        <v>1.27</v>
      </c>
      <c r="T297" s="1">
        <v>5.76</v>
      </c>
      <c r="U297" s="1">
        <v>14.1</v>
      </c>
      <c r="V297" s="1">
        <v>5.51</v>
      </c>
      <c r="W297" s="1">
        <v>0.73</v>
      </c>
      <c r="X297" s="1">
        <v>4322.7973739999998</v>
      </c>
      <c r="Y297" s="1">
        <v>726481.493487</v>
      </c>
      <c r="Z297" t="str">
        <f>VLOOKUP(G297,'Code Pro'!$A$2:$B$9,2,FALSE)</f>
        <v>จ.จันทบุรี</v>
      </c>
      <c r="AA297" s="8">
        <f t="shared" si="37"/>
        <v>0</v>
      </c>
      <c r="AB297" s="8">
        <f t="shared" si="38"/>
        <v>414094.45128758997</v>
      </c>
      <c r="AC297" s="8">
        <f t="shared" si="39"/>
        <v>232474.07791584</v>
      </c>
      <c r="AD297" s="8">
        <f t="shared" si="40"/>
        <v>341446.30193888996</v>
      </c>
      <c r="AE297" s="8">
        <f t="shared" si="41"/>
        <v>922631.49672848999</v>
      </c>
      <c r="AF297" s="8">
        <f t="shared" si="42"/>
        <v>4184533.4024851196</v>
      </c>
      <c r="AG297" s="8">
        <f t="shared" si="43"/>
        <v>10243389.058166699</v>
      </c>
      <c r="AH297" s="8">
        <f t="shared" si="44"/>
        <v>4002913.02911337</v>
      </c>
      <c r="AI297" s="8">
        <f t="shared" si="45"/>
        <v>530331.49024551001</v>
      </c>
    </row>
    <row r="298" spans="1:35" x14ac:dyDescent="0.55000000000000004">
      <c r="A298" s="1">
        <v>296</v>
      </c>
      <c r="B298" s="1" t="s">
        <v>20</v>
      </c>
      <c r="C298" s="1">
        <v>23</v>
      </c>
      <c r="D298" s="1">
        <v>3</v>
      </c>
      <c r="E298" s="1" t="s">
        <v>63</v>
      </c>
      <c r="F298" s="1" t="s">
        <v>64</v>
      </c>
      <c r="G298" s="1">
        <v>22</v>
      </c>
      <c r="H298" s="1">
        <v>2</v>
      </c>
      <c r="I298" s="1">
        <v>22030000</v>
      </c>
      <c r="J298" s="1">
        <v>492</v>
      </c>
      <c r="K298" s="1">
        <v>0</v>
      </c>
      <c r="L298" s="1">
        <v>12550</v>
      </c>
      <c r="M298" s="1">
        <v>12.555313</v>
      </c>
      <c r="N298" s="1">
        <v>101.85438000000001</v>
      </c>
      <c r="O298" s="1">
        <v>0.01</v>
      </c>
      <c r="P298" s="1">
        <v>0.7</v>
      </c>
      <c r="Q298" s="1">
        <v>0.28999999999999998</v>
      </c>
      <c r="R298" s="1">
        <v>0.56000000000000005</v>
      </c>
      <c r="S298" s="1">
        <v>2.1</v>
      </c>
      <c r="T298" s="1">
        <v>7.39</v>
      </c>
      <c r="U298" s="1">
        <v>10.29</v>
      </c>
      <c r="V298" s="1">
        <v>1.85</v>
      </c>
      <c r="W298" s="1">
        <v>4.7</v>
      </c>
      <c r="X298" s="1">
        <v>4688.2953260000004</v>
      </c>
      <c r="Y298" s="1">
        <v>1117174.3340100001</v>
      </c>
      <c r="Z298" t="str">
        <f>VLOOKUP(G298,'Code Pro'!$A$2:$B$9,2,FALSE)</f>
        <v>จ.จันทบุรี</v>
      </c>
      <c r="AA298" s="8">
        <f t="shared" si="37"/>
        <v>11171.743340100002</v>
      </c>
      <c r="AB298" s="8">
        <f t="shared" si="38"/>
        <v>782022.03380700003</v>
      </c>
      <c r="AC298" s="8">
        <f t="shared" si="39"/>
        <v>323980.55686290003</v>
      </c>
      <c r="AD298" s="8">
        <f t="shared" si="40"/>
        <v>625617.62704560009</v>
      </c>
      <c r="AE298" s="8">
        <f t="shared" si="41"/>
        <v>2346066.1014210004</v>
      </c>
      <c r="AF298" s="8">
        <f t="shared" si="42"/>
        <v>8255918.3283339003</v>
      </c>
      <c r="AG298" s="8">
        <f t="shared" si="43"/>
        <v>11495723.8969629</v>
      </c>
      <c r="AH298" s="8">
        <f t="shared" si="44"/>
        <v>2066772.5179185004</v>
      </c>
      <c r="AI298" s="8">
        <f t="shared" si="45"/>
        <v>5250719.3698470006</v>
      </c>
    </row>
    <row r="299" spans="1:35" x14ac:dyDescent="0.55000000000000004">
      <c r="A299" s="1">
        <v>297</v>
      </c>
      <c r="B299" s="1" t="s">
        <v>20</v>
      </c>
      <c r="C299" s="1">
        <v>23</v>
      </c>
      <c r="D299" s="1">
        <v>3</v>
      </c>
      <c r="E299" s="1" t="s">
        <v>63</v>
      </c>
      <c r="F299" s="1" t="s">
        <v>64</v>
      </c>
      <c r="G299" s="1">
        <v>22</v>
      </c>
      <c r="H299" s="1">
        <v>2</v>
      </c>
      <c r="I299" s="1">
        <v>22030000</v>
      </c>
      <c r="J299" s="1">
        <v>493</v>
      </c>
      <c r="K299" s="1">
        <v>0</v>
      </c>
      <c r="L299" s="1">
        <v>12551</v>
      </c>
      <c r="M299" s="1">
        <v>12.555313</v>
      </c>
      <c r="N299" s="1">
        <v>101.93751</v>
      </c>
      <c r="O299" s="1">
        <v>0</v>
      </c>
      <c r="P299" s="1">
        <v>0.1</v>
      </c>
      <c r="Q299" s="1">
        <v>0.15</v>
      </c>
      <c r="R299" s="1">
        <v>0.51</v>
      </c>
      <c r="S299" s="1">
        <v>5.3</v>
      </c>
      <c r="T299" s="1">
        <v>0.35</v>
      </c>
      <c r="U299" s="1">
        <v>25.440000999999999</v>
      </c>
      <c r="V299" s="1">
        <v>6.76</v>
      </c>
      <c r="W299" s="1">
        <v>1.2</v>
      </c>
      <c r="X299" s="1">
        <v>34122.701955999997</v>
      </c>
      <c r="Y299" s="1">
        <v>46604014.0462</v>
      </c>
      <c r="Z299" t="str">
        <f>VLOOKUP(G299,'Code Pro'!$A$2:$B$9,2,FALSE)</f>
        <v>จ.จันทบุรี</v>
      </c>
      <c r="AA299" s="8">
        <f t="shared" si="37"/>
        <v>0</v>
      </c>
      <c r="AB299" s="8">
        <f t="shared" si="38"/>
        <v>4660401.4046200002</v>
      </c>
      <c r="AC299" s="8">
        <f t="shared" si="39"/>
        <v>6990602.1069299998</v>
      </c>
      <c r="AD299" s="8">
        <f t="shared" si="40"/>
        <v>23768047.163562</v>
      </c>
      <c r="AE299" s="8">
        <f t="shared" si="41"/>
        <v>247001274.44485998</v>
      </c>
      <c r="AF299" s="8">
        <f t="shared" si="42"/>
        <v>16311404.916169999</v>
      </c>
      <c r="AG299" s="8">
        <f t="shared" si="43"/>
        <v>1185606163.939342</v>
      </c>
      <c r="AH299" s="8">
        <f t="shared" si="44"/>
        <v>315043134.95231199</v>
      </c>
      <c r="AI299" s="8">
        <f t="shared" si="45"/>
        <v>55924816.855439998</v>
      </c>
    </row>
    <row r="300" spans="1:35" x14ac:dyDescent="0.55000000000000004">
      <c r="A300" s="1">
        <v>298</v>
      </c>
      <c r="B300" s="1" t="s">
        <v>20</v>
      </c>
      <c r="C300" s="1">
        <v>23</v>
      </c>
      <c r="D300" s="1">
        <v>3</v>
      </c>
      <c r="E300" s="1" t="s">
        <v>63</v>
      </c>
      <c r="F300" s="1" t="s">
        <v>64</v>
      </c>
      <c r="G300" s="1">
        <v>22</v>
      </c>
      <c r="H300" s="1">
        <v>2</v>
      </c>
      <c r="I300" s="1">
        <v>22030000</v>
      </c>
      <c r="J300" s="1">
        <v>494</v>
      </c>
      <c r="K300" s="1">
        <v>0</v>
      </c>
      <c r="L300" s="1">
        <v>12671</v>
      </c>
      <c r="M300" s="1">
        <v>12.636443999999999</v>
      </c>
      <c r="N300" s="1">
        <v>101.93751</v>
      </c>
      <c r="O300" s="1">
        <v>0</v>
      </c>
      <c r="P300" s="1">
        <v>1.1499999999999999</v>
      </c>
      <c r="Q300" s="1">
        <v>0.57999999999999996</v>
      </c>
      <c r="R300" s="1">
        <v>7.0000000000000007E-2</v>
      </c>
      <c r="S300" s="1">
        <v>0.32</v>
      </c>
      <c r="T300" s="1">
        <v>0.92</v>
      </c>
      <c r="U300" s="1">
        <v>14.7</v>
      </c>
      <c r="V300" s="1">
        <v>13.03</v>
      </c>
      <c r="W300" s="1">
        <v>2.2999999999999998</v>
      </c>
      <c r="X300" s="1">
        <v>43892.575303999998</v>
      </c>
      <c r="Y300" s="1">
        <v>70343054.359400004</v>
      </c>
      <c r="Z300" t="str">
        <f>VLOOKUP(G300,'Code Pro'!$A$2:$B$9,2,FALSE)</f>
        <v>จ.จันทบุรี</v>
      </c>
      <c r="AA300" s="8">
        <f t="shared" si="37"/>
        <v>0</v>
      </c>
      <c r="AB300" s="8">
        <f t="shared" si="38"/>
        <v>80894512.51331</v>
      </c>
      <c r="AC300" s="8">
        <f t="shared" si="39"/>
        <v>40798971.528452002</v>
      </c>
      <c r="AD300" s="8">
        <f t="shared" si="40"/>
        <v>4924013.8051580004</v>
      </c>
      <c r="AE300" s="8">
        <f t="shared" si="41"/>
        <v>22509777.395008001</v>
      </c>
      <c r="AF300" s="8">
        <f t="shared" si="42"/>
        <v>64715610.010648005</v>
      </c>
      <c r="AG300" s="8">
        <f t="shared" si="43"/>
        <v>1034042899.0831801</v>
      </c>
      <c r="AH300" s="8">
        <f t="shared" si="44"/>
        <v>916569998.30298197</v>
      </c>
      <c r="AI300" s="8">
        <f t="shared" si="45"/>
        <v>161789025.02662</v>
      </c>
    </row>
    <row r="301" spans="1:35" x14ac:dyDescent="0.55000000000000004">
      <c r="A301" s="1">
        <v>299</v>
      </c>
      <c r="B301" s="1" t="s">
        <v>20</v>
      </c>
      <c r="C301" s="1">
        <v>23</v>
      </c>
      <c r="D301" s="1">
        <v>3</v>
      </c>
      <c r="E301" s="1" t="s">
        <v>63</v>
      </c>
      <c r="F301" s="1" t="s">
        <v>64</v>
      </c>
      <c r="G301" s="1">
        <v>22</v>
      </c>
      <c r="H301" s="1">
        <v>2</v>
      </c>
      <c r="I301" s="1">
        <v>22030000</v>
      </c>
      <c r="J301" s="1">
        <v>495</v>
      </c>
      <c r="K301" s="1">
        <v>0</v>
      </c>
      <c r="L301" s="1">
        <v>12552</v>
      </c>
      <c r="M301" s="1">
        <v>12.555313</v>
      </c>
      <c r="N301" s="1">
        <v>102.020645</v>
      </c>
      <c r="O301" s="1">
        <v>0.22</v>
      </c>
      <c r="P301" s="1">
        <v>0.06</v>
      </c>
      <c r="Q301" s="1">
        <v>0.04</v>
      </c>
      <c r="R301" s="1">
        <v>0.42</v>
      </c>
      <c r="S301" s="1">
        <v>4.2699999999999996</v>
      </c>
      <c r="T301" s="1">
        <v>10.82</v>
      </c>
      <c r="U301" s="1">
        <v>26.82</v>
      </c>
      <c r="V301" s="1">
        <v>4.8600000000000003</v>
      </c>
      <c r="W301" s="1">
        <v>7.78</v>
      </c>
      <c r="X301" s="1">
        <v>29314.680787000001</v>
      </c>
      <c r="Y301" s="1">
        <v>33567172.722199999</v>
      </c>
      <c r="Z301" t="str">
        <f>VLOOKUP(G301,'Code Pro'!$A$2:$B$9,2,FALSE)</f>
        <v>จ.จันทบุรี</v>
      </c>
      <c r="AA301" s="8">
        <f t="shared" si="37"/>
        <v>7384777.9988839999</v>
      </c>
      <c r="AB301" s="8">
        <f t="shared" si="38"/>
        <v>2014030.3633319999</v>
      </c>
      <c r="AC301" s="8">
        <f t="shared" si="39"/>
        <v>1342686.9088880001</v>
      </c>
      <c r="AD301" s="8">
        <f t="shared" si="40"/>
        <v>14098212.543323999</v>
      </c>
      <c r="AE301" s="8">
        <f t="shared" si="41"/>
        <v>143331827.523794</v>
      </c>
      <c r="AF301" s="8">
        <f t="shared" si="42"/>
        <v>363196808.854204</v>
      </c>
      <c r="AG301" s="8">
        <f t="shared" si="43"/>
        <v>900271572.40940392</v>
      </c>
      <c r="AH301" s="8">
        <f t="shared" si="44"/>
        <v>163136459.429892</v>
      </c>
      <c r="AI301" s="8">
        <f t="shared" si="45"/>
        <v>261152603.778716</v>
      </c>
    </row>
    <row r="302" spans="1:35" x14ac:dyDescent="0.55000000000000004">
      <c r="A302" s="1">
        <v>300</v>
      </c>
      <c r="B302" s="1" t="s">
        <v>20</v>
      </c>
      <c r="C302" s="1">
        <v>23</v>
      </c>
      <c r="D302" s="1">
        <v>3</v>
      </c>
      <c r="E302" s="1" t="s">
        <v>63</v>
      </c>
      <c r="F302" s="1" t="s">
        <v>64</v>
      </c>
      <c r="G302" s="1">
        <v>22</v>
      </c>
      <c r="H302" s="1">
        <v>2</v>
      </c>
      <c r="I302" s="1">
        <v>22030000</v>
      </c>
      <c r="J302" s="1">
        <v>500</v>
      </c>
      <c r="K302" s="1">
        <v>0</v>
      </c>
      <c r="L302" s="1">
        <v>12672</v>
      </c>
      <c r="M302" s="1">
        <v>12.636443999999999</v>
      </c>
      <c r="N302" s="1">
        <v>102.020645</v>
      </c>
      <c r="O302" s="1">
        <v>4.21</v>
      </c>
      <c r="P302" s="1">
        <v>0.06</v>
      </c>
      <c r="Q302" s="1">
        <v>0.09</v>
      </c>
      <c r="R302" s="1">
        <v>4.38</v>
      </c>
      <c r="S302" s="1">
        <v>1.21</v>
      </c>
      <c r="T302" s="1">
        <v>2.69</v>
      </c>
      <c r="U302" s="1">
        <v>16.170000000000002</v>
      </c>
      <c r="V302" s="1">
        <v>24.790001</v>
      </c>
      <c r="W302" s="1">
        <v>7.83</v>
      </c>
      <c r="X302" s="1">
        <v>36007.398535</v>
      </c>
      <c r="Y302" s="1">
        <v>80391646.821099997</v>
      </c>
      <c r="Z302" t="str">
        <f>VLOOKUP(G302,'Code Pro'!$A$2:$B$9,2,FALSE)</f>
        <v>จ.จันทบุรี</v>
      </c>
      <c r="AA302" s="8">
        <f t="shared" si="37"/>
        <v>338448833.116831</v>
      </c>
      <c r="AB302" s="8">
        <f t="shared" si="38"/>
        <v>4823498.8092660001</v>
      </c>
      <c r="AC302" s="8">
        <f t="shared" si="39"/>
        <v>7235248.2138989996</v>
      </c>
      <c r="AD302" s="8">
        <f t="shared" si="40"/>
        <v>352115413.07641798</v>
      </c>
      <c r="AE302" s="8">
        <f t="shared" si="41"/>
        <v>97273892.653531</v>
      </c>
      <c r="AF302" s="8">
        <f t="shared" si="42"/>
        <v>216253529.94875899</v>
      </c>
      <c r="AG302" s="8">
        <f t="shared" si="43"/>
        <v>1299932929.097187</v>
      </c>
      <c r="AH302" s="8">
        <f t="shared" si="44"/>
        <v>1992909005.0867157</v>
      </c>
      <c r="AI302" s="8">
        <f t="shared" si="45"/>
        <v>629466594.60921299</v>
      </c>
    </row>
    <row r="303" spans="1:35" x14ac:dyDescent="0.55000000000000004">
      <c r="A303" s="1">
        <v>301</v>
      </c>
      <c r="B303" s="1" t="s">
        <v>20</v>
      </c>
      <c r="C303" s="1">
        <v>23</v>
      </c>
      <c r="D303" s="1">
        <v>3</v>
      </c>
      <c r="E303" s="1" t="s">
        <v>63</v>
      </c>
      <c r="F303" s="1" t="s">
        <v>64</v>
      </c>
      <c r="G303" s="1">
        <v>22</v>
      </c>
      <c r="H303" s="1">
        <v>2</v>
      </c>
      <c r="I303" s="1">
        <v>22030000</v>
      </c>
      <c r="J303" s="1">
        <v>504</v>
      </c>
      <c r="K303" s="1">
        <v>0</v>
      </c>
      <c r="L303" s="1">
        <v>12673</v>
      </c>
      <c r="M303" s="1">
        <v>12.636443999999999</v>
      </c>
      <c r="N303" s="1">
        <v>102.10378</v>
      </c>
      <c r="O303" s="1">
        <v>2.1</v>
      </c>
      <c r="P303" s="1">
        <v>0.18</v>
      </c>
      <c r="Q303" s="1">
        <v>0</v>
      </c>
      <c r="R303" s="1">
        <v>5.64</v>
      </c>
      <c r="S303" s="1">
        <v>3.69</v>
      </c>
      <c r="T303" s="1">
        <v>4.9400000000000004</v>
      </c>
      <c r="U303" s="1">
        <v>17.719999000000001</v>
      </c>
      <c r="V303" s="1">
        <v>18.59</v>
      </c>
      <c r="W303" s="1">
        <v>21.59</v>
      </c>
      <c r="X303" s="1">
        <v>19854.332335999999</v>
      </c>
      <c r="Y303" s="1">
        <v>6049720.8241900001</v>
      </c>
      <c r="Z303" t="str">
        <f>VLOOKUP(G303,'Code Pro'!$A$2:$B$9,2,FALSE)</f>
        <v>จ.จันทบุรี</v>
      </c>
      <c r="AA303" s="8">
        <f t="shared" si="37"/>
        <v>12704413.730799001</v>
      </c>
      <c r="AB303" s="8">
        <f t="shared" si="38"/>
        <v>1088949.7483542</v>
      </c>
      <c r="AC303" s="8">
        <f t="shared" si="39"/>
        <v>0</v>
      </c>
      <c r="AD303" s="8">
        <f t="shared" si="40"/>
        <v>34120425.448431596</v>
      </c>
      <c r="AE303" s="8">
        <f t="shared" si="41"/>
        <v>22323469.8412611</v>
      </c>
      <c r="AF303" s="8">
        <f t="shared" si="42"/>
        <v>29885620.871498603</v>
      </c>
      <c r="AG303" s="8">
        <f t="shared" si="43"/>
        <v>107201046.95492598</v>
      </c>
      <c r="AH303" s="8">
        <f t="shared" si="44"/>
        <v>112464310.12169211</v>
      </c>
      <c r="AI303" s="8">
        <f t="shared" si="45"/>
        <v>130613472.59426209</v>
      </c>
    </row>
    <row r="304" spans="1:35" x14ac:dyDescent="0.55000000000000004">
      <c r="A304" s="1">
        <v>302</v>
      </c>
      <c r="B304" s="1" t="s">
        <v>20</v>
      </c>
      <c r="C304" s="1">
        <v>23</v>
      </c>
      <c r="D304" s="1">
        <v>3</v>
      </c>
      <c r="E304" s="1" t="s">
        <v>63</v>
      </c>
      <c r="F304" s="1" t="s">
        <v>64</v>
      </c>
      <c r="G304" s="1">
        <v>22</v>
      </c>
      <c r="H304" s="1">
        <v>2</v>
      </c>
      <c r="I304" s="1">
        <v>22030000</v>
      </c>
      <c r="J304" s="1">
        <v>526</v>
      </c>
      <c r="K304" s="1">
        <v>0</v>
      </c>
      <c r="L304" s="1">
        <v>12790</v>
      </c>
      <c r="M304" s="1">
        <v>12.717560000000001</v>
      </c>
      <c r="N304" s="1">
        <v>101.85438000000001</v>
      </c>
      <c r="O304" s="1">
        <v>1.83</v>
      </c>
      <c r="P304" s="1">
        <v>0.06</v>
      </c>
      <c r="Q304" s="1">
        <v>2.12</v>
      </c>
      <c r="R304" s="1">
        <v>2.09</v>
      </c>
      <c r="S304" s="1">
        <v>1.32</v>
      </c>
      <c r="T304" s="1">
        <v>10.36</v>
      </c>
      <c r="U304" s="1">
        <v>59.040000999999997</v>
      </c>
      <c r="V304" s="1">
        <v>1.53</v>
      </c>
      <c r="W304" s="1">
        <v>17.260000000000002</v>
      </c>
      <c r="X304" s="1">
        <v>7868.6377480000001</v>
      </c>
      <c r="Y304" s="1">
        <v>995435.693402</v>
      </c>
      <c r="Z304" t="str">
        <f>VLOOKUP(G304,'Code Pro'!$A$2:$B$9,2,FALSE)</f>
        <v>จ.จันทบุรี</v>
      </c>
      <c r="AA304" s="8">
        <f t="shared" si="37"/>
        <v>1821647.3189256601</v>
      </c>
      <c r="AB304" s="8">
        <f t="shared" si="38"/>
        <v>59726.141604119999</v>
      </c>
      <c r="AC304" s="8">
        <f t="shared" si="39"/>
        <v>2110323.6700122403</v>
      </c>
      <c r="AD304" s="8">
        <f t="shared" si="40"/>
        <v>2080460.5992101799</v>
      </c>
      <c r="AE304" s="8">
        <f t="shared" si="41"/>
        <v>1313975.1152906402</v>
      </c>
      <c r="AF304" s="8">
        <f t="shared" si="42"/>
        <v>10312713.783644719</v>
      </c>
      <c r="AG304" s="8">
        <f t="shared" si="43"/>
        <v>58770524.333889768</v>
      </c>
      <c r="AH304" s="8">
        <f t="shared" si="44"/>
        <v>1523016.6109050601</v>
      </c>
      <c r="AI304" s="8">
        <f t="shared" si="45"/>
        <v>17181220.06811852</v>
      </c>
    </row>
    <row r="305" spans="1:35" x14ac:dyDescent="0.55000000000000004">
      <c r="A305" s="1">
        <v>303</v>
      </c>
      <c r="B305" s="1" t="s">
        <v>20</v>
      </c>
      <c r="C305" s="1">
        <v>23</v>
      </c>
      <c r="D305" s="1">
        <v>3</v>
      </c>
      <c r="E305" s="1" t="s">
        <v>63</v>
      </c>
      <c r="F305" s="1" t="s">
        <v>64</v>
      </c>
      <c r="G305" s="1">
        <v>22</v>
      </c>
      <c r="H305" s="1">
        <v>2</v>
      </c>
      <c r="I305" s="1">
        <v>22030000</v>
      </c>
      <c r="J305" s="1">
        <v>527</v>
      </c>
      <c r="K305" s="1">
        <v>0</v>
      </c>
      <c r="L305" s="1">
        <v>12791</v>
      </c>
      <c r="M305" s="1">
        <v>12.717560000000001</v>
      </c>
      <c r="N305" s="1">
        <v>101.93751</v>
      </c>
      <c r="O305" s="1">
        <v>4.5199999999999996</v>
      </c>
      <c r="P305" s="1">
        <v>0.09</v>
      </c>
      <c r="Q305" s="1">
        <v>0.84</v>
      </c>
      <c r="R305" s="1">
        <v>0.1</v>
      </c>
      <c r="S305" s="1">
        <v>1.0900000000000001</v>
      </c>
      <c r="T305" s="1">
        <v>3.61</v>
      </c>
      <c r="U305" s="1">
        <v>50.950001</v>
      </c>
      <c r="V305" s="1">
        <v>8.73</v>
      </c>
      <c r="W305" s="1">
        <v>5.43</v>
      </c>
      <c r="X305" s="1">
        <v>45351.492655000002</v>
      </c>
      <c r="Y305" s="1">
        <v>40549708.388300002</v>
      </c>
      <c r="Z305" t="str">
        <f>VLOOKUP(G305,'Code Pro'!$A$2:$B$9,2,FALSE)</f>
        <v>จ.จันทบุรี</v>
      </c>
      <c r="AA305" s="8">
        <f t="shared" si="37"/>
        <v>183284681.91511598</v>
      </c>
      <c r="AB305" s="8">
        <f t="shared" si="38"/>
        <v>3649473.7549470002</v>
      </c>
      <c r="AC305" s="8">
        <f t="shared" si="39"/>
        <v>34061755.046172</v>
      </c>
      <c r="AD305" s="8">
        <f t="shared" si="40"/>
        <v>4054970.8388300003</v>
      </c>
      <c r="AE305" s="8">
        <f t="shared" si="41"/>
        <v>44199182.143247008</v>
      </c>
      <c r="AF305" s="8">
        <f t="shared" si="42"/>
        <v>146384447.28176299</v>
      </c>
      <c r="AG305" s="8">
        <f t="shared" si="43"/>
        <v>2066007682.9335935</v>
      </c>
      <c r="AH305" s="8">
        <f t="shared" si="44"/>
        <v>353998954.22985905</v>
      </c>
      <c r="AI305" s="8">
        <f t="shared" si="45"/>
        <v>220184916.54846901</v>
      </c>
    </row>
    <row r="306" spans="1:35" x14ac:dyDescent="0.55000000000000004">
      <c r="A306" s="1">
        <v>304</v>
      </c>
      <c r="B306" s="1" t="s">
        <v>20</v>
      </c>
      <c r="C306" s="1">
        <v>23</v>
      </c>
      <c r="D306" s="1">
        <v>3</v>
      </c>
      <c r="E306" s="1" t="s">
        <v>63</v>
      </c>
      <c r="F306" s="1" t="s">
        <v>64</v>
      </c>
      <c r="G306" s="1">
        <v>22</v>
      </c>
      <c r="H306" s="1">
        <v>2</v>
      </c>
      <c r="I306" s="1">
        <v>22030000</v>
      </c>
      <c r="J306" s="1">
        <v>529</v>
      </c>
      <c r="K306" s="1">
        <v>0</v>
      </c>
      <c r="L306" s="1">
        <v>13031</v>
      </c>
      <c r="M306" s="1">
        <v>12.8797</v>
      </c>
      <c r="N306" s="1">
        <v>101.93751</v>
      </c>
      <c r="O306" s="1">
        <v>4.88</v>
      </c>
      <c r="P306" s="1">
        <v>0.28000000000000003</v>
      </c>
      <c r="Q306" s="1">
        <v>0.21</v>
      </c>
      <c r="R306" s="1">
        <v>18.280000999999999</v>
      </c>
      <c r="S306" s="1">
        <v>6.22</v>
      </c>
      <c r="T306" s="1">
        <v>8.4</v>
      </c>
      <c r="U306" s="1">
        <v>20.690000999999999</v>
      </c>
      <c r="V306" s="1">
        <v>4.8</v>
      </c>
      <c r="W306" s="1">
        <v>2.16</v>
      </c>
      <c r="X306" s="1">
        <v>37645.964198000001</v>
      </c>
      <c r="Y306" s="1">
        <v>74857200.967700005</v>
      </c>
      <c r="Z306" t="str">
        <f>VLOOKUP(G306,'Code Pro'!$A$2:$B$9,2,FALSE)</f>
        <v>จ.จันทบุรี</v>
      </c>
      <c r="AA306" s="8">
        <f t="shared" si="37"/>
        <v>365303140.72237599</v>
      </c>
      <c r="AB306" s="8">
        <f t="shared" si="38"/>
        <v>20960016.270956002</v>
      </c>
      <c r="AC306" s="8">
        <f t="shared" si="39"/>
        <v>15720012.203217</v>
      </c>
      <c r="AD306" s="8">
        <f t="shared" si="40"/>
        <v>1368389708.546757</v>
      </c>
      <c r="AE306" s="8">
        <f t="shared" si="41"/>
        <v>465611790.01909399</v>
      </c>
      <c r="AF306" s="8">
        <f t="shared" si="42"/>
        <v>628800488.12868011</v>
      </c>
      <c r="AG306" s="8">
        <f t="shared" si="43"/>
        <v>1548795562.8789139</v>
      </c>
      <c r="AH306" s="8">
        <f t="shared" si="44"/>
        <v>359314564.64495999</v>
      </c>
      <c r="AI306" s="8">
        <f t="shared" si="45"/>
        <v>161691554.09023201</v>
      </c>
    </row>
    <row r="307" spans="1:35" x14ac:dyDescent="0.55000000000000004">
      <c r="A307" s="1">
        <v>305</v>
      </c>
      <c r="B307" s="1" t="s">
        <v>20</v>
      </c>
      <c r="C307" s="1">
        <v>23</v>
      </c>
      <c r="D307" s="1">
        <v>3</v>
      </c>
      <c r="E307" s="1" t="s">
        <v>63</v>
      </c>
      <c r="F307" s="1" t="s">
        <v>64</v>
      </c>
      <c r="G307" s="1">
        <v>22</v>
      </c>
      <c r="H307" s="1">
        <v>2</v>
      </c>
      <c r="I307" s="1">
        <v>22030000</v>
      </c>
      <c r="J307" s="1">
        <v>530</v>
      </c>
      <c r="K307" s="1">
        <v>0</v>
      </c>
      <c r="L307" s="1">
        <v>13030</v>
      </c>
      <c r="M307" s="1">
        <v>12.8797</v>
      </c>
      <c r="N307" s="1">
        <v>101.85438000000001</v>
      </c>
      <c r="O307" s="1">
        <v>12.93</v>
      </c>
      <c r="P307" s="1">
        <v>0</v>
      </c>
      <c r="Q307" s="1">
        <v>1.68</v>
      </c>
      <c r="R307" s="1">
        <v>3.16</v>
      </c>
      <c r="S307" s="1">
        <v>16.399999999999999</v>
      </c>
      <c r="T307" s="1">
        <v>7.56</v>
      </c>
      <c r="U307" s="1">
        <v>7.14</v>
      </c>
      <c r="V307" s="1">
        <v>2.63</v>
      </c>
      <c r="W307" s="1">
        <v>1.61</v>
      </c>
      <c r="X307" s="1">
        <v>22468.549604</v>
      </c>
      <c r="Y307" s="1">
        <v>14026623.7349</v>
      </c>
      <c r="Z307" t="str">
        <f>VLOOKUP(G307,'Code Pro'!$A$2:$B$9,2,FALSE)</f>
        <v>จ.จันทบุรี</v>
      </c>
      <c r="AA307" s="8">
        <f t="shared" si="37"/>
        <v>181364244.892257</v>
      </c>
      <c r="AB307" s="8">
        <f t="shared" si="38"/>
        <v>0</v>
      </c>
      <c r="AC307" s="8">
        <f t="shared" si="39"/>
        <v>23564727.874631997</v>
      </c>
      <c r="AD307" s="8">
        <f t="shared" si="40"/>
        <v>44324131.002283998</v>
      </c>
      <c r="AE307" s="8">
        <f t="shared" si="41"/>
        <v>230036629.25235999</v>
      </c>
      <c r="AF307" s="8">
        <f t="shared" si="42"/>
        <v>106041275.43584399</v>
      </c>
      <c r="AG307" s="8">
        <f t="shared" si="43"/>
        <v>100150093.46718599</v>
      </c>
      <c r="AH307" s="8">
        <f t="shared" si="44"/>
        <v>36890020.422786996</v>
      </c>
      <c r="AI307" s="8">
        <f t="shared" si="45"/>
        <v>22582864.213189002</v>
      </c>
    </row>
    <row r="308" spans="1:35" x14ac:dyDescent="0.55000000000000004">
      <c r="A308" s="1">
        <v>306</v>
      </c>
      <c r="B308" s="1" t="s">
        <v>20</v>
      </c>
      <c r="C308" s="1">
        <v>23</v>
      </c>
      <c r="D308" s="1">
        <v>3</v>
      </c>
      <c r="E308" s="1" t="s">
        <v>63</v>
      </c>
      <c r="F308" s="1" t="s">
        <v>64</v>
      </c>
      <c r="G308" s="1">
        <v>22</v>
      </c>
      <c r="H308" s="1">
        <v>2</v>
      </c>
      <c r="I308" s="1">
        <v>22030000</v>
      </c>
      <c r="J308" s="1">
        <v>531</v>
      </c>
      <c r="K308" s="1">
        <v>0</v>
      </c>
      <c r="L308" s="1">
        <v>12911</v>
      </c>
      <c r="M308" s="1">
        <v>12.798636999999999</v>
      </c>
      <c r="N308" s="1">
        <v>101.93751</v>
      </c>
      <c r="O308" s="1">
        <v>4.22</v>
      </c>
      <c r="P308" s="1">
        <v>0.03</v>
      </c>
      <c r="Q308" s="1">
        <v>0.87</v>
      </c>
      <c r="R308" s="1">
        <v>0.99</v>
      </c>
      <c r="S308" s="1">
        <v>12.38</v>
      </c>
      <c r="T308" s="1">
        <v>16.290001</v>
      </c>
      <c r="U308" s="1">
        <v>26.01</v>
      </c>
      <c r="V308" s="1">
        <v>17.510000000000002</v>
      </c>
      <c r="W308" s="1">
        <v>7.22</v>
      </c>
      <c r="X308" s="1">
        <v>36103.159719000003</v>
      </c>
      <c r="Y308" s="1">
        <v>65730132.907200001</v>
      </c>
      <c r="Z308" t="str">
        <f>VLOOKUP(G308,'Code Pro'!$A$2:$B$9,2,FALSE)</f>
        <v>จ.จันทบุรี</v>
      </c>
      <c r="AA308" s="8">
        <f t="shared" si="37"/>
        <v>277381160.868384</v>
      </c>
      <c r="AB308" s="8">
        <f t="shared" si="38"/>
        <v>1971903.987216</v>
      </c>
      <c r="AC308" s="8">
        <f t="shared" si="39"/>
        <v>57185215.629263997</v>
      </c>
      <c r="AD308" s="8">
        <f t="shared" si="40"/>
        <v>65072831.578128003</v>
      </c>
      <c r="AE308" s="8">
        <f t="shared" si="41"/>
        <v>813739045.39113605</v>
      </c>
      <c r="AF308" s="8">
        <f t="shared" si="42"/>
        <v>1070743930.7884209</v>
      </c>
      <c r="AG308" s="8">
        <f t="shared" si="43"/>
        <v>1709640756.9162722</v>
      </c>
      <c r="AH308" s="8">
        <f t="shared" si="44"/>
        <v>1150934627.2050722</v>
      </c>
      <c r="AI308" s="8">
        <f t="shared" si="45"/>
        <v>474571559.589984</v>
      </c>
    </row>
    <row r="309" spans="1:35" x14ac:dyDescent="0.55000000000000004">
      <c r="A309" s="1">
        <v>307</v>
      </c>
      <c r="B309" s="1" t="s">
        <v>20</v>
      </c>
      <c r="C309" s="1">
        <v>23</v>
      </c>
      <c r="D309" s="1">
        <v>3</v>
      </c>
      <c r="E309" s="1" t="s">
        <v>63</v>
      </c>
      <c r="F309" s="1" t="s">
        <v>64</v>
      </c>
      <c r="G309" s="1">
        <v>22</v>
      </c>
      <c r="H309" s="1">
        <v>2</v>
      </c>
      <c r="I309" s="1">
        <v>22030000</v>
      </c>
      <c r="J309" s="1">
        <v>532</v>
      </c>
      <c r="K309" s="1">
        <v>0</v>
      </c>
      <c r="L309" s="1">
        <v>13151</v>
      </c>
      <c r="M309" s="1">
        <v>12.960724000000001</v>
      </c>
      <c r="N309" s="1">
        <v>101.93751</v>
      </c>
      <c r="O309" s="1">
        <v>2.78</v>
      </c>
      <c r="P309" s="1">
        <v>0.1</v>
      </c>
      <c r="Q309" s="1">
        <v>0.03</v>
      </c>
      <c r="R309" s="1">
        <v>0.99</v>
      </c>
      <c r="S309" s="1">
        <v>8.31</v>
      </c>
      <c r="T309" s="1">
        <v>10.87</v>
      </c>
      <c r="U309" s="1">
        <v>31.02</v>
      </c>
      <c r="V309" s="1">
        <v>12.54</v>
      </c>
      <c r="W309" s="1">
        <v>0.53</v>
      </c>
      <c r="X309" s="1">
        <v>9703.7135400000006</v>
      </c>
      <c r="Y309" s="1">
        <v>1452641.5518100001</v>
      </c>
      <c r="Z309" t="str">
        <f>VLOOKUP(G309,'Code Pro'!$A$2:$B$9,2,FALSE)</f>
        <v>จ.จันทบุรี</v>
      </c>
      <c r="AA309" s="8">
        <f t="shared" si="37"/>
        <v>4038343.5140318</v>
      </c>
      <c r="AB309" s="8">
        <f t="shared" si="38"/>
        <v>145264.15518100001</v>
      </c>
      <c r="AC309" s="8">
        <f t="shared" si="39"/>
        <v>43579.2465543</v>
      </c>
      <c r="AD309" s="8">
        <f t="shared" si="40"/>
        <v>1438115.1362919002</v>
      </c>
      <c r="AE309" s="8">
        <f t="shared" si="41"/>
        <v>12071451.295541102</v>
      </c>
      <c r="AF309" s="8">
        <f t="shared" si="42"/>
        <v>15790213.668174699</v>
      </c>
      <c r="AG309" s="8">
        <f t="shared" si="43"/>
        <v>45060940.937146202</v>
      </c>
      <c r="AH309" s="8">
        <f t="shared" si="44"/>
        <v>18216125.059697401</v>
      </c>
      <c r="AI309" s="8">
        <f t="shared" si="45"/>
        <v>769900.02245930012</v>
      </c>
    </row>
    <row r="310" spans="1:35" x14ac:dyDescent="0.55000000000000004">
      <c r="A310" s="1">
        <v>308</v>
      </c>
      <c r="B310" s="1" t="s">
        <v>20</v>
      </c>
      <c r="C310" s="1">
        <v>23</v>
      </c>
      <c r="D310" s="1">
        <v>3</v>
      </c>
      <c r="E310" s="1" t="s">
        <v>63</v>
      </c>
      <c r="F310" s="1" t="s">
        <v>64</v>
      </c>
      <c r="G310" s="1">
        <v>22</v>
      </c>
      <c r="H310" s="1">
        <v>2</v>
      </c>
      <c r="I310" s="1">
        <v>22030000</v>
      </c>
      <c r="J310" s="1">
        <v>533</v>
      </c>
      <c r="K310" s="1">
        <v>0</v>
      </c>
      <c r="L310" s="1">
        <v>13150</v>
      </c>
      <c r="M310" s="1">
        <v>12.960724000000001</v>
      </c>
      <c r="N310" s="1">
        <v>101.85438000000001</v>
      </c>
      <c r="O310" s="1">
        <v>6.98</v>
      </c>
      <c r="P310" s="1">
        <v>0</v>
      </c>
      <c r="Q310" s="1">
        <v>0.1</v>
      </c>
      <c r="R310" s="1">
        <v>0.31</v>
      </c>
      <c r="S310" s="1">
        <v>24.43</v>
      </c>
      <c r="T310" s="1">
        <v>7.07</v>
      </c>
      <c r="U310" s="1">
        <v>17.829999999999998</v>
      </c>
      <c r="V310" s="1">
        <v>11.15</v>
      </c>
      <c r="W310" s="1">
        <v>5.12</v>
      </c>
      <c r="X310" s="1">
        <v>2034.3576129999999</v>
      </c>
      <c r="Y310" s="1">
        <v>119154.834057</v>
      </c>
      <c r="Z310" t="str">
        <f>VLOOKUP(G310,'Code Pro'!$A$2:$B$9,2,FALSE)</f>
        <v>จ.จันทบุรี</v>
      </c>
      <c r="AA310" s="8">
        <f t="shared" si="37"/>
        <v>831700.7417178601</v>
      </c>
      <c r="AB310" s="8">
        <f t="shared" si="38"/>
        <v>0</v>
      </c>
      <c r="AC310" s="8">
        <f t="shared" si="39"/>
        <v>11915.483405700001</v>
      </c>
      <c r="AD310" s="8">
        <f t="shared" si="40"/>
        <v>36937.998557669998</v>
      </c>
      <c r="AE310" s="8">
        <f t="shared" si="41"/>
        <v>2910952.5960125099</v>
      </c>
      <c r="AF310" s="8">
        <f t="shared" si="42"/>
        <v>842424.67678298999</v>
      </c>
      <c r="AG310" s="8">
        <f t="shared" si="43"/>
        <v>2124530.6912363097</v>
      </c>
      <c r="AH310" s="8">
        <f t="shared" si="44"/>
        <v>1328576.3997355499</v>
      </c>
      <c r="AI310" s="8">
        <f t="shared" si="45"/>
        <v>610072.75037183997</v>
      </c>
    </row>
    <row r="311" spans="1:35" x14ac:dyDescent="0.55000000000000004">
      <c r="A311" s="1">
        <v>309</v>
      </c>
      <c r="B311" s="1" t="s">
        <v>20</v>
      </c>
      <c r="C311" s="1">
        <v>23</v>
      </c>
      <c r="D311" s="1">
        <v>3</v>
      </c>
      <c r="E311" s="1" t="s">
        <v>63</v>
      </c>
      <c r="F311" s="1" t="s">
        <v>64</v>
      </c>
      <c r="G311" s="1">
        <v>22</v>
      </c>
      <c r="H311" s="1">
        <v>2</v>
      </c>
      <c r="I311" s="1">
        <v>22030000</v>
      </c>
      <c r="J311" s="1">
        <v>536</v>
      </c>
      <c r="K311" s="1">
        <v>0</v>
      </c>
      <c r="L311" s="1">
        <v>12792</v>
      </c>
      <c r="M311" s="1">
        <v>12.717560000000001</v>
      </c>
      <c r="N311" s="1">
        <v>102.020645</v>
      </c>
      <c r="O311" s="1">
        <v>2.5299999999999998</v>
      </c>
      <c r="P311" s="1">
        <v>0.01</v>
      </c>
      <c r="Q311" s="1">
        <v>0.04</v>
      </c>
      <c r="R311" s="1">
        <v>7.0000000000000007E-2</v>
      </c>
      <c r="S311" s="1">
        <v>0.21</v>
      </c>
      <c r="T311" s="1">
        <v>10.35</v>
      </c>
      <c r="U311" s="1">
        <v>33.630001</v>
      </c>
      <c r="V311" s="1">
        <v>6.38</v>
      </c>
      <c r="W311" s="1">
        <v>9.89</v>
      </c>
      <c r="X311" s="1">
        <v>36034.590254000002</v>
      </c>
      <c r="Y311" s="1">
        <v>81154904.200900003</v>
      </c>
      <c r="Z311" t="str">
        <f>VLOOKUP(G311,'Code Pro'!$A$2:$B$9,2,FALSE)</f>
        <v>จ.จันทบุรี</v>
      </c>
      <c r="AA311" s="8">
        <f t="shared" si="37"/>
        <v>205321907.628277</v>
      </c>
      <c r="AB311" s="8">
        <f t="shared" si="38"/>
        <v>811549.04200900008</v>
      </c>
      <c r="AC311" s="8">
        <f t="shared" si="39"/>
        <v>3246196.1680360003</v>
      </c>
      <c r="AD311" s="8">
        <f t="shared" si="40"/>
        <v>5680843.2940630009</v>
      </c>
      <c r="AE311" s="8">
        <f t="shared" si="41"/>
        <v>17042529.882189002</v>
      </c>
      <c r="AF311" s="8">
        <f t="shared" si="42"/>
        <v>839953258.47931504</v>
      </c>
      <c r="AG311" s="8">
        <f t="shared" si="43"/>
        <v>2729239509.4311714</v>
      </c>
      <c r="AH311" s="8">
        <f t="shared" si="44"/>
        <v>517768288.80174202</v>
      </c>
      <c r="AI311" s="8">
        <f t="shared" si="45"/>
        <v>802622002.54690111</v>
      </c>
    </row>
    <row r="312" spans="1:35" x14ac:dyDescent="0.55000000000000004">
      <c r="A312" s="1">
        <v>310</v>
      </c>
      <c r="B312" s="1" t="s">
        <v>20</v>
      </c>
      <c r="C312" s="1">
        <v>23</v>
      </c>
      <c r="D312" s="1">
        <v>3</v>
      </c>
      <c r="E312" s="1" t="s">
        <v>63</v>
      </c>
      <c r="F312" s="1" t="s">
        <v>64</v>
      </c>
      <c r="G312" s="1">
        <v>22</v>
      </c>
      <c r="H312" s="1">
        <v>2</v>
      </c>
      <c r="I312" s="1">
        <v>22030000</v>
      </c>
      <c r="J312" s="1">
        <v>537</v>
      </c>
      <c r="K312" s="1">
        <v>0</v>
      </c>
      <c r="L312" s="1">
        <v>12912</v>
      </c>
      <c r="M312" s="1">
        <v>12.798636999999999</v>
      </c>
      <c r="N312" s="1">
        <v>102.020645</v>
      </c>
      <c r="O312" s="1">
        <v>18.739999999999998</v>
      </c>
      <c r="P312" s="1">
        <v>0</v>
      </c>
      <c r="Q312" s="1">
        <v>0.13</v>
      </c>
      <c r="R312" s="1">
        <v>2.2999999999999998</v>
      </c>
      <c r="S312" s="1">
        <v>2.15</v>
      </c>
      <c r="T312" s="1">
        <v>3.68</v>
      </c>
      <c r="U312" s="1">
        <v>17.959999</v>
      </c>
      <c r="V312" s="1">
        <v>0.03</v>
      </c>
      <c r="W312" s="1">
        <v>9.61</v>
      </c>
      <c r="X312" s="1">
        <v>39059.368558000002</v>
      </c>
      <c r="Y312" s="1">
        <v>61802367.298699997</v>
      </c>
      <c r="Z312" t="str">
        <f>VLOOKUP(G312,'Code Pro'!$A$2:$B$9,2,FALSE)</f>
        <v>จ.จันทบุรี</v>
      </c>
      <c r="AA312" s="8">
        <f t="shared" si="37"/>
        <v>1158176363.1776378</v>
      </c>
      <c r="AB312" s="8">
        <f t="shared" si="38"/>
        <v>0</v>
      </c>
      <c r="AC312" s="8">
        <f t="shared" si="39"/>
        <v>8034307.7488310002</v>
      </c>
      <c r="AD312" s="8">
        <f t="shared" si="40"/>
        <v>142145444.78700998</v>
      </c>
      <c r="AE312" s="8">
        <f t="shared" si="41"/>
        <v>132875089.69220498</v>
      </c>
      <c r="AF312" s="8">
        <f t="shared" si="42"/>
        <v>227432711.65921599</v>
      </c>
      <c r="AG312" s="8">
        <f t="shared" si="43"/>
        <v>1109970454.8822846</v>
      </c>
      <c r="AH312" s="8">
        <f t="shared" si="44"/>
        <v>1854071.0189609998</v>
      </c>
      <c r="AI312" s="8">
        <f t="shared" si="45"/>
        <v>593920749.74050689</v>
      </c>
    </row>
    <row r="313" spans="1:35" x14ac:dyDescent="0.55000000000000004">
      <c r="A313" s="1">
        <v>311</v>
      </c>
      <c r="B313" s="1" t="s">
        <v>20</v>
      </c>
      <c r="C313" s="1">
        <v>23</v>
      </c>
      <c r="D313" s="1">
        <v>3</v>
      </c>
      <c r="E313" s="1" t="s">
        <v>63</v>
      </c>
      <c r="F313" s="1" t="s">
        <v>64</v>
      </c>
      <c r="G313" s="1">
        <v>22</v>
      </c>
      <c r="H313" s="1">
        <v>2</v>
      </c>
      <c r="I313" s="1">
        <v>22030000</v>
      </c>
      <c r="J313" s="1">
        <v>538</v>
      </c>
      <c r="K313" s="1">
        <v>0</v>
      </c>
      <c r="L313" s="1">
        <v>12793</v>
      </c>
      <c r="M313" s="1">
        <v>12.717560000000001</v>
      </c>
      <c r="N313" s="1">
        <v>102.10378</v>
      </c>
      <c r="O313" s="1">
        <v>23.540001</v>
      </c>
      <c r="P313" s="1">
        <v>0.01</v>
      </c>
      <c r="Q313" s="1">
        <v>0.01</v>
      </c>
      <c r="R313" s="1">
        <v>2.27</v>
      </c>
      <c r="S313" s="1">
        <v>0.73</v>
      </c>
      <c r="T313" s="1">
        <v>7.64</v>
      </c>
      <c r="U313" s="1">
        <v>4.29</v>
      </c>
      <c r="V313" s="1">
        <v>0.47</v>
      </c>
      <c r="W313" s="1">
        <v>4.49</v>
      </c>
      <c r="X313" s="1">
        <v>22606.878099000001</v>
      </c>
      <c r="Y313" s="1">
        <v>11616766.0547</v>
      </c>
      <c r="Z313" t="str">
        <f>VLOOKUP(G313,'Code Pro'!$A$2:$B$9,2,FALSE)</f>
        <v>จ.จันทบุรี</v>
      </c>
      <c r="AA313" s="8">
        <f t="shared" si="37"/>
        <v>273458684.54440409</v>
      </c>
      <c r="AB313" s="8">
        <f t="shared" si="38"/>
        <v>116167.66054700001</v>
      </c>
      <c r="AC313" s="8">
        <f t="shared" si="39"/>
        <v>116167.66054700001</v>
      </c>
      <c r="AD313" s="8">
        <f t="shared" si="40"/>
        <v>26370058.944169</v>
      </c>
      <c r="AE313" s="8">
        <f t="shared" si="41"/>
        <v>8480239.2199310008</v>
      </c>
      <c r="AF313" s="8">
        <f t="shared" si="42"/>
        <v>88752092.657907993</v>
      </c>
      <c r="AG313" s="8">
        <f t="shared" si="43"/>
        <v>49835926.374663003</v>
      </c>
      <c r="AH313" s="8">
        <f t="shared" si="44"/>
        <v>5459880.045709</v>
      </c>
      <c r="AI313" s="8">
        <f t="shared" si="45"/>
        <v>52159279.585603006</v>
      </c>
    </row>
    <row r="314" spans="1:35" x14ac:dyDescent="0.55000000000000004">
      <c r="A314" s="1">
        <v>312</v>
      </c>
      <c r="B314" s="1" t="s">
        <v>20</v>
      </c>
      <c r="C314" s="1">
        <v>23</v>
      </c>
      <c r="D314" s="1">
        <v>3</v>
      </c>
      <c r="E314" s="1" t="s">
        <v>63</v>
      </c>
      <c r="F314" s="1" t="s">
        <v>64</v>
      </c>
      <c r="G314" s="1">
        <v>22</v>
      </c>
      <c r="H314" s="1">
        <v>2</v>
      </c>
      <c r="I314" s="1">
        <v>22030000</v>
      </c>
      <c r="J314" s="1">
        <v>539</v>
      </c>
      <c r="K314" s="1">
        <v>0</v>
      </c>
      <c r="L314" s="1">
        <v>12913</v>
      </c>
      <c r="M314" s="1">
        <v>12.798636999999999</v>
      </c>
      <c r="N314" s="1">
        <v>102.10378</v>
      </c>
      <c r="O314" s="1">
        <v>75.379997000000003</v>
      </c>
      <c r="P314" s="1">
        <v>0.02</v>
      </c>
      <c r="Q314" s="1">
        <v>0.08</v>
      </c>
      <c r="R314" s="1">
        <v>0.06</v>
      </c>
      <c r="S314" s="1">
        <v>18.940000999999999</v>
      </c>
      <c r="T314" s="1">
        <v>4.8</v>
      </c>
      <c r="U314" s="1">
        <v>6.71</v>
      </c>
      <c r="V314" s="1">
        <v>2.0299999999999998</v>
      </c>
      <c r="W314" s="1">
        <v>4.7300000000000004</v>
      </c>
      <c r="X314" s="1">
        <v>10058.393029000001</v>
      </c>
      <c r="Y314" s="1">
        <v>3588335.5656300001</v>
      </c>
      <c r="Z314" t="str">
        <f>VLOOKUP(G314,'Code Pro'!$A$2:$B$9,2,FALSE)</f>
        <v>จ.จันทบุรี</v>
      </c>
      <c r="AA314" s="8">
        <f t="shared" si="37"/>
        <v>270488724.17218274</v>
      </c>
      <c r="AB314" s="8">
        <f t="shared" si="38"/>
        <v>71766.711312600004</v>
      </c>
      <c r="AC314" s="8">
        <f t="shared" si="39"/>
        <v>287066.84525040002</v>
      </c>
      <c r="AD314" s="8">
        <f t="shared" si="40"/>
        <v>215300.13393779998</v>
      </c>
      <c r="AE314" s="8">
        <f t="shared" si="41"/>
        <v>67963079.201367766</v>
      </c>
      <c r="AF314" s="8">
        <f t="shared" si="42"/>
        <v>17224010.715023998</v>
      </c>
      <c r="AG314" s="8">
        <f t="shared" si="43"/>
        <v>24077731.645377301</v>
      </c>
      <c r="AH314" s="8">
        <f t="shared" si="44"/>
        <v>7284321.1982288994</v>
      </c>
      <c r="AI314" s="8">
        <f t="shared" si="45"/>
        <v>16972827.225429904</v>
      </c>
    </row>
    <row r="315" spans="1:35" x14ac:dyDescent="0.55000000000000004">
      <c r="A315" s="1">
        <v>313</v>
      </c>
      <c r="B315" s="1" t="s">
        <v>20</v>
      </c>
      <c r="C315" s="1">
        <v>23</v>
      </c>
      <c r="D315" s="1">
        <v>3</v>
      </c>
      <c r="E315" s="1" t="s">
        <v>63</v>
      </c>
      <c r="F315" s="1" t="s">
        <v>64</v>
      </c>
      <c r="G315" s="1">
        <v>22</v>
      </c>
      <c r="H315" s="1">
        <v>2</v>
      </c>
      <c r="I315" s="1">
        <v>22030000</v>
      </c>
      <c r="J315" s="1">
        <v>541</v>
      </c>
      <c r="K315" s="1">
        <v>0</v>
      </c>
      <c r="L315" s="1">
        <v>13032</v>
      </c>
      <c r="M315" s="1">
        <v>12.8797</v>
      </c>
      <c r="N315" s="1">
        <v>102.020645</v>
      </c>
      <c r="O315" s="1">
        <v>5.07</v>
      </c>
      <c r="P315" s="1">
        <v>0.16</v>
      </c>
      <c r="Q315" s="1">
        <v>0.04</v>
      </c>
      <c r="R315" s="1">
        <v>10.94</v>
      </c>
      <c r="S315" s="1">
        <v>8.61</v>
      </c>
      <c r="T315" s="1">
        <v>30.18</v>
      </c>
      <c r="U315" s="1">
        <v>32.630001</v>
      </c>
      <c r="V315" s="1">
        <v>6.16</v>
      </c>
      <c r="W315" s="1">
        <v>1.35</v>
      </c>
      <c r="X315" s="1">
        <v>27026.878364</v>
      </c>
      <c r="Y315" s="1">
        <v>31067811.8587</v>
      </c>
      <c r="Z315" t="str">
        <f>VLOOKUP(G315,'Code Pro'!$A$2:$B$9,2,FALSE)</f>
        <v>จ.จันทบุรี</v>
      </c>
      <c r="AA315" s="8">
        <f t="shared" si="37"/>
        <v>157513806.12360901</v>
      </c>
      <c r="AB315" s="8">
        <f t="shared" si="38"/>
        <v>4970849.8973920001</v>
      </c>
      <c r="AC315" s="8">
        <f t="shared" si="39"/>
        <v>1242712.474348</v>
      </c>
      <c r="AD315" s="8">
        <f t="shared" si="40"/>
        <v>339881861.73417801</v>
      </c>
      <c r="AE315" s="8">
        <f t="shared" si="41"/>
        <v>267493860.10340697</v>
      </c>
      <c r="AF315" s="8">
        <f t="shared" si="42"/>
        <v>937626561.89556599</v>
      </c>
      <c r="AG315" s="8">
        <f t="shared" si="43"/>
        <v>1013742732.0171928</v>
      </c>
      <c r="AH315" s="8">
        <f t="shared" si="44"/>
        <v>191377721.04959199</v>
      </c>
      <c r="AI315" s="8">
        <f t="shared" si="45"/>
        <v>41941546.009245001</v>
      </c>
    </row>
    <row r="316" spans="1:35" x14ac:dyDescent="0.55000000000000004">
      <c r="A316" s="1">
        <v>314</v>
      </c>
      <c r="B316" s="1" t="s">
        <v>20</v>
      </c>
      <c r="C316" s="1">
        <v>23</v>
      </c>
      <c r="D316" s="1">
        <v>3</v>
      </c>
      <c r="E316" s="1" t="s">
        <v>63</v>
      </c>
      <c r="F316" s="1" t="s">
        <v>64</v>
      </c>
      <c r="G316" s="1">
        <v>22</v>
      </c>
      <c r="H316" s="1">
        <v>2</v>
      </c>
      <c r="I316" s="1">
        <v>22030000</v>
      </c>
      <c r="J316" s="1">
        <v>543</v>
      </c>
      <c r="K316" s="1">
        <v>0</v>
      </c>
      <c r="L316" s="1">
        <v>13152</v>
      </c>
      <c r="M316" s="1">
        <v>12.960724000000001</v>
      </c>
      <c r="N316" s="1">
        <v>102.020645</v>
      </c>
      <c r="O316" s="1">
        <v>20.99</v>
      </c>
      <c r="P316" s="1">
        <v>0.1</v>
      </c>
      <c r="Q316" s="1">
        <v>0.25</v>
      </c>
      <c r="R316" s="1">
        <v>4.74</v>
      </c>
      <c r="S316" s="1">
        <v>11.07</v>
      </c>
      <c r="T316" s="1">
        <v>12.76</v>
      </c>
      <c r="U316" s="1">
        <v>29.83</v>
      </c>
      <c r="V316" s="1">
        <v>0.27</v>
      </c>
      <c r="W316" s="1">
        <v>4.87</v>
      </c>
      <c r="X316" s="1">
        <v>2087.5466719999999</v>
      </c>
      <c r="Y316" s="1">
        <v>125021.81660000001</v>
      </c>
      <c r="Z316" t="str">
        <f>VLOOKUP(G316,'Code Pro'!$A$2:$B$9,2,FALSE)</f>
        <v>จ.จันทบุรี</v>
      </c>
      <c r="AA316" s="8">
        <f t="shared" si="37"/>
        <v>2624207.9304339997</v>
      </c>
      <c r="AB316" s="8">
        <f t="shared" si="38"/>
        <v>12502.181660000002</v>
      </c>
      <c r="AC316" s="8">
        <f t="shared" si="39"/>
        <v>31255.454150000001</v>
      </c>
      <c r="AD316" s="8">
        <f t="shared" si="40"/>
        <v>592603.410684</v>
      </c>
      <c r="AE316" s="8">
        <f t="shared" si="41"/>
        <v>1383991.5097620001</v>
      </c>
      <c r="AF316" s="8">
        <f t="shared" si="42"/>
        <v>1595278.3798160001</v>
      </c>
      <c r="AG316" s="8">
        <f t="shared" si="43"/>
        <v>3729400.7891779998</v>
      </c>
      <c r="AH316" s="8">
        <f t="shared" si="44"/>
        <v>33755.890482000003</v>
      </c>
      <c r="AI316" s="8">
        <f t="shared" si="45"/>
        <v>608856.24684200005</v>
      </c>
    </row>
    <row r="317" spans="1:35" x14ac:dyDescent="0.55000000000000004">
      <c r="A317" s="1">
        <v>315</v>
      </c>
      <c r="B317" s="1" t="s">
        <v>20</v>
      </c>
      <c r="C317" s="1">
        <v>24</v>
      </c>
      <c r="D317" s="1">
        <v>4</v>
      </c>
      <c r="E317" s="1" t="s">
        <v>65</v>
      </c>
      <c r="F317" s="1" t="s">
        <v>66</v>
      </c>
      <c r="G317" s="1">
        <v>22</v>
      </c>
      <c r="H317" s="1">
        <v>2</v>
      </c>
      <c r="I317" s="1">
        <v>22040000</v>
      </c>
      <c r="J317" s="1">
        <v>549</v>
      </c>
      <c r="K317" s="1">
        <v>0</v>
      </c>
      <c r="L317" s="1">
        <v>13035</v>
      </c>
      <c r="M317" s="1">
        <v>12.8797</v>
      </c>
      <c r="N317" s="1">
        <v>102.27006</v>
      </c>
      <c r="O317" s="1">
        <v>0.81</v>
      </c>
      <c r="P317" s="1">
        <v>1.24</v>
      </c>
      <c r="Q317" s="1">
        <v>0.99</v>
      </c>
      <c r="R317" s="1">
        <v>1.3</v>
      </c>
      <c r="S317" s="1">
        <v>71.360000999999997</v>
      </c>
      <c r="T317" s="1">
        <v>6.36</v>
      </c>
      <c r="U317" s="1">
        <v>5.38</v>
      </c>
      <c r="V317" s="1">
        <v>7.0000000000000007E-2</v>
      </c>
      <c r="W317" s="1">
        <v>7.0000000000000007E-2</v>
      </c>
      <c r="X317" s="1">
        <v>37230.297052000002</v>
      </c>
      <c r="Y317" s="1">
        <v>68270971.156000003</v>
      </c>
      <c r="Z317" t="str">
        <f>VLOOKUP(G317,'Code Pro'!$A$2:$B$9,2,FALSE)</f>
        <v>จ.จันทบุรี</v>
      </c>
      <c r="AA317" s="8">
        <f t="shared" si="37"/>
        <v>55299486.636360005</v>
      </c>
      <c r="AB317" s="8">
        <f t="shared" si="38"/>
        <v>84656004.233439997</v>
      </c>
      <c r="AC317" s="8">
        <f t="shared" si="39"/>
        <v>67588261.444440007</v>
      </c>
      <c r="AD317" s="8">
        <f t="shared" si="40"/>
        <v>88752262.502800003</v>
      </c>
      <c r="AE317" s="8">
        <f t="shared" si="41"/>
        <v>4871816569.963131</v>
      </c>
      <c r="AF317" s="8">
        <f t="shared" si="42"/>
        <v>434203376.55216002</v>
      </c>
      <c r="AG317" s="8">
        <f t="shared" si="43"/>
        <v>367297824.81928003</v>
      </c>
      <c r="AH317" s="8">
        <f t="shared" si="44"/>
        <v>4778967.9809200009</v>
      </c>
      <c r="AI317" s="8">
        <f t="shared" si="45"/>
        <v>4778967.9809200009</v>
      </c>
    </row>
    <row r="318" spans="1:35" x14ac:dyDescent="0.55000000000000004">
      <c r="A318" s="1">
        <v>316</v>
      </c>
      <c r="B318" s="1" t="s">
        <v>20</v>
      </c>
      <c r="C318" s="1">
        <v>24</v>
      </c>
      <c r="D318" s="1">
        <v>4</v>
      </c>
      <c r="E318" s="1" t="s">
        <v>65</v>
      </c>
      <c r="F318" s="1" t="s">
        <v>66</v>
      </c>
      <c r="G318" s="1">
        <v>22</v>
      </c>
      <c r="H318" s="1">
        <v>2</v>
      </c>
      <c r="I318" s="1">
        <v>22040000</v>
      </c>
      <c r="J318" s="1">
        <v>550</v>
      </c>
      <c r="K318" s="1">
        <v>0</v>
      </c>
      <c r="L318" s="1">
        <v>13034</v>
      </c>
      <c r="M318" s="1">
        <v>12.8797</v>
      </c>
      <c r="N318" s="1">
        <v>102.18692</v>
      </c>
      <c r="O318" s="1">
        <v>3.97</v>
      </c>
      <c r="P318" s="1">
        <v>0.87</v>
      </c>
      <c r="Q318" s="1">
        <v>0.89</v>
      </c>
      <c r="R318" s="1">
        <v>1.5</v>
      </c>
      <c r="S318" s="1">
        <v>8.24</v>
      </c>
      <c r="T318" s="1">
        <v>11.89</v>
      </c>
      <c r="U318" s="1">
        <v>8.85</v>
      </c>
      <c r="V318" s="1">
        <v>0.01</v>
      </c>
      <c r="W318" s="1">
        <v>0</v>
      </c>
      <c r="X318" s="1">
        <v>6682.0225989999999</v>
      </c>
      <c r="Y318" s="1">
        <v>1536342.6836399999</v>
      </c>
      <c r="Z318" t="str">
        <f>VLOOKUP(G318,'Code Pro'!$A$2:$B$9,2,FALSE)</f>
        <v>จ.จันทบุรี</v>
      </c>
      <c r="AA318" s="8">
        <f t="shared" si="37"/>
        <v>6099280.4540507998</v>
      </c>
      <c r="AB318" s="8">
        <f t="shared" si="38"/>
        <v>1336618.1347667999</v>
      </c>
      <c r="AC318" s="8">
        <f t="shared" si="39"/>
        <v>1367344.9884396</v>
      </c>
      <c r="AD318" s="8">
        <f t="shared" si="40"/>
        <v>2304514.0254600001</v>
      </c>
      <c r="AE318" s="8">
        <f t="shared" si="41"/>
        <v>12659463.713193599</v>
      </c>
      <c r="AF318" s="8">
        <f t="shared" si="42"/>
        <v>18267114.508479599</v>
      </c>
      <c r="AG318" s="8">
        <f t="shared" si="43"/>
        <v>13596632.750213999</v>
      </c>
      <c r="AH318" s="8">
        <f t="shared" si="44"/>
        <v>15363.4268364</v>
      </c>
      <c r="AI318" s="8">
        <f t="shared" si="45"/>
        <v>0</v>
      </c>
    </row>
    <row r="319" spans="1:35" x14ac:dyDescent="0.55000000000000004">
      <c r="A319" s="1">
        <v>317</v>
      </c>
      <c r="B319" s="1" t="s">
        <v>20</v>
      </c>
      <c r="C319" s="1">
        <v>24</v>
      </c>
      <c r="D319" s="1">
        <v>4</v>
      </c>
      <c r="E319" s="1" t="s">
        <v>65</v>
      </c>
      <c r="F319" s="1" t="s">
        <v>66</v>
      </c>
      <c r="G319" s="1">
        <v>22</v>
      </c>
      <c r="H319" s="1">
        <v>2</v>
      </c>
      <c r="I319" s="1">
        <v>22040000</v>
      </c>
      <c r="J319" s="1">
        <v>551</v>
      </c>
      <c r="K319" s="1">
        <v>0</v>
      </c>
      <c r="L319" s="1">
        <v>12915</v>
      </c>
      <c r="M319" s="1">
        <v>12.798636999999999</v>
      </c>
      <c r="N319" s="1">
        <v>102.27006</v>
      </c>
      <c r="O319" s="1">
        <v>4.82</v>
      </c>
      <c r="P319" s="1">
        <v>0.61</v>
      </c>
      <c r="Q319" s="1">
        <v>0.27</v>
      </c>
      <c r="R319" s="1">
        <v>0.69</v>
      </c>
      <c r="S319" s="1">
        <v>13.46</v>
      </c>
      <c r="T319" s="1">
        <v>27.059999000000001</v>
      </c>
      <c r="U319" s="1">
        <v>5.92</v>
      </c>
      <c r="V319" s="1">
        <v>2.88</v>
      </c>
      <c r="W319" s="1">
        <v>7.0000000000000007E-2</v>
      </c>
      <c r="X319" s="1">
        <v>15658.934192999999</v>
      </c>
      <c r="Y319" s="1">
        <v>5649040.3679200001</v>
      </c>
      <c r="Z319" t="str">
        <f>VLOOKUP(G319,'Code Pro'!$A$2:$B$9,2,FALSE)</f>
        <v>จ.จันทบุรี</v>
      </c>
      <c r="AA319" s="8">
        <f t="shared" si="37"/>
        <v>27228374.573374402</v>
      </c>
      <c r="AB319" s="8">
        <f t="shared" si="38"/>
        <v>3445914.6244311999</v>
      </c>
      <c r="AC319" s="8">
        <f t="shared" si="39"/>
        <v>1525240.8993384002</v>
      </c>
      <c r="AD319" s="8">
        <f t="shared" si="40"/>
        <v>3897837.8538647997</v>
      </c>
      <c r="AE319" s="8">
        <f t="shared" si="41"/>
        <v>76036083.352203205</v>
      </c>
      <c r="AF319" s="8">
        <f t="shared" si="42"/>
        <v>152863026.70687485</v>
      </c>
      <c r="AG319" s="8">
        <f t="shared" si="43"/>
        <v>33442318.978086401</v>
      </c>
      <c r="AH319" s="8">
        <f t="shared" si="44"/>
        <v>16269236.259609601</v>
      </c>
      <c r="AI319" s="8">
        <f t="shared" si="45"/>
        <v>395432.82575440005</v>
      </c>
    </row>
    <row r="320" spans="1:35" x14ac:dyDescent="0.55000000000000004">
      <c r="A320" s="1">
        <v>318</v>
      </c>
      <c r="B320" s="1" t="s">
        <v>20</v>
      </c>
      <c r="C320" s="1">
        <v>24</v>
      </c>
      <c r="D320" s="1">
        <v>4</v>
      </c>
      <c r="E320" s="1" t="s">
        <v>65</v>
      </c>
      <c r="F320" s="1" t="s">
        <v>66</v>
      </c>
      <c r="G320" s="1">
        <v>22</v>
      </c>
      <c r="H320" s="1">
        <v>2</v>
      </c>
      <c r="I320" s="1">
        <v>22040000</v>
      </c>
      <c r="J320" s="1">
        <v>552</v>
      </c>
      <c r="K320" s="1">
        <v>0</v>
      </c>
      <c r="L320" s="1">
        <v>12796</v>
      </c>
      <c r="M320" s="1">
        <v>12.717560000000001</v>
      </c>
      <c r="N320" s="1">
        <v>102.35319</v>
      </c>
      <c r="O320" s="1">
        <v>1.5</v>
      </c>
      <c r="P320" s="1">
        <v>0.03</v>
      </c>
      <c r="Q320" s="1">
        <v>2.89</v>
      </c>
      <c r="R320" s="1">
        <v>6.88</v>
      </c>
      <c r="S320" s="1">
        <v>3.84</v>
      </c>
      <c r="T320" s="1">
        <v>22.870000999999998</v>
      </c>
      <c r="U320" s="1">
        <v>28.59</v>
      </c>
      <c r="V320" s="1">
        <v>0.43</v>
      </c>
      <c r="W320" s="1">
        <v>18.829999999999998</v>
      </c>
      <c r="X320" s="1">
        <v>1361.2176710000001</v>
      </c>
      <c r="Y320" s="1">
        <v>83186.164495000005</v>
      </c>
      <c r="Z320" t="str">
        <f>VLOOKUP(G320,'Code Pro'!$A$2:$B$9,2,FALSE)</f>
        <v>จ.จันทบุรี</v>
      </c>
      <c r="AA320" s="8">
        <f t="shared" si="37"/>
        <v>124779.24674250001</v>
      </c>
      <c r="AB320" s="8">
        <f t="shared" si="38"/>
        <v>2495.5849348500001</v>
      </c>
      <c r="AC320" s="8">
        <f t="shared" si="39"/>
        <v>240408.01539055002</v>
      </c>
      <c r="AD320" s="8">
        <f t="shared" si="40"/>
        <v>572320.81172560004</v>
      </c>
      <c r="AE320" s="8">
        <f t="shared" si="41"/>
        <v>319434.87166080001</v>
      </c>
      <c r="AF320" s="8">
        <f t="shared" si="42"/>
        <v>1902467.6651868145</v>
      </c>
      <c r="AG320" s="8">
        <f t="shared" si="43"/>
        <v>2378292.4429120501</v>
      </c>
      <c r="AH320" s="8">
        <f t="shared" si="44"/>
        <v>35770.050732850003</v>
      </c>
      <c r="AI320" s="8">
        <f t="shared" si="45"/>
        <v>1566395.4774408499</v>
      </c>
    </row>
    <row r="321" spans="1:35" x14ac:dyDescent="0.55000000000000004">
      <c r="A321" s="1">
        <v>319</v>
      </c>
      <c r="B321" s="1" t="s">
        <v>20</v>
      </c>
      <c r="C321" s="1">
        <v>24</v>
      </c>
      <c r="D321" s="1">
        <v>4</v>
      </c>
      <c r="E321" s="1" t="s">
        <v>65</v>
      </c>
      <c r="F321" s="1" t="s">
        <v>66</v>
      </c>
      <c r="G321" s="1">
        <v>22</v>
      </c>
      <c r="H321" s="1">
        <v>2</v>
      </c>
      <c r="I321" s="1">
        <v>22040000</v>
      </c>
      <c r="J321" s="1">
        <v>553</v>
      </c>
      <c r="K321" s="1">
        <v>0</v>
      </c>
      <c r="L321" s="1">
        <v>13155</v>
      </c>
      <c r="M321" s="1">
        <v>12.960724000000001</v>
      </c>
      <c r="N321" s="1">
        <v>102.27006</v>
      </c>
      <c r="O321" s="1">
        <v>14.19</v>
      </c>
      <c r="P321" s="1">
        <v>0.32</v>
      </c>
      <c r="Q321" s="1">
        <v>0.17</v>
      </c>
      <c r="R321" s="1">
        <v>1.51</v>
      </c>
      <c r="S321" s="1">
        <v>23.01</v>
      </c>
      <c r="T321" s="1">
        <v>19.59</v>
      </c>
      <c r="U321" s="1">
        <v>28.280000999999999</v>
      </c>
      <c r="V321" s="1">
        <v>1.72</v>
      </c>
      <c r="W321" s="1">
        <v>0.57999999999999996</v>
      </c>
      <c r="X321" s="1">
        <v>36007.977927</v>
      </c>
      <c r="Y321" s="1">
        <v>81035077.190200001</v>
      </c>
      <c r="Z321" t="str">
        <f>VLOOKUP(G321,'Code Pro'!$A$2:$B$9,2,FALSE)</f>
        <v>จ.จันทบุรี</v>
      </c>
      <c r="AA321" s="8">
        <f t="shared" si="37"/>
        <v>1149887745.328938</v>
      </c>
      <c r="AB321" s="8">
        <f t="shared" si="38"/>
        <v>25931224.700864002</v>
      </c>
      <c r="AC321" s="8">
        <f t="shared" si="39"/>
        <v>13775963.122334002</v>
      </c>
      <c r="AD321" s="8">
        <f t="shared" si="40"/>
        <v>122362966.557202</v>
      </c>
      <c r="AE321" s="8">
        <f t="shared" si="41"/>
        <v>1864617126.1465023</v>
      </c>
      <c r="AF321" s="8">
        <f t="shared" si="42"/>
        <v>1587477162.156018</v>
      </c>
      <c r="AG321" s="8">
        <f t="shared" si="43"/>
        <v>2291672063.9739332</v>
      </c>
      <c r="AH321" s="8">
        <f t="shared" si="44"/>
        <v>139380332.76714399</v>
      </c>
      <c r="AI321" s="8">
        <f t="shared" si="45"/>
        <v>47000344.770315997</v>
      </c>
    </row>
    <row r="322" spans="1:35" x14ac:dyDescent="0.55000000000000004">
      <c r="A322" s="1">
        <v>320</v>
      </c>
      <c r="B322" s="1" t="s">
        <v>20</v>
      </c>
      <c r="C322" s="1">
        <v>24</v>
      </c>
      <c r="D322" s="1">
        <v>4</v>
      </c>
      <c r="E322" s="1" t="s">
        <v>65</v>
      </c>
      <c r="F322" s="1" t="s">
        <v>66</v>
      </c>
      <c r="G322" s="1">
        <v>22</v>
      </c>
      <c r="H322" s="1">
        <v>2</v>
      </c>
      <c r="I322" s="1">
        <v>22040000</v>
      </c>
      <c r="J322" s="1">
        <v>554</v>
      </c>
      <c r="K322" s="1">
        <v>0</v>
      </c>
      <c r="L322" s="1">
        <v>13154</v>
      </c>
      <c r="M322" s="1">
        <v>12.960724000000001</v>
      </c>
      <c r="N322" s="1">
        <v>102.18692</v>
      </c>
      <c r="O322" s="1">
        <v>29.07</v>
      </c>
      <c r="P322" s="1">
        <v>0.36</v>
      </c>
      <c r="Q322" s="1">
        <v>1.88</v>
      </c>
      <c r="R322" s="1">
        <v>12.74</v>
      </c>
      <c r="S322" s="1">
        <v>16.209999</v>
      </c>
      <c r="T322" s="1">
        <v>8.4499999999999993</v>
      </c>
      <c r="U322" s="1">
        <v>15.15</v>
      </c>
      <c r="V322" s="1">
        <v>0.65</v>
      </c>
      <c r="W322" s="1">
        <v>0.06</v>
      </c>
      <c r="X322" s="1">
        <v>28253.830687999998</v>
      </c>
      <c r="Y322" s="1">
        <v>40874253.722800002</v>
      </c>
      <c r="Z322" t="str">
        <f>VLOOKUP(G322,'Code Pro'!$A$2:$B$9,2,FALSE)</f>
        <v>จ.จันทบุรี</v>
      </c>
      <c r="AA322" s="8">
        <f t="shared" si="37"/>
        <v>1188214555.721796</v>
      </c>
      <c r="AB322" s="8">
        <f t="shared" si="38"/>
        <v>14714731.340208</v>
      </c>
      <c r="AC322" s="8">
        <f t="shared" si="39"/>
        <v>76843596.998863995</v>
      </c>
      <c r="AD322" s="8">
        <f t="shared" si="40"/>
        <v>520737992.42847204</v>
      </c>
      <c r="AE322" s="8">
        <f t="shared" si="41"/>
        <v>662571611.97233427</v>
      </c>
      <c r="AF322" s="8">
        <f t="shared" si="42"/>
        <v>345387443.95765996</v>
      </c>
      <c r="AG322" s="8">
        <f t="shared" si="43"/>
        <v>619244943.90042007</v>
      </c>
      <c r="AH322" s="8">
        <f t="shared" si="44"/>
        <v>26568264.919820003</v>
      </c>
      <c r="AI322" s="8">
        <f t="shared" si="45"/>
        <v>2452455.2233679998</v>
      </c>
    </row>
    <row r="323" spans="1:35" x14ac:dyDescent="0.55000000000000004">
      <c r="A323" s="1">
        <v>321</v>
      </c>
      <c r="B323" s="1" t="s">
        <v>20</v>
      </c>
      <c r="C323" s="1">
        <v>24</v>
      </c>
      <c r="D323" s="1">
        <v>4</v>
      </c>
      <c r="E323" s="1" t="s">
        <v>65</v>
      </c>
      <c r="F323" s="1" t="s">
        <v>66</v>
      </c>
      <c r="G323" s="1">
        <v>22</v>
      </c>
      <c r="H323" s="1">
        <v>2</v>
      </c>
      <c r="I323" s="1">
        <v>22040000</v>
      </c>
      <c r="J323" s="1">
        <v>555</v>
      </c>
      <c r="K323" s="1">
        <v>0</v>
      </c>
      <c r="L323" s="1">
        <v>12916</v>
      </c>
      <c r="M323" s="1">
        <v>12.798636999999999</v>
      </c>
      <c r="N323" s="1">
        <v>102.35319</v>
      </c>
      <c r="O323" s="1">
        <v>15.27</v>
      </c>
      <c r="P323" s="1">
        <v>0.14000000000000001</v>
      </c>
      <c r="Q323" s="1">
        <v>0.05</v>
      </c>
      <c r="R323" s="1">
        <v>0.55000000000000004</v>
      </c>
      <c r="S323" s="1">
        <v>11.51</v>
      </c>
      <c r="T323" s="1">
        <v>6.64</v>
      </c>
      <c r="U323" s="1">
        <v>3.02</v>
      </c>
      <c r="V323" s="1">
        <v>0.74</v>
      </c>
      <c r="W323" s="1">
        <v>1.8</v>
      </c>
      <c r="X323" s="1">
        <v>36653.508671000003</v>
      </c>
      <c r="Y323" s="1">
        <v>41889104.096299998</v>
      </c>
      <c r="Z323" t="str">
        <f>VLOOKUP(G323,'Code Pro'!$A$2:$B$9,2,FALSE)</f>
        <v>จ.จันทบุรี</v>
      </c>
      <c r="AA323" s="8">
        <f t="shared" ref="AA323:AA386" si="46">+O323*$Y323</f>
        <v>639646619.55050099</v>
      </c>
      <c r="AB323" s="8">
        <f t="shared" ref="AB323:AB386" si="47">+P323*$Y323</f>
        <v>5864474.5734820003</v>
      </c>
      <c r="AC323" s="8">
        <f t="shared" ref="AC323:AC386" si="48">+Q323*$Y323</f>
        <v>2094455.2048150001</v>
      </c>
      <c r="AD323" s="8">
        <f t="shared" ref="AD323:AD386" si="49">+R323*$Y323</f>
        <v>23039007.252965</v>
      </c>
      <c r="AE323" s="8">
        <f t="shared" ref="AE323:AE386" si="50">+S323*$Y323</f>
        <v>482143588.148413</v>
      </c>
      <c r="AF323" s="8">
        <f t="shared" ref="AF323:AF386" si="51">+T323*$Y323</f>
        <v>278143651.19943196</v>
      </c>
      <c r="AG323" s="8">
        <f t="shared" ref="AG323:AG386" si="52">+U323*$Y323</f>
        <v>126505094.37082599</v>
      </c>
      <c r="AH323" s="8">
        <f t="shared" ref="AH323:AH386" si="53">+V323*$Y323</f>
        <v>30997937.031261999</v>
      </c>
      <c r="AI323" s="8">
        <f t="shared" ref="AI323:AI386" si="54">+W323*$Y323</f>
        <v>75400387.373339996</v>
      </c>
    </row>
    <row r="324" spans="1:35" x14ac:dyDescent="0.55000000000000004">
      <c r="A324" s="1">
        <v>322</v>
      </c>
      <c r="B324" s="1" t="s">
        <v>20</v>
      </c>
      <c r="C324" s="1">
        <v>24</v>
      </c>
      <c r="D324" s="1">
        <v>4</v>
      </c>
      <c r="E324" s="1" t="s">
        <v>65</v>
      </c>
      <c r="F324" s="1" t="s">
        <v>66</v>
      </c>
      <c r="G324" s="1">
        <v>22</v>
      </c>
      <c r="H324" s="1">
        <v>2</v>
      </c>
      <c r="I324" s="1">
        <v>22040000</v>
      </c>
      <c r="J324" s="1">
        <v>556</v>
      </c>
      <c r="K324" s="1">
        <v>0</v>
      </c>
      <c r="L324" s="1">
        <v>13275</v>
      </c>
      <c r="M324" s="1">
        <v>13.041733000000001</v>
      </c>
      <c r="N324" s="1">
        <v>102.27006</v>
      </c>
      <c r="O324" s="1">
        <v>2.2799999999999998</v>
      </c>
      <c r="P324" s="1">
        <v>1.69</v>
      </c>
      <c r="Q324" s="1">
        <v>0</v>
      </c>
      <c r="R324" s="1">
        <v>1.2</v>
      </c>
      <c r="S324" s="1">
        <v>36.389999000000003</v>
      </c>
      <c r="T324" s="1">
        <v>50.959999000000003</v>
      </c>
      <c r="U324" s="1">
        <v>35.709999000000003</v>
      </c>
      <c r="V324" s="1">
        <v>14.72</v>
      </c>
      <c r="W324" s="1">
        <v>1.43</v>
      </c>
      <c r="X324" s="1">
        <v>27326.276416000001</v>
      </c>
      <c r="Y324" s="1">
        <v>40060779.946999997</v>
      </c>
      <c r="Z324" t="str">
        <f>VLOOKUP(G324,'Code Pro'!$A$2:$B$9,2,FALSE)</f>
        <v>จ.จันทบุรี</v>
      </c>
      <c r="AA324" s="8">
        <f t="shared" si="46"/>
        <v>91338578.279159978</v>
      </c>
      <c r="AB324" s="8">
        <f t="shared" si="47"/>
        <v>67702718.110429987</v>
      </c>
      <c r="AC324" s="8">
        <f t="shared" si="48"/>
        <v>0</v>
      </c>
      <c r="AD324" s="8">
        <f t="shared" si="49"/>
        <v>48072935.936399996</v>
      </c>
      <c r="AE324" s="8">
        <f t="shared" si="50"/>
        <v>1457811742.2105501</v>
      </c>
      <c r="AF324" s="8">
        <f t="shared" si="51"/>
        <v>2041497306.0383401</v>
      </c>
      <c r="AG324" s="8">
        <f t="shared" si="52"/>
        <v>1430570411.84659</v>
      </c>
      <c r="AH324" s="8">
        <f t="shared" si="53"/>
        <v>589694680.81983995</v>
      </c>
      <c r="AI324" s="8">
        <f t="shared" si="54"/>
        <v>57286915.324209996</v>
      </c>
    </row>
    <row r="325" spans="1:35" x14ac:dyDescent="0.55000000000000004">
      <c r="A325" s="1">
        <v>323</v>
      </c>
      <c r="B325" s="1" t="s">
        <v>20</v>
      </c>
      <c r="C325" s="1">
        <v>24</v>
      </c>
      <c r="D325" s="1">
        <v>4</v>
      </c>
      <c r="E325" s="1" t="s">
        <v>65</v>
      </c>
      <c r="F325" s="1" t="s">
        <v>66</v>
      </c>
      <c r="G325" s="1">
        <v>22</v>
      </c>
      <c r="H325" s="1">
        <v>2</v>
      </c>
      <c r="I325" s="1">
        <v>22040000</v>
      </c>
      <c r="J325" s="1">
        <v>557</v>
      </c>
      <c r="K325" s="1">
        <v>0</v>
      </c>
      <c r="L325" s="1">
        <v>13274</v>
      </c>
      <c r="M325" s="1">
        <v>13.041733000000001</v>
      </c>
      <c r="N325" s="1">
        <v>102.18692</v>
      </c>
      <c r="O325" s="1">
        <v>8.1300000000000008</v>
      </c>
      <c r="P325" s="1">
        <v>1.0900000000000001</v>
      </c>
      <c r="Q325" s="1">
        <v>0.05</v>
      </c>
      <c r="R325" s="1">
        <v>0.33</v>
      </c>
      <c r="S325" s="1">
        <v>29.030000999999999</v>
      </c>
      <c r="T325" s="1">
        <v>28.51</v>
      </c>
      <c r="U325" s="1">
        <v>42.150002000000001</v>
      </c>
      <c r="V325" s="1">
        <v>7.27</v>
      </c>
      <c r="W325" s="1">
        <v>0.23</v>
      </c>
      <c r="X325" s="1">
        <v>25759.769778000002</v>
      </c>
      <c r="Y325" s="1">
        <v>34254352.851999998</v>
      </c>
      <c r="Z325" t="str">
        <f>VLOOKUP(G325,'Code Pro'!$A$2:$B$9,2,FALSE)</f>
        <v>จ.จันทบุรี</v>
      </c>
      <c r="AA325" s="8">
        <f t="shared" si="46"/>
        <v>278487888.68676001</v>
      </c>
      <c r="AB325" s="8">
        <f t="shared" si="47"/>
        <v>37337244.608680002</v>
      </c>
      <c r="AC325" s="8">
        <f t="shared" si="48"/>
        <v>1712717.6425999999</v>
      </c>
      <c r="AD325" s="8">
        <f t="shared" si="49"/>
        <v>11303936.441159999</v>
      </c>
      <c r="AE325" s="8">
        <f t="shared" si="50"/>
        <v>994403897.54791272</v>
      </c>
      <c r="AF325" s="8">
        <f t="shared" si="51"/>
        <v>976591599.81052005</v>
      </c>
      <c r="AG325" s="8">
        <f t="shared" si="52"/>
        <v>1443821041.2205057</v>
      </c>
      <c r="AH325" s="8">
        <f t="shared" si="53"/>
        <v>249029145.23403996</v>
      </c>
      <c r="AI325" s="8">
        <f t="shared" si="54"/>
        <v>7878501.1559600001</v>
      </c>
    </row>
    <row r="326" spans="1:35" x14ac:dyDescent="0.55000000000000004">
      <c r="A326" s="1">
        <v>324</v>
      </c>
      <c r="B326" s="1" t="s">
        <v>20</v>
      </c>
      <c r="C326" s="1">
        <v>24</v>
      </c>
      <c r="D326" s="1">
        <v>4</v>
      </c>
      <c r="E326" s="1" t="s">
        <v>65</v>
      </c>
      <c r="F326" s="1" t="s">
        <v>66</v>
      </c>
      <c r="G326" s="1">
        <v>22</v>
      </c>
      <c r="H326" s="1">
        <v>2</v>
      </c>
      <c r="I326" s="1">
        <v>22040000</v>
      </c>
      <c r="J326" s="1">
        <v>558</v>
      </c>
      <c r="K326" s="1">
        <v>0</v>
      </c>
      <c r="L326" s="1">
        <v>12797</v>
      </c>
      <c r="M326" s="1">
        <v>12.717560000000001</v>
      </c>
      <c r="N326" s="1">
        <v>102.436325</v>
      </c>
      <c r="O326" s="1">
        <v>21.59</v>
      </c>
      <c r="P326" s="1">
        <v>0.49</v>
      </c>
      <c r="Q326" s="1">
        <v>0.68</v>
      </c>
      <c r="R326" s="1">
        <v>11.2</v>
      </c>
      <c r="S326" s="1">
        <v>4.28</v>
      </c>
      <c r="T326" s="1">
        <v>28.68</v>
      </c>
      <c r="U326" s="1">
        <v>9.84</v>
      </c>
      <c r="V326" s="1">
        <v>0.69</v>
      </c>
      <c r="W326" s="1">
        <v>16.379999000000002</v>
      </c>
      <c r="X326" s="1">
        <v>3900.8828830000002</v>
      </c>
      <c r="Y326" s="1">
        <v>271329.609681</v>
      </c>
      <c r="Z326" t="str">
        <f>VLOOKUP(G326,'Code Pro'!$A$2:$B$9,2,FALSE)</f>
        <v>จ.จันทบุรี</v>
      </c>
      <c r="AA326" s="8">
        <f t="shared" si="46"/>
        <v>5858006.2730127899</v>
      </c>
      <c r="AB326" s="8">
        <f t="shared" si="47"/>
        <v>132951.50874369001</v>
      </c>
      <c r="AC326" s="8">
        <f t="shared" si="48"/>
        <v>184504.13458308001</v>
      </c>
      <c r="AD326" s="8">
        <f t="shared" si="49"/>
        <v>3038891.6284272</v>
      </c>
      <c r="AE326" s="8">
        <f t="shared" si="50"/>
        <v>1161290.72943468</v>
      </c>
      <c r="AF326" s="8">
        <f t="shared" si="51"/>
        <v>7781733.2056510802</v>
      </c>
      <c r="AG326" s="8">
        <f t="shared" si="52"/>
        <v>2669883.3592610401</v>
      </c>
      <c r="AH326" s="8">
        <f t="shared" si="53"/>
        <v>187217.43067988998</v>
      </c>
      <c r="AI326" s="8">
        <f t="shared" si="54"/>
        <v>4444378.735245171</v>
      </c>
    </row>
    <row r="327" spans="1:35" x14ac:dyDescent="0.55000000000000004">
      <c r="A327" s="1">
        <v>325</v>
      </c>
      <c r="B327" s="1" t="s">
        <v>20</v>
      </c>
      <c r="C327" s="1">
        <v>24</v>
      </c>
      <c r="D327" s="1">
        <v>4</v>
      </c>
      <c r="E327" s="1" t="s">
        <v>65</v>
      </c>
      <c r="F327" s="1" t="s">
        <v>66</v>
      </c>
      <c r="G327" s="1">
        <v>22</v>
      </c>
      <c r="H327" s="1">
        <v>2</v>
      </c>
      <c r="I327" s="1">
        <v>22040000</v>
      </c>
      <c r="J327" s="1">
        <v>559</v>
      </c>
      <c r="K327" s="1">
        <v>0</v>
      </c>
      <c r="L327" s="1">
        <v>12917</v>
      </c>
      <c r="M327" s="1">
        <v>12.798636999999999</v>
      </c>
      <c r="N327" s="1">
        <v>102.436325</v>
      </c>
      <c r="O327" s="1">
        <v>19.09</v>
      </c>
      <c r="P327" s="1">
        <v>0.15</v>
      </c>
      <c r="Q327" s="1">
        <v>0.37</v>
      </c>
      <c r="R327" s="1">
        <v>0.73</v>
      </c>
      <c r="S327" s="1">
        <v>11.93</v>
      </c>
      <c r="T327" s="1">
        <v>13.45</v>
      </c>
      <c r="U327" s="1">
        <v>1.87</v>
      </c>
      <c r="V327" s="1">
        <v>0.92</v>
      </c>
      <c r="W327" s="1">
        <v>0.34</v>
      </c>
      <c r="X327" s="1">
        <v>39268.492746000004</v>
      </c>
      <c r="Y327" s="1">
        <v>76525951.361900002</v>
      </c>
      <c r="Z327" t="str">
        <f>VLOOKUP(G327,'Code Pro'!$A$2:$B$9,2,FALSE)</f>
        <v>จ.จันทบุรี</v>
      </c>
      <c r="AA327" s="8">
        <f t="shared" si="46"/>
        <v>1460880411.4986711</v>
      </c>
      <c r="AB327" s="8">
        <f t="shared" si="47"/>
        <v>11478892.704285</v>
      </c>
      <c r="AC327" s="8">
        <f t="shared" si="48"/>
        <v>28314602.003903002</v>
      </c>
      <c r="AD327" s="8">
        <f t="shared" si="49"/>
        <v>55863944.494186997</v>
      </c>
      <c r="AE327" s="8">
        <f t="shared" si="50"/>
        <v>912954599.74746704</v>
      </c>
      <c r="AF327" s="8">
        <f t="shared" si="51"/>
        <v>1029274045.817555</v>
      </c>
      <c r="AG327" s="8">
        <f t="shared" si="52"/>
        <v>143103529.04675302</v>
      </c>
      <c r="AH327" s="8">
        <f t="shared" si="53"/>
        <v>70403875.252948001</v>
      </c>
      <c r="AI327" s="8">
        <f t="shared" si="54"/>
        <v>26018823.463046003</v>
      </c>
    </row>
    <row r="328" spans="1:35" x14ac:dyDescent="0.55000000000000004">
      <c r="A328" s="1">
        <v>326</v>
      </c>
      <c r="B328" s="1" t="s">
        <v>20</v>
      </c>
      <c r="C328" s="1">
        <v>24</v>
      </c>
      <c r="D328" s="1">
        <v>4</v>
      </c>
      <c r="E328" s="1" t="s">
        <v>65</v>
      </c>
      <c r="F328" s="1" t="s">
        <v>66</v>
      </c>
      <c r="G328" s="1">
        <v>22</v>
      </c>
      <c r="H328" s="1">
        <v>2</v>
      </c>
      <c r="I328" s="1">
        <v>22040000</v>
      </c>
      <c r="J328" s="1">
        <v>560</v>
      </c>
      <c r="K328" s="1">
        <v>0</v>
      </c>
      <c r="L328" s="1">
        <v>12798</v>
      </c>
      <c r="M328" s="1">
        <v>12.717560000000001</v>
      </c>
      <c r="N328" s="1">
        <v>102.51946</v>
      </c>
      <c r="O328" s="1">
        <v>34.57</v>
      </c>
      <c r="P328" s="1">
        <v>0.61</v>
      </c>
      <c r="Q328" s="1">
        <v>0.37</v>
      </c>
      <c r="R328" s="1">
        <v>21.92</v>
      </c>
      <c r="S328" s="1">
        <v>10.58</v>
      </c>
      <c r="T328" s="1">
        <v>50.459999000000003</v>
      </c>
      <c r="U328" s="1">
        <v>0.32</v>
      </c>
      <c r="V328" s="1">
        <v>3.26</v>
      </c>
      <c r="W328" s="1">
        <v>0.93</v>
      </c>
      <c r="X328" s="1">
        <v>10994.426957</v>
      </c>
      <c r="Y328" s="1">
        <v>1800901.70682</v>
      </c>
      <c r="Z328" t="str">
        <f>VLOOKUP(G328,'Code Pro'!$A$2:$B$9,2,FALSE)</f>
        <v>จ.จันทบุรี</v>
      </c>
      <c r="AA328" s="8">
        <f t="shared" si="46"/>
        <v>62257172.004767396</v>
      </c>
      <c r="AB328" s="8">
        <f t="shared" si="47"/>
        <v>1098550.0411602</v>
      </c>
      <c r="AC328" s="8">
        <f t="shared" si="48"/>
        <v>666333.63152339996</v>
      </c>
      <c r="AD328" s="8">
        <f t="shared" si="49"/>
        <v>39475765.413494401</v>
      </c>
      <c r="AE328" s="8">
        <f t="shared" si="50"/>
        <v>19053540.0581556</v>
      </c>
      <c r="AF328" s="8">
        <f t="shared" si="51"/>
        <v>90873498.325235501</v>
      </c>
      <c r="AG328" s="8">
        <f t="shared" si="52"/>
        <v>576288.54618239996</v>
      </c>
      <c r="AH328" s="8">
        <f t="shared" si="53"/>
        <v>5870939.5642331997</v>
      </c>
      <c r="AI328" s="8">
        <f t="shared" si="54"/>
        <v>1674838.5873426001</v>
      </c>
    </row>
    <row r="329" spans="1:35" x14ac:dyDescent="0.55000000000000004">
      <c r="A329" s="1">
        <v>327</v>
      </c>
      <c r="B329" s="1" t="s">
        <v>20</v>
      </c>
      <c r="C329" s="1">
        <v>24</v>
      </c>
      <c r="D329" s="1">
        <v>4</v>
      </c>
      <c r="E329" s="1" t="s">
        <v>65</v>
      </c>
      <c r="F329" s="1" t="s">
        <v>66</v>
      </c>
      <c r="G329" s="1">
        <v>22</v>
      </c>
      <c r="H329" s="1">
        <v>2</v>
      </c>
      <c r="I329" s="1">
        <v>22040000</v>
      </c>
      <c r="J329" s="1">
        <v>561</v>
      </c>
      <c r="K329" s="1">
        <v>0</v>
      </c>
      <c r="L329" s="1">
        <v>13036</v>
      </c>
      <c r="M329" s="1">
        <v>12.8797</v>
      </c>
      <c r="N329" s="1">
        <v>102.35319</v>
      </c>
      <c r="O329" s="1">
        <v>0.39</v>
      </c>
      <c r="P329" s="1">
        <v>0.53</v>
      </c>
      <c r="Q329" s="1">
        <v>0.31</v>
      </c>
      <c r="R329" s="1">
        <v>0.84</v>
      </c>
      <c r="S329" s="1">
        <v>12.97</v>
      </c>
      <c r="T329" s="1">
        <v>5.78</v>
      </c>
      <c r="U329" s="1">
        <v>1.88</v>
      </c>
      <c r="V329" s="1">
        <v>0.26</v>
      </c>
      <c r="W329" s="1">
        <v>0.56999999999999995</v>
      </c>
      <c r="X329" s="1">
        <v>36022.056334000001</v>
      </c>
      <c r="Y329" s="1">
        <v>81098464.780100003</v>
      </c>
      <c r="Z329" t="str">
        <f>VLOOKUP(G329,'Code Pro'!$A$2:$B$9,2,FALSE)</f>
        <v>จ.จันทบุรี</v>
      </c>
      <c r="AA329" s="8">
        <f t="shared" si="46"/>
        <v>31628401.264239002</v>
      </c>
      <c r="AB329" s="8">
        <f t="shared" si="47"/>
        <v>42982186.333453007</v>
      </c>
      <c r="AC329" s="8">
        <f t="shared" si="48"/>
        <v>25140524.081831001</v>
      </c>
      <c r="AD329" s="8">
        <f t="shared" si="49"/>
        <v>68122710.415283993</v>
      </c>
      <c r="AE329" s="8">
        <f t="shared" si="50"/>
        <v>1051847088.1978971</v>
      </c>
      <c r="AF329" s="8">
        <f t="shared" si="51"/>
        <v>468749126.42897803</v>
      </c>
      <c r="AG329" s="8">
        <f t="shared" si="52"/>
        <v>152465113.78658798</v>
      </c>
      <c r="AH329" s="8">
        <f t="shared" si="53"/>
        <v>21085600.842826001</v>
      </c>
      <c r="AI329" s="8">
        <f t="shared" si="54"/>
        <v>46226124.924656995</v>
      </c>
    </row>
    <row r="330" spans="1:35" x14ac:dyDescent="0.55000000000000004">
      <c r="A330" s="1">
        <v>328</v>
      </c>
      <c r="B330" s="1" t="s">
        <v>20</v>
      </c>
      <c r="C330" s="1">
        <v>24</v>
      </c>
      <c r="D330" s="1">
        <v>4</v>
      </c>
      <c r="E330" s="1" t="s">
        <v>65</v>
      </c>
      <c r="F330" s="1" t="s">
        <v>66</v>
      </c>
      <c r="G330" s="1">
        <v>22</v>
      </c>
      <c r="H330" s="1">
        <v>2</v>
      </c>
      <c r="I330" s="1">
        <v>22040000</v>
      </c>
      <c r="J330" s="1">
        <v>562</v>
      </c>
      <c r="K330" s="1">
        <v>0</v>
      </c>
      <c r="L330" s="1">
        <v>13157</v>
      </c>
      <c r="M330" s="1">
        <v>12.960724000000001</v>
      </c>
      <c r="N330" s="1">
        <v>102.436325</v>
      </c>
      <c r="O330" s="1">
        <v>1.1000000000000001</v>
      </c>
      <c r="P330" s="1">
        <v>0</v>
      </c>
      <c r="Q330" s="1">
        <v>0</v>
      </c>
      <c r="R330" s="1">
        <v>0</v>
      </c>
      <c r="S330" s="1">
        <v>70.410004000000001</v>
      </c>
      <c r="T330" s="1">
        <v>12.38</v>
      </c>
      <c r="U330" s="1">
        <v>7.33</v>
      </c>
      <c r="V330" s="1">
        <v>1.6</v>
      </c>
      <c r="W330" s="1">
        <v>2.29</v>
      </c>
      <c r="X330" s="1">
        <v>36013.829049</v>
      </c>
      <c r="Y330" s="1">
        <v>81061414.938099995</v>
      </c>
      <c r="Z330" t="str">
        <f>VLOOKUP(G330,'Code Pro'!$A$2:$B$9,2,FALSE)</f>
        <v>จ.จันทบุรี</v>
      </c>
      <c r="AA330" s="8">
        <f t="shared" si="46"/>
        <v>89167556.431910008</v>
      </c>
      <c r="AB330" s="8">
        <f t="shared" si="47"/>
        <v>0</v>
      </c>
      <c r="AC330" s="8">
        <f t="shared" si="48"/>
        <v>0</v>
      </c>
      <c r="AD330" s="8">
        <f t="shared" si="49"/>
        <v>0</v>
      </c>
      <c r="AE330" s="8">
        <f t="shared" si="50"/>
        <v>5707534550.0372801</v>
      </c>
      <c r="AF330" s="8">
        <f t="shared" si="51"/>
        <v>1003540316.933678</v>
      </c>
      <c r="AG330" s="8">
        <f t="shared" si="52"/>
        <v>594180171.49627292</v>
      </c>
      <c r="AH330" s="8">
        <f t="shared" si="53"/>
        <v>129698263.90096</v>
      </c>
      <c r="AI330" s="8">
        <f t="shared" si="54"/>
        <v>185630640.208249</v>
      </c>
    </row>
    <row r="331" spans="1:35" x14ac:dyDescent="0.55000000000000004">
      <c r="A331" s="1">
        <v>329</v>
      </c>
      <c r="B331" s="1" t="s">
        <v>20</v>
      </c>
      <c r="C331" s="1">
        <v>24</v>
      </c>
      <c r="D331" s="1">
        <v>4</v>
      </c>
      <c r="E331" s="1" t="s">
        <v>65</v>
      </c>
      <c r="F331" s="1" t="s">
        <v>66</v>
      </c>
      <c r="G331" s="1">
        <v>22</v>
      </c>
      <c r="H331" s="1">
        <v>2</v>
      </c>
      <c r="I331" s="1">
        <v>22040000</v>
      </c>
      <c r="J331" s="1">
        <v>563</v>
      </c>
      <c r="K331" s="1">
        <v>0</v>
      </c>
      <c r="L331" s="1">
        <v>13156</v>
      </c>
      <c r="M331" s="1">
        <v>12.960724000000001</v>
      </c>
      <c r="N331" s="1">
        <v>102.35319</v>
      </c>
      <c r="O331" s="1">
        <v>0.75</v>
      </c>
      <c r="P331" s="1">
        <v>0.02</v>
      </c>
      <c r="Q331" s="1">
        <v>0.02</v>
      </c>
      <c r="R331" s="1">
        <v>0.11</v>
      </c>
      <c r="S331" s="1">
        <v>13.01</v>
      </c>
      <c r="T331" s="1">
        <v>27.5</v>
      </c>
      <c r="U331" s="1">
        <v>25.73</v>
      </c>
      <c r="V331" s="1">
        <v>1.74</v>
      </c>
      <c r="W331" s="1">
        <v>1.81</v>
      </c>
      <c r="X331" s="1">
        <v>36010.323850000001</v>
      </c>
      <c r="Y331" s="1">
        <v>81045644.183500007</v>
      </c>
      <c r="Z331" t="str">
        <f>VLOOKUP(G331,'Code Pro'!$A$2:$B$9,2,FALSE)</f>
        <v>จ.จันทบุรี</v>
      </c>
      <c r="AA331" s="8">
        <f t="shared" si="46"/>
        <v>60784233.137625009</v>
      </c>
      <c r="AB331" s="8">
        <f t="shared" si="47"/>
        <v>1620912.8836700001</v>
      </c>
      <c r="AC331" s="8">
        <f t="shared" si="48"/>
        <v>1620912.8836700001</v>
      </c>
      <c r="AD331" s="8">
        <f t="shared" si="49"/>
        <v>8915020.860185001</v>
      </c>
      <c r="AE331" s="8">
        <f t="shared" si="50"/>
        <v>1054403830.8273351</v>
      </c>
      <c r="AF331" s="8">
        <f t="shared" si="51"/>
        <v>2228755215.0462503</v>
      </c>
      <c r="AG331" s="8">
        <f t="shared" si="52"/>
        <v>2085304424.8414552</v>
      </c>
      <c r="AH331" s="8">
        <f t="shared" si="53"/>
        <v>141019420.87929001</v>
      </c>
      <c r="AI331" s="8">
        <f t="shared" si="54"/>
        <v>146692615.97213501</v>
      </c>
    </row>
    <row r="332" spans="1:35" x14ac:dyDescent="0.55000000000000004">
      <c r="A332" s="1">
        <v>330</v>
      </c>
      <c r="B332" s="1" t="s">
        <v>20</v>
      </c>
      <c r="C332" s="1">
        <v>24</v>
      </c>
      <c r="D332" s="1">
        <v>4</v>
      </c>
      <c r="E332" s="1" t="s">
        <v>65</v>
      </c>
      <c r="F332" s="1" t="s">
        <v>66</v>
      </c>
      <c r="G332" s="1">
        <v>22</v>
      </c>
      <c r="H332" s="1">
        <v>2</v>
      </c>
      <c r="I332" s="1">
        <v>22040000</v>
      </c>
      <c r="J332" s="1">
        <v>564</v>
      </c>
      <c r="K332" s="1">
        <v>0</v>
      </c>
      <c r="L332" s="1">
        <v>13037</v>
      </c>
      <c r="M332" s="1">
        <v>12.8797</v>
      </c>
      <c r="N332" s="1">
        <v>102.436325</v>
      </c>
      <c r="O332" s="1">
        <v>1.32</v>
      </c>
      <c r="P332" s="1">
        <v>0.05</v>
      </c>
      <c r="Q332" s="1">
        <v>0.03</v>
      </c>
      <c r="R332" s="1">
        <v>0.04</v>
      </c>
      <c r="S332" s="1">
        <v>50.459999000000003</v>
      </c>
      <c r="T332" s="1">
        <v>21.82</v>
      </c>
      <c r="U332" s="1">
        <v>5.01</v>
      </c>
      <c r="V332" s="1">
        <v>0.27</v>
      </c>
      <c r="W332" s="1">
        <v>4.5999999999999996</v>
      </c>
      <c r="X332" s="1">
        <v>36025.564615000003</v>
      </c>
      <c r="Y332" s="1">
        <v>81114254.558899999</v>
      </c>
      <c r="Z332" t="str">
        <f>VLOOKUP(G332,'Code Pro'!$A$2:$B$9,2,FALSE)</f>
        <v>จ.จันทบุรี</v>
      </c>
      <c r="AA332" s="8">
        <f t="shared" si="46"/>
        <v>107070816.017748</v>
      </c>
      <c r="AB332" s="8">
        <f t="shared" si="47"/>
        <v>4055712.7279449999</v>
      </c>
      <c r="AC332" s="8">
        <f t="shared" si="48"/>
        <v>2433427.636767</v>
      </c>
      <c r="AD332" s="8">
        <f t="shared" si="49"/>
        <v>3244570.1823559999</v>
      </c>
      <c r="AE332" s="8">
        <f t="shared" si="50"/>
        <v>4093025203.9278398</v>
      </c>
      <c r="AF332" s="8">
        <f t="shared" si="51"/>
        <v>1769913034.475198</v>
      </c>
      <c r="AG332" s="8">
        <f t="shared" si="52"/>
        <v>406382415.34008896</v>
      </c>
      <c r="AH332" s="8">
        <f t="shared" si="53"/>
        <v>21900848.730903</v>
      </c>
      <c r="AI332" s="8">
        <f t="shared" si="54"/>
        <v>373125570.97093999</v>
      </c>
    </row>
    <row r="333" spans="1:35" x14ac:dyDescent="0.55000000000000004">
      <c r="A333" s="1">
        <v>331</v>
      </c>
      <c r="B333" s="1" t="s">
        <v>20</v>
      </c>
      <c r="C333" s="1">
        <v>24</v>
      </c>
      <c r="D333" s="1">
        <v>4</v>
      </c>
      <c r="E333" s="1" t="s">
        <v>65</v>
      </c>
      <c r="F333" s="1" t="s">
        <v>66</v>
      </c>
      <c r="G333" s="1">
        <v>22</v>
      </c>
      <c r="H333" s="1">
        <v>2</v>
      </c>
      <c r="I333" s="1">
        <v>22040000</v>
      </c>
      <c r="J333" s="1">
        <v>565</v>
      </c>
      <c r="K333" s="1">
        <v>0</v>
      </c>
      <c r="L333" s="1">
        <v>12918</v>
      </c>
      <c r="M333" s="1">
        <v>12.798636999999999</v>
      </c>
      <c r="N333" s="1">
        <v>102.51946</v>
      </c>
      <c r="O333" s="1">
        <v>7.42</v>
      </c>
      <c r="P333" s="1">
        <v>0.06</v>
      </c>
      <c r="Q333" s="1">
        <v>0.02</v>
      </c>
      <c r="R333" s="1">
        <v>1.42</v>
      </c>
      <c r="S333" s="1">
        <v>13.61</v>
      </c>
      <c r="T333" s="1">
        <v>45.48</v>
      </c>
      <c r="U333" s="1">
        <v>3.18</v>
      </c>
      <c r="V333" s="1">
        <v>10.33</v>
      </c>
      <c r="W333" s="1">
        <v>1.1000000000000001</v>
      </c>
      <c r="X333" s="1">
        <v>30157.614643000001</v>
      </c>
      <c r="Y333" s="1">
        <v>48088329.523900002</v>
      </c>
      <c r="Z333" t="str">
        <f>VLOOKUP(G333,'Code Pro'!$A$2:$B$9,2,FALSE)</f>
        <v>จ.จันทบุรี</v>
      </c>
      <c r="AA333" s="8">
        <f t="shared" si="46"/>
        <v>356815405.06733799</v>
      </c>
      <c r="AB333" s="8">
        <f t="shared" si="47"/>
        <v>2885299.7714340002</v>
      </c>
      <c r="AC333" s="8">
        <f t="shared" si="48"/>
        <v>961766.59047800011</v>
      </c>
      <c r="AD333" s="8">
        <f t="shared" si="49"/>
        <v>68285427.923938006</v>
      </c>
      <c r="AE333" s="8">
        <f t="shared" si="50"/>
        <v>654482164.820279</v>
      </c>
      <c r="AF333" s="8">
        <f t="shared" si="51"/>
        <v>2187057226.7469721</v>
      </c>
      <c r="AG333" s="8">
        <f t="shared" si="52"/>
        <v>152920887.886002</v>
      </c>
      <c r="AH333" s="8">
        <f t="shared" si="53"/>
        <v>496752443.98188704</v>
      </c>
      <c r="AI333" s="8">
        <f t="shared" si="54"/>
        <v>52897162.47629001</v>
      </c>
    </row>
    <row r="334" spans="1:35" x14ac:dyDescent="0.55000000000000004">
      <c r="A334" s="1">
        <v>332</v>
      </c>
      <c r="B334" s="1" t="s">
        <v>20</v>
      </c>
      <c r="C334" s="1">
        <v>24</v>
      </c>
      <c r="D334" s="1">
        <v>4</v>
      </c>
      <c r="E334" s="1" t="s">
        <v>65</v>
      </c>
      <c r="F334" s="1" t="s">
        <v>66</v>
      </c>
      <c r="G334" s="1">
        <v>22</v>
      </c>
      <c r="H334" s="1">
        <v>2</v>
      </c>
      <c r="I334" s="1">
        <v>22040000</v>
      </c>
      <c r="J334" s="1">
        <v>566</v>
      </c>
      <c r="K334" s="1">
        <v>0</v>
      </c>
      <c r="L334" s="1">
        <v>13038</v>
      </c>
      <c r="M334" s="1">
        <v>12.8797</v>
      </c>
      <c r="N334" s="1">
        <v>102.51946</v>
      </c>
      <c r="O334" s="1">
        <v>1.24</v>
      </c>
      <c r="P334" s="1">
        <v>1.57</v>
      </c>
      <c r="Q334" s="1">
        <v>0</v>
      </c>
      <c r="R334" s="1">
        <v>0</v>
      </c>
      <c r="S334" s="1">
        <v>27.77</v>
      </c>
      <c r="T334" s="1">
        <v>18.190000999999999</v>
      </c>
      <c r="U334" s="1">
        <v>12.21</v>
      </c>
      <c r="V334" s="1">
        <v>1.42</v>
      </c>
      <c r="W334" s="1">
        <v>2.76</v>
      </c>
      <c r="X334" s="1">
        <v>27562.928629000002</v>
      </c>
      <c r="Y334" s="1">
        <v>26068460.230599999</v>
      </c>
      <c r="Z334" t="str">
        <f>VLOOKUP(G334,'Code Pro'!$A$2:$B$9,2,FALSE)</f>
        <v>จ.จันทบุรี</v>
      </c>
      <c r="AA334" s="8">
        <f t="shared" si="46"/>
        <v>32324890.685943998</v>
      </c>
      <c r="AB334" s="8">
        <f t="shared" si="47"/>
        <v>40927482.562041998</v>
      </c>
      <c r="AC334" s="8">
        <f t="shared" si="48"/>
        <v>0</v>
      </c>
      <c r="AD334" s="8">
        <f t="shared" si="49"/>
        <v>0</v>
      </c>
      <c r="AE334" s="8">
        <f t="shared" si="50"/>
        <v>723921140.60376203</v>
      </c>
      <c r="AF334" s="8">
        <f t="shared" si="51"/>
        <v>474185317.6630742</v>
      </c>
      <c r="AG334" s="8">
        <f t="shared" si="52"/>
        <v>318295899.41562599</v>
      </c>
      <c r="AH334" s="8">
        <f t="shared" si="53"/>
        <v>37017213.527451999</v>
      </c>
      <c r="AI334" s="8">
        <f t="shared" si="54"/>
        <v>71948950.236455992</v>
      </c>
    </row>
    <row r="335" spans="1:35" x14ac:dyDescent="0.55000000000000004">
      <c r="A335" s="1">
        <v>333</v>
      </c>
      <c r="B335" s="1" t="s">
        <v>20</v>
      </c>
      <c r="C335" s="1">
        <v>24</v>
      </c>
      <c r="D335" s="1">
        <v>4</v>
      </c>
      <c r="E335" s="1" t="s">
        <v>65</v>
      </c>
      <c r="F335" s="1" t="s">
        <v>66</v>
      </c>
      <c r="G335" s="1">
        <v>22</v>
      </c>
      <c r="H335" s="1">
        <v>2</v>
      </c>
      <c r="I335" s="1">
        <v>22040000</v>
      </c>
      <c r="J335" s="1">
        <v>567</v>
      </c>
      <c r="K335" s="1">
        <v>0</v>
      </c>
      <c r="L335" s="1">
        <v>13277</v>
      </c>
      <c r="M335" s="1">
        <v>13.041733000000001</v>
      </c>
      <c r="N335" s="1">
        <v>102.436325</v>
      </c>
      <c r="O335" s="1">
        <v>10.94</v>
      </c>
      <c r="P335" s="1">
        <v>5.81</v>
      </c>
      <c r="Q335" s="1">
        <v>0</v>
      </c>
      <c r="R335" s="1">
        <v>0.19</v>
      </c>
      <c r="S335" s="1">
        <v>5.07</v>
      </c>
      <c r="T335" s="1">
        <v>14.99</v>
      </c>
      <c r="U335" s="1">
        <v>12.84</v>
      </c>
      <c r="V335" s="1">
        <v>3.26</v>
      </c>
      <c r="W335" s="1">
        <v>0.36</v>
      </c>
      <c r="X335" s="1">
        <v>34453.88538</v>
      </c>
      <c r="Y335" s="1">
        <v>76899424.330699995</v>
      </c>
      <c r="Z335" t="str">
        <f>VLOOKUP(G335,'Code Pro'!$A$2:$B$9,2,FALSE)</f>
        <v>จ.จันทบุรี</v>
      </c>
      <c r="AA335" s="8">
        <f t="shared" si="46"/>
        <v>841279702.17785788</v>
      </c>
      <c r="AB335" s="8">
        <f t="shared" si="47"/>
        <v>446785655.36136693</v>
      </c>
      <c r="AC335" s="8">
        <f t="shared" si="48"/>
        <v>0</v>
      </c>
      <c r="AD335" s="8">
        <f t="shared" si="49"/>
        <v>14610890.622832999</v>
      </c>
      <c r="AE335" s="8">
        <f t="shared" si="50"/>
        <v>389880081.35664898</v>
      </c>
      <c r="AF335" s="8">
        <f t="shared" si="51"/>
        <v>1152722370.7171929</v>
      </c>
      <c r="AG335" s="8">
        <f t="shared" si="52"/>
        <v>987388608.40618789</v>
      </c>
      <c r="AH335" s="8">
        <f t="shared" si="53"/>
        <v>250692123.31808197</v>
      </c>
      <c r="AI335" s="8">
        <f t="shared" si="54"/>
        <v>27683792.759051997</v>
      </c>
    </row>
    <row r="336" spans="1:35" x14ac:dyDescent="0.55000000000000004">
      <c r="A336" s="1">
        <v>334</v>
      </c>
      <c r="B336" s="1" t="s">
        <v>20</v>
      </c>
      <c r="C336" s="1">
        <v>24</v>
      </c>
      <c r="D336" s="1">
        <v>4</v>
      </c>
      <c r="E336" s="1" t="s">
        <v>65</v>
      </c>
      <c r="F336" s="1" t="s">
        <v>66</v>
      </c>
      <c r="G336" s="1">
        <v>22</v>
      </c>
      <c r="H336" s="1">
        <v>2</v>
      </c>
      <c r="I336" s="1">
        <v>22040000</v>
      </c>
      <c r="J336" s="1">
        <v>568</v>
      </c>
      <c r="K336" s="1">
        <v>0</v>
      </c>
      <c r="L336" s="1">
        <v>13276</v>
      </c>
      <c r="M336" s="1">
        <v>13.041733000000001</v>
      </c>
      <c r="N336" s="1">
        <v>102.35319</v>
      </c>
      <c r="O336" s="1">
        <v>6.72</v>
      </c>
      <c r="P336" s="1">
        <v>6.95</v>
      </c>
      <c r="Q336" s="1">
        <v>0</v>
      </c>
      <c r="R336" s="1">
        <v>10.3</v>
      </c>
      <c r="S336" s="1">
        <v>7.3</v>
      </c>
      <c r="T336" s="1">
        <v>15.32</v>
      </c>
      <c r="U336" s="1">
        <v>34.790000999999997</v>
      </c>
      <c r="V336" s="1">
        <v>15.33</v>
      </c>
      <c r="W336" s="1">
        <v>0.42</v>
      </c>
      <c r="X336" s="1">
        <v>34928.030598999998</v>
      </c>
      <c r="Y336" s="1">
        <v>62576417.949500002</v>
      </c>
      <c r="Z336" t="str">
        <f>VLOOKUP(G336,'Code Pro'!$A$2:$B$9,2,FALSE)</f>
        <v>จ.จันทบุรี</v>
      </c>
      <c r="AA336" s="8">
        <f t="shared" si="46"/>
        <v>420513528.62063998</v>
      </c>
      <c r="AB336" s="8">
        <f t="shared" si="47"/>
        <v>434906104.74902505</v>
      </c>
      <c r="AC336" s="8">
        <f t="shared" si="48"/>
        <v>0</v>
      </c>
      <c r="AD336" s="8">
        <f t="shared" si="49"/>
        <v>644537104.87985003</v>
      </c>
      <c r="AE336" s="8">
        <f t="shared" si="50"/>
        <v>456807851.03135002</v>
      </c>
      <c r="AF336" s="8">
        <f t="shared" si="51"/>
        <v>958670722.98634005</v>
      </c>
      <c r="AG336" s="8">
        <f t="shared" si="52"/>
        <v>2177033643.0395226</v>
      </c>
      <c r="AH336" s="8">
        <f t="shared" si="53"/>
        <v>959296487.16583502</v>
      </c>
      <c r="AI336" s="8">
        <f t="shared" si="54"/>
        <v>26282095.538789999</v>
      </c>
    </row>
    <row r="337" spans="1:35" x14ac:dyDescent="0.55000000000000004">
      <c r="A337" s="1">
        <v>335</v>
      </c>
      <c r="B337" s="1" t="s">
        <v>20</v>
      </c>
      <c r="C337" s="1">
        <v>24</v>
      </c>
      <c r="D337" s="1">
        <v>4</v>
      </c>
      <c r="E337" s="1" t="s">
        <v>65</v>
      </c>
      <c r="F337" s="1" t="s">
        <v>66</v>
      </c>
      <c r="G337" s="1">
        <v>22</v>
      </c>
      <c r="H337" s="1">
        <v>2</v>
      </c>
      <c r="I337" s="1">
        <v>22040000</v>
      </c>
      <c r="J337" s="1">
        <v>620</v>
      </c>
      <c r="K337" s="1">
        <v>0</v>
      </c>
      <c r="L337" s="1">
        <v>13278</v>
      </c>
      <c r="M337" s="1">
        <v>13.041733000000001</v>
      </c>
      <c r="N337" s="1">
        <v>102.51946</v>
      </c>
      <c r="O337" s="1">
        <v>24.1</v>
      </c>
      <c r="P337" s="1">
        <v>1.47</v>
      </c>
      <c r="Q337" s="1">
        <v>0</v>
      </c>
      <c r="R337" s="1">
        <v>0</v>
      </c>
      <c r="S337" s="1">
        <v>17.700001</v>
      </c>
      <c r="T337" s="1">
        <v>5.66</v>
      </c>
      <c r="U337" s="1">
        <v>12.59</v>
      </c>
      <c r="V337" s="1">
        <v>1.48</v>
      </c>
      <c r="W337" s="1">
        <v>0.31</v>
      </c>
      <c r="X337" s="1">
        <v>18956.159198000001</v>
      </c>
      <c r="Y337" s="1">
        <v>8299340.3327700002</v>
      </c>
      <c r="Z337" t="str">
        <f>VLOOKUP(G337,'Code Pro'!$A$2:$B$9,2,FALSE)</f>
        <v>จ.จันทบุรี</v>
      </c>
      <c r="AA337" s="8">
        <f t="shared" si="46"/>
        <v>200014102.019757</v>
      </c>
      <c r="AB337" s="8">
        <f t="shared" si="47"/>
        <v>12200030.289171901</v>
      </c>
      <c r="AC337" s="8">
        <f t="shared" si="48"/>
        <v>0</v>
      </c>
      <c r="AD337" s="8">
        <f t="shared" si="49"/>
        <v>0</v>
      </c>
      <c r="AE337" s="8">
        <f t="shared" si="50"/>
        <v>146898332.18936935</v>
      </c>
      <c r="AF337" s="8">
        <f t="shared" si="51"/>
        <v>46974266.2834782</v>
      </c>
      <c r="AG337" s="8">
        <f t="shared" si="52"/>
        <v>104488694.7895743</v>
      </c>
      <c r="AH337" s="8">
        <f t="shared" si="53"/>
        <v>12283023.6924996</v>
      </c>
      <c r="AI337" s="8">
        <f t="shared" si="54"/>
        <v>2572795.5031587002</v>
      </c>
    </row>
    <row r="338" spans="1:35" x14ac:dyDescent="0.55000000000000004">
      <c r="A338" s="1">
        <v>336</v>
      </c>
      <c r="B338" s="1" t="s">
        <v>20</v>
      </c>
      <c r="C338" s="1">
        <v>24</v>
      </c>
      <c r="D338" s="1">
        <v>4</v>
      </c>
      <c r="E338" s="1" t="s">
        <v>65</v>
      </c>
      <c r="F338" s="1" t="s">
        <v>66</v>
      </c>
      <c r="G338" s="1">
        <v>22</v>
      </c>
      <c r="H338" s="1">
        <v>2</v>
      </c>
      <c r="I338" s="1">
        <v>22040000</v>
      </c>
      <c r="J338" s="1">
        <v>621</v>
      </c>
      <c r="K338" s="1">
        <v>0</v>
      </c>
      <c r="L338" s="1">
        <v>13158</v>
      </c>
      <c r="M338" s="1">
        <v>12.960724000000001</v>
      </c>
      <c r="N338" s="1">
        <v>102.51946</v>
      </c>
      <c r="O338" s="1">
        <v>0.04</v>
      </c>
      <c r="P338" s="1">
        <v>2.16</v>
      </c>
      <c r="Q338" s="1">
        <v>0</v>
      </c>
      <c r="R338" s="1">
        <v>0</v>
      </c>
      <c r="S338" s="1">
        <v>54.150002000000001</v>
      </c>
      <c r="T338" s="1">
        <v>2.8</v>
      </c>
      <c r="U338" s="1">
        <v>12.11</v>
      </c>
      <c r="V338" s="1">
        <v>2.42</v>
      </c>
      <c r="W338" s="1">
        <v>1.77</v>
      </c>
      <c r="X338" s="1">
        <v>34125.949954000003</v>
      </c>
      <c r="Y338" s="1">
        <v>18144283.083799999</v>
      </c>
      <c r="Z338" t="str">
        <f>VLOOKUP(G338,'Code Pro'!$A$2:$B$9,2,FALSE)</f>
        <v>จ.จันทบุรี</v>
      </c>
      <c r="AA338" s="8">
        <f t="shared" si="46"/>
        <v>725771.32335199998</v>
      </c>
      <c r="AB338" s="8">
        <f t="shared" si="47"/>
        <v>39191651.461007997</v>
      </c>
      <c r="AC338" s="8">
        <f t="shared" si="48"/>
        <v>0</v>
      </c>
      <c r="AD338" s="8">
        <f t="shared" si="49"/>
        <v>0</v>
      </c>
      <c r="AE338" s="8">
        <f t="shared" si="50"/>
        <v>982512965.27633619</v>
      </c>
      <c r="AF338" s="8">
        <f t="shared" si="51"/>
        <v>50803992.634639993</v>
      </c>
      <c r="AG338" s="8">
        <f t="shared" si="52"/>
        <v>219727268.14481798</v>
      </c>
      <c r="AH338" s="8">
        <f t="shared" si="53"/>
        <v>43909165.062795997</v>
      </c>
      <c r="AI338" s="8">
        <f t="shared" si="54"/>
        <v>32115381.058325998</v>
      </c>
    </row>
    <row r="339" spans="1:35" x14ac:dyDescent="0.55000000000000004">
      <c r="A339" s="1">
        <v>337</v>
      </c>
      <c r="B339" s="1" t="s">
        <v>20</v>
      </c>
      <c r="C339" s="1">
        <v>24</v>
      </c>
      <c r="D339" s="1">
        <v>4</v>
      </c>
      <c r="E339" s="1" t="s">
        <v>65</v>
      </c>
      <c r="F339" s="1" t="s">
        <v>66</v>
      </c>
      <c r="G339" s="1">
        <v>22</v>
      </c>
      <c r="H339" s="1">
        <v>2</v>
      </c>
      <c r="I339" s="1">
        <v>22040000</v>
      </c>
      <c r="J339" s="1">
        <v>994</v>
      </c>
      <c r="K339" s="1">
        <v>0</v>
      </c>
      <c r="L339" s="1">
        <v>13396</v>
      </c>
      <c r="M339" s="1">
        <v>13.122719</v>
      </c>
      <c r="N339" s="1">
        <v>102.35319</v>
      </c>
      <c r="O339" s="1">
        <v>18.91</v>
      </c>
      <c r="P339" s="1">
        <v>8.7200000000000006</v>
      </c>
      <c r="Q339" s="1">
        <v>0</v>
      </c>
      <c r="R339" s="1">
        <v>0.27</v>
      </c>
      <c r="S339" s="1">
        <v>35.200001</v>
      </c>
      <c r="T339" s="1">
        <v>6.6</v>
      </c>
      <c r="U339" s="1">
        <v>15.72</v>
      </c>
      <c r="V339" s="1">
        <v>14.57</v>
      </c>
      <c r="W339" s="1">
        <v>2.44</v>
      </c>
      <c r="X339" s="1">
        <v>29883.764080000001</v>
      </c>
      <c r="Y339" s="1">
        <v>35921010.137100004</v>
      </c>
      <c r="Z339" t="str">
        <f>VLOOKUP(G339,'Code Pro'!$A$2:$B$9,2,FALSE)</f>
        <v>จ.จันทบุรี</v>
      </c>
      <c r="AA339" s="8">
        <f t="shared" si="46"/>
        <v>679266301.69256103</v>
      </c>
      <c r="AB339" s="8">
        <f t="shared" si="47"/>
        <v>313231208.39551204</v>
      </c>
      <c r="AC339" s="8">
        <f t="shared" si="48"/>
        <v>0</v>
      </c>
      <c r="AD339" s="8">
        <f t="shared" si="49"/>
        <v>9698672.737017002</v>
      </c>
      <c r="AE339" s="8">
        <f t="shared" si="50"/>
        <v>1264419592.7469304</v>
      </c>
      <c r="AF339" s="8">
        <f t="shared" si="51"/>
        <v>237078666.90486002</v>
      </c>
      <c r="AG339" s="8">
        <f t="shared" si="52"/>
        <v>564678279.35521209</v>
      </c>
      <c r="AH339" s="8">
        <f t="shared" si="53"/>
        <v>523369117.69754708</v>
      </c>
      <c r="AI339" s="8">
        <f t="shared" si="54"/>
        <v>87647264.734524012</v>
      </c>
    </row>
    <row r="340" spans="1:35" x14ac:dyDescent="0.55000000000000004">
      <c r="A340" s="1">
        <v>338</v>
      </c>
      <c r="B340" s="1" t="s">
        <v>20</v>
      </c>
      <c r="C340" s="1">
        <v>24</v>
      </c>
      <c r="D340" s="1">
        <v>4</v>
      </c>
      <c r="E340" s="1" t="s">
        <v>65</v>
      </c>
      <c r="F340" s="1" t="s">
        <v>66</v>
      </c>
      <c r="G340" s="1">
        <v>22</v>
      </c>
      <c r="H340" s="1">
        <v>2</v>
      </c>
      <c r="I340" s="1">
        <v>22040000</v>
      </c>
      <c r="J340" s="1">
        <v>1003</v>
      </c>
      <c r="K340" s="1">
        <v>0</v>
      </c>
      <c r="L340" s="1">
        <v>13397</v>
      </c>
      <c r="M340" s="1">
        <v>13.122719</v>
      </c>
      <c r="N340" s="1">
        <v>102.436325</v>
      </c>
      <c r="O340" s="1">
        <v>56.459999000000003</v>
      </c>
      <c r="P340" s="1">
        <v>6.86</v>
      </c>
      <c r="Q340" s="1">
        <v>0</v>
      </c>
      <c r="R340" s="1">
        <v>1.96</v>
      </c>
      <c r="S340" s="1">
        <v>1.64</v>
      </c>
      <c r="T340" s="1">
        <v>4.45</v>
      </c>
      <c r="U340" s="1">
        <v>15.14</v>
      </c>
      <c r="V340" s="1">
        <v>10.38</v>
      </c>
      <c r="W340" s="1">
        <v>7.0000000000000007E-2</v>
      </c>
      <c r="X340" s="1">
        <v>30819.896765000001</v>
      </c>
      <c r="Y340" s="1">
        <v>24722230.444200002</v>
      </c>
      <c r="Z340" t="str">
        <f>VLOOKUP(G340,'Code Pro'!$A$2:$B$9,2,FALSE)</f>
        <v>จ.จันทบุรี</v>
      </c>
      <c r="AA340" s="8">
        <f t="shared" si="46"/>
        <v>1395817106.1573017</v>
      </c>
      <c r="AB340" s="8">
        <f t="shared" si="47"/>
        <v>169594500.84721202</v>
      </c>
      <c r="AC340" s="8">
        <f t="shared" si="48"/>
        <v>0</v>
      </c>
      <c r="AD340" s="8">
        <f t="shared" si="49"/>
        <v>48455571.670632005</v>
      </c>
      <c r="AE340" s="8">
        <f t="shared" si="50"/>
        <v>40544457.928488001</v>
      </c>
      <c r="AF340" s="8">
        <f t="shared" si="51"/>
        <v>110013925.47669001</v>
      </c>
      <c r="AG340" s="8">
        <f t="shared" si="52"/>
        <v>374294568.92518806</v>
      </c>
      <c r="AH340" s="8">
        <f t="shared" si="53"/>
        <v>256616752.01079604</v>
      </c>
      <c r="AI340" s="8">
        <f t="shared" si="54"/>
        <v>1730556.1310940003</v>
      </c>
    </row>
    <row r="341" spans="1:35" x14ac:dyDescent="0.55000000000000004">
      <c r="A341" s="1">
        <v>339</v>
      </c>
      <c r="B341" s="1" t="s">
        <v>20</v>
      </c>
      <c r="C341" s="1">
        <v>25</v>
      </c>
      <c r="D341" s="1">
        <v>5</v>
      </c>
      <c r="E341" s="1" t="s">
        <v>67</v>
      </c>
      <c r="F341" s="1" t="s">
        <v>68</v>
      </c>
      <c r="G341" s="1">
        <v>22</v>
      </c>
      <c r="H341" s="1">
        <v>2</v>
      </c>
      <c r="I341" s="1">
        <v>22050000</v>
      </c>
      <c r="J341" s="1">
        <v>503</v>
      </c>
      <c r="K341" s="1">
        <v>0</v>
      </c>
      <c r="L341" s="1">
        <v>12674</v>
      </c>
      <c r="M341" s="1">
        <v>12.636443999999999</v>
      </c>
      <c r="N341" s="1">
        <v>102.18692</v>
      </c>
      <c r="O341" s="1">
        <v>1.7</v>
      </c>
      <c r="P341" s="1">
        <v>11.62</v>
      </c>
      <c r="Q341" s="1">
        <v>0.92</v>
      </c>
      <c r="R341" s="1">
        <v>3.09</v>
      </c>
      <c r="S341" s="1">
        <v>3.71</v>
      </c>
      <c r="T341" s="1">
        <v>1.9</v>
      </c>
      <c r="U341" s="1">
        <v>12.01</v>
      </c>
      <c r="V341" s="1">
        <v>4.4000000000000004</v>
      </c>
      <c r="W341" s="1">
        <v>3.28</v>
      </c>
      <c r="X341" s="1">
        <v>33963.193156000001</v>
      </c>
      <c r="Y341" s="1">
        <v>60019110.088</v>
      </c>
      <c r="Z341" t="str">
        <f>VLOOKUP(G341,'Code Pro'!$A$2:$B$9,2,FALSE)</f>
        <v>จ.จันทบุรี</v>
      </c>
      <c r="AA341" s="8">
        <f t="shared" si="46"/>
        <v>102032487.1496</v>
      </c>
      <c r="AB341" s="8">
        <f t="shared" si="47"/>
        <v>697422059.22255993</v>
      </c>
      <c r="AC341" s="8">
        <f t="shared" si="48"/>
        <v>55217581.280960001</v>
      </c>
      <c r="AD341" s="8">
        <f t="shared" si="49"/>
        <v>185459050.17192</v>
      </c>
      <c r="AE341" s="8">
        <f t="shared" si="50"/>
        <v>222670898.42648</v>
      </c>
      <c r="AF341" s="8">
        <f t="shared" si="51"/>
        <v>114036309.1672</v>
      </c>
      <c r="AG341" s="8">
        <f t="shared" si="52"/>
        <v>720829512.15688002</v>
      </c>
      <c r="AH341" s="8">
        <f t="shared" si="53"/>
        <v>264084084.38720003</v>
      </c>
      <c r="AI341" s="8">
        <f t="shared" si="54"/>
        <v>196862681.08863997</v>
      </c>
    </row>
    <row r="342" spans="1:35" x14ac:dyDescent="0.55000000000000004">
      <c r="A342" s="1">
        <v>340</v>
      </c>
      <c r="B342" s="1" t="s">
        <v>20</v>
      </c>
      <c r="C342" s="1">
        <v>25</v>
      </c>
      <c r="D342" s="1">
        <v>5</v>
      </c>
      <c r="E342" s="1" t="s">
        <v>67</v>
      </c>
      <c r="F342" s="1" t="s">
        <v>68</v>
      </c>
      <c r="G342" s="1">
        <v>22</v>
      </c>
      <c r="H342" s="1">
        <v>2</v>
      </c>
      <c r="I342" s="1">
        <v>22050000</v>
      </c>
      <c r="J342" s="1">
        <v>504</v>
      </c>
      <c r="K342" s="1">
        <v>0</v>
      </c>
      <c r="L342" s="1">
        <v>12673</v>
      </c>
      <c r="M342" s="1">
        <v>12.636443999999999</v>
      </c>
      <c r="N342" s="1">
        <v>102.10378</v>
      </c>
      <c r="O342" s="1">
        <v>2.1</v>
      </c>
      <c r="P342" s="1">
        <v>0.18</v>
      </c>
      <c r="Q342" s="1">
        <v>0</v>
      </c>
      <c r="R342" s="1">
        <v>5.64</v>
      </c>
      <c r="S342" s="1">
        <v>3.69</v>
      </c>
      <c r="T342" s="1">
        <v>4.9400000000000004</v>
      </c>
      <c r="U342" s="1">
        <v>17.719999000000001</v>
      </c>
      <c r="V342" s="1">
        <v>18.59</v>
      </c>
      <c r="W342" s="1">
        <v>21.59</v>
      </c>
      <c r="X342" s="1">
        <v>11814.467181</v>
      </c>
      <c r="Y342" s="1">
        <v>1422344.7281899999</v>
      </c>
      <c r="Z342" t="str">
        <f>VLOOKUP(G342,'Code Pro'!$A$2:$B$9,2,FALSE)</f>
        <v>จ.จันทบุรี</v>
      </c>
      <c r="AA342" s="8">
        <f t="shared" si="46"/>
        <v>2986923.9291989999</v>
      </c>
      <c r="AB342" s="8">
        <f t="shared" si="47"/>
        <v>256022.05107419999</v>
      </c>
      <c r="AC342" s="8">
        <f t="shared" si="48"/>
        <v>0</v>
      </c>
      <c r="AD342" s="8">
        <f t="shared" si="49"/>
        <v>8022024.2669915995</v>
      </c>
      <c r="AE342" s="8">
        <f t="shared" si="50"/>
        <v>5248452.0470210994</v>
      </c>
      <c r="AF342" s="8">
        <f t="shared" si="51"/>
        <v>7026382.9572585998</v>
      </c>
      <c r="AG342" s="8">
        <f t="shared" si="52"/>
        <v>25203947.161182072</v>
      </c>
      <c r="AH342" s="8">
        <f t="shared" si="53"/>
        <v>26441388.4970521</v>
      </c>
      <c r="AI342" s="8">
        <f t="shared" si="54"/>
        <v>30708422.681622099</v>
      </c>
    </row>
    <row r="343" spans="1:35" x14ac:dyDescent="0.55000000000000004">
      <c r="A343" s="1">
        <v>341</v>
      </c>
      <c r="B343" s="1" t="s">
        <v>20</v>
      </c>
      <c r="C343" s="1">
        <v>25</v>
      </c>
      <c r="D343" s="1">
        <v>5</v>
      </c>
      <c r="E343" s="1" t="s">
        <v>67</v>
      </c>
      <c r="F343" s="1" t="s">
        <v>68</v>
      </c>
      <c r="G343" s="1">
        <v>22</v>
      </c>
      <c r="H343" s="1">
        <v>2</v>
      </c>
      <c r="I343" s="1">
        <v>22050000</v>
      </c>
      <c r="J343" s="1">
        <v>505</v>
      </c>
      <c r="K343" s="1">
        <v>0</v>
      </c>
      <c r="L343" s="1">
        <v>12554</v>
      </c>
      <c r="M343" s="1">
        <v>12.555313</v>
      </c>
      <c r="N343" s="1">
        <v>102.18692</v>
      </c>
      <c r="O343" s="1">
        <v>2.08</v>
      </c>
      <c r="P343" s="1">
        <v>0.11</v>
      </c>
      <c r="Q343" s="1">
        <v>0.01</v>
      </c>
      <c r="R343" s="1">
        <v>3.34</v>
      </c>
      <c r="S343" s="1">
        <v>0.43</v>
      </c>
      <c r="T343" s="1">
        <v>1.39</v>
      </c>
      <c r="U343" s="1">
        <v>12.93</v>
      </c>
      <c r="V343" s="1">
        <v>9.9700000000000006</v>
      </c>
      <c r="W343" s="1">
        <v>8.17</v>
      </c>
      <c r="X343" s="1">
        <v>3019.619029</v>
      </c>
      <c r="Y343" s="1">
        <v>492495.23459299997</v>
      </c>
      <c r="Z343" t="str">
        <f>VLOOKUP(G343,'Code Pro'!$A$2:$B$9,2,FALSE)</f>
        <v>จ.จันทบุรี</v>
      </c>
      <c r="AA343" s="8">
        <f t="shared" si="46"/>
        <v>1024390.08795344</v>
      </c>
      <c r="AB343" s="8">
        <f t="shared" si="47"/>
        <v>54174.475805229995</v>
      </c>
      <c r="AC343" s="8">
        <f t="shared" si="48"/>
        <v>4924.9523459299999</v>
      </c>
      <c r="AD343" s="8">
        <f t="shared" si="49"/>
        <v>1644934.0835406198</v>
      </c>
      <c r="AE343" s="8">
        <f t="shared" si="50"/>
        <v>211772.95087499</v>
      </c>
      <c r="AF343" s="8">
        <f t="shared" si="51"/>
        <v>684568.37608426996</v>
      </c>
      <c r="AG343" s="8">
        <f t="shared" si="52"/>
        <v>6367963.3832874894</v>
      </c>
      <c r="AH343" s="8">
        <f t="shared" si="53"/>
        <v>4910177.4888922097</v>
      </c>
      <c r="AI343" s="8">
        <f t="shared" si="54"/>
        <v>4023686.0666248095</v>
      </c>
    </row>
    <row r="344" spans="1:35" x14ac:dyDescent="0.55000000000000004">
      <c r="A344" s="1">
        <v>342</v>
      </c>
      <c r="B344" s="1" t="s">
        <v>20</v>
      </c>
      <c r="C344" s="1">
        <v>25</v>
      </c>
      <c r="D344" s="1">
        <v>5</v>
      </c>
      <c r="E344" s="1" t="s">
        <v>67</v>
      </c>
      <c r="F344" s="1" t="s">
        <v>68</v>
      </c>
      <c r="G344" s="1">
        <v>22</v>
      </c>
      <c r="H344" s="1">
        <v>2</v>
      </c>
      <c r="I344" s="1">
        <v>22050000</v>
      </c>
      <c r="J344" s="1">
        <v>511</v>
      </c>
      <c r="K344" s="1">
        <v>0</v>
      </c>
      <c r="L344" s="1">
        <v>12675</v>
      </c>
      <c r="M344" s="1">
        <v>12.636443999999999</v>
      </c>
      <c r="N344" s="1">
        <v>102.27006</v>
      </c>
      <c r="O344" s="1">
        <v>22.74</v>
      </c>
      <c r="P344" s="1">
        <v>0.09</v>
      </c>
      <c r="Q344" s="1">
        <v>0.17</v>
      </c>
      <c r="R344" s="1">
        <v>0.82</v>
      </c>
      <c r="S344" s="1">
        <v>1.5</v>
      </c>
      <c r="T344" s="1">
        <v>2.41</v>
      </c>
      <c r="U344" s="1">
        <v>8.68</v>
      </c>
      <c r="V344" s="1">
        <v>4.07</v>
      </c>
      <c r="W344" s="1">
        <v>5.54</v>
      </c>
      <c r="X344" s="1">
        <v>30655.405836999998</v>
      </c>
      <c r="Y344" s="1">
        <v>36796130.346199997</v>
      </c>
      <c r="Z344" t="str">
        <f>VLOOKUP(G344,'Code Pro'!$A$2:$B$9,2,FALSE)</f>
        <v>จ.จันทบุรี</v>
      </c>
      <c r="AA344" s="8">
        <f t="shared" si="46"/>
        <v>836744004.07258785</v>
      </c>
      <c r="AB344" s="8">
        <f t="shared" si="47"/>
        <v>3311651.7311579995</v>
      </c>
      <c r="AC344" s="8">
        <f t="shared" si="48"/>
        <v>6255342.1588540003</v>
      </c>
      <c r="AD344" s="8">
        <f t="shared" si="49"/>
        <v>30172826.883883994</v>
      </c>
      <c r="AE344" s="8">
        <f t="shared" si="50"/>
        <v>55194195.519299999</v>
      </c>
      <c r="AF344" s="8">
        <f t="shared" si="51"/>
        <v>88678674.134342</v>
      </c>
      <c r="AG344" s="8">
        <f t="shared" si="52"/>
        <v>319390411.40501595</v>
      </c>
      <c r="AH344" s="8">
        <f t="shared" si="53"/>
        <v>149760250.50903401</v>
      </c>
      <c r="AI344" s="8">
        <f t="shared" si="54"/>
        <v>203850562.117948</v>
      </c>
    </row>
    <row r="345" spans="1:35" x14ac:dyDescent="0.55000000000000004">
      <c r="A345" s="1">
        <v>343</v>
      </c>
      <c r="B345" s="1" t="s">
        <v>20</v>
      </c>
      <c r="C345" s="1">
        <v>25</v>
      </c>
      <c r="D345" s="1">
        <v>5</v>
      </c>
      <c r="E345" s="1" t="s">
        <v>67</v>
      </c>
      <c r="F345" s="1" t="s">
        <v>68</v>
      </c>
      <c r="G345" s="1">
        <v>22</v>
      </c>
      <c r="H345" s="1">
        <v>2</v>
      </c>
      <c r="I345" s="1">
        <v>22050000</v>
      </c>
      <c r="J345" s="1">
        <v>538</v>
      </c>
      <c r="K345" s="1">
        <v>0</v>
      </c>
      <c r="L345" s="1">
        <v>12793</v>
      </c>
      <c r="M345" s="1">
        <v>12.717560000000001</v>
      </c>
      <c r="N345" s="1">
        <v>102.10378</v>
      </c>
      <c r="O345" s="1">
        <v>23.540001</v>
      </c>
      <c r="P345" s="1">
        <v>0.01</v>
      </c>
      <c r="Q345" s="1">
        <v>0.01</v>
      </c>
      <c r="R345" s="1">
        <v>2.27</v>
      </c>
      <c r="S345" s="1">
        <v>0.73</v>
      </c>
      <c r="T345" s="1">
        <v>7.64</v>
      </c>
      <c r="U345" s="1">
        <v>4.29</v>
      </c>
      <c r="V345" s="1">
        <v>0.47</v>
      </c>
      <c r="W345" s="1">
        <v>4.49</v>
      </c>
      <c r="X345" s="1">
        <v>24254.188429000002</v>
      </c>
      <c r="Y345" s="1">
        <v>21328113.107299998</v>
      </c>
      <c r="Z345" t="str">
        <f>VLOOKUP(G345,'Code Pro'!$A$2:$B$9,2,FALSE)</f>
        <v>จ.จันทบุรี</v>
      </c>
      <c r="AA345" s="8">
        <f t="shared" si="46"/>
        <v>502063803.87395507</v>
      </c>
      <c r="AB345" s="8">
        <f t="shared" si="47"/>
        <v>213281.131073</v>
      </c>
      <c r="AC345" s="8">
        <f t="shared" si="48"/>
        <v>213281.131073</v>
      </c>
      <c r="AD345" s="8">
        <f t="shared" si="49"/>
        <v>48414816.753570996</v>
      </c>
      <c r="AE345" s="8">
        <f t="shared" si="50"/>
        <v>15569522.568328999</v>
      </c>
      <c r="AF345" s="8">
        <f t="shared" si="51"/>
        <v>162946784.13977197</v>
      </c>
      <c r="AG345" s="8">
        <f t="shared" si="52"/>
        <v>91497605.230316997</v>
      </c>
      <c r="AH345" s="8">
        <f t="shared" si="53"/>
        <v>10024213.160430999</v>
      </c>
      <c r="AI345" s="8">
        <f t="shared" si="54"/>
        <v>95763227.851777002</v>
      </c>
    </row>
    <row r="346" spans="1:35" x14ac:dyDescent="0.55000000000000004">
      <c r="A346" s="1">
        <v>344</v>
      </c>
      <c r="B346" s="1" t="s">
        <v>20</v>
      </c>
      <c r="C346" s="1">
        <v>25</v>
      </c>
      <c r="D346" s="1">
        <v>5</v>
      </c>
      <c r="E346" s="1" t="s">
        <v>67</v>
      </c>
      <c r="F346" s="1" t="s">
        <v>68</v>
      </c>
      <c r="G346" s="1">
        <v>22</v>
      </c>
      <c r="H346" s="1">
        <v>2</v>
      </c>
      <c r="I346" s="1">
        <v>22050000</v>
      </c>
      <c r="J346" s="1">
        <v>539</v>
      </c>
      <c r="K346" s="1">
        <v>0</v>
      </c>
      <c r="L346" s="1">
        <v>12913</v>
      </c>
      <c r="M346" s="1">
        <v>12.798636999999999</v>
      </c>
      <c r="N346" s="1">
        <v>102.10378</v>
      </c>
      <c r="O346" s="1">
        <v>75.379997000000003</v>
      </c>
      <c r="P346" s="1">
        <v>0.02</v>
      </c>
      <c r="Q346" s="1">
        <v>0.08</v>
      </c>
      <c r="R346" s="1">
        <v>0.06</v>
      </c>
      <c r="S346" s="1">
        <v>18.940000999999999</v>
      </c>
      <c r="T346" s="1">
        <v>4.8</v>
      </c>
      <c r="U346" s="1">
        <v>6.71</v>
      </c>
      <c r="V346" s="1">
        <v>2.0299999999999998</v>
      </c>
      <c r="W346" s="1">
        <v>4.7300000000000004</v>
      </c>
      <c r="X346" s="1">
        <v>9502.3994989999992</v>
      </c>
      <c r="Y346" s="1">
        <v>5583885.7351399995</v>
      </c>
      <c r="Z346" t="str">
        <f>VLOOKUP(G346,'Code Pro'!$A$2:$B$9,2,FALSE)</f>
        <v>จ.จันทบุรี</v>
      </c>
      <c r="AA346" s="8">
        <f t="shared" si="46"/>
        <v>420913289.96319598</v>
      </c>
      <c r="AB346" s="8">
        <f t="shared" si="47"/>
        <v>111677.71470279999</v>
      </c>
      <c r="AC346" s="8">
        <f t="shared" si="48"/>
        <v>446710.85881119996</v>
      </c>
      <c r="AD346" s="8">
        <f t="shared" si="49"/>
        <v>335033.14410839998</v>
      </c>
      <c r="AE346" s="8">
        <f t="shared" si="50"/>
        <v>105758801.40743732</v>
      </c>
      <c r="AF346" s="8">
        <f t="shared" si="51"/>
        <v>26802651.528671999</v>
      </c>
      <c r="AG346" s="8">
        <f t="shared" si="52"/>
        <v>37467873.282789394</v>
      </c>
      <c r="AH346" s="8">
        <f t="shared" si="53"/>
        <v>11335288.042334197</v>
      </c>
      <c r="AI346" s="8">
        <f t="shared" si="54"/>
        <v>26411779.527212199</v>
      </c>
    </row>
    <row r="347" spans="1:35" x14ac:dyDescent="0.55000000000000004">
      <c r="A347" s="1">
        <v>345</v>
      </c>
      <c r="B347" s="1" t="s">
        <v>20</v>
      </c>
      <c r="C347" s="1">
        <v>25</v>
      </c>
      <c r="D347" s="1">
        <v>5</v>
      </c>
      <c r="E347" s="1" t="s">
        <v>67</v>
      </c>
      <c r="F347" s="1" t="s">
        <v>68</v>
      </c>
      <c r="G347" s="1">
        <v>22</v>
      </c>
      <c r="H347" s="1">
        <v>2</v>
      </c>
      <c r="I347" s="1">
        <v>22050000</v>
      </c>
      <c r="J347" s="1">
        <v>540</v>
      </c>
      <c r="K347" s="1">
        <v>0</v>
      </c>
      <c r="L347" s="1">
        <v>12794</v>
      </c>
      <c r="M347" s="1">
        <v>12.717560000000001</v>
      </c>
      <c r="N347" s="1">
        <v>102.18692</v>
      </c>
      <c r="O347" s="1">
        <v>13.23</v>
      </c>
      <c r="P347" s="1">
        <v>0.28999999999999998</v>
      </c>
      <c r="Q347" s="1">
        <v>0.18</v>
      </c>
      <c r="R347" s="1">
        <v>5.19</v>
      </c>
      <c r="S347" s="1">
        <v>10.76</v>
      </c>
      <c r="T347" s="1">
        <v>7.9</v>
      </c>
      <c r="U347" s="1">
        <v>9.48</v>
      </c>
      <c r="V347" s="1">
        <v>0.23</v>
      </c>
      <c r="W347" s="1">
        <v>6.29</v>
      </c>
      <c r="X347" s="1">
        <v>36041.107451000003</v>
      </c>
      <c r="Y347" s="1">
        <v>81184246.467700005</v>
      </c>
      <c r="Z347" t="str">
        <f>VLOOKUP(G347,'Code Pro'!$A$2:$B$9,2,FALSE)</f>
        <v>จ.จันทบุรี</v>
      </c>
      <c r="AA347" s="8">
        <f t="shared" si="46"/>
        <v>1074067580.7676711</v>
      </c>
      <c r="AB347" s="8">
        <f t="shared" si="47"/>
        <v>23543431.475632999</v>
      </c>
      <c r="AC347" s="8">
        <f t="shared" si="48"/>
        <v>14613164.364186</v>
      </c>
      <c r="AD347" s="8">
        <f t="shared" si="49"/>
        <v>421346239.16736305</v>
      </c>
      <c r="AE347" s="8">
        <f t="shared" si="50"/>
        <v>873542491.99245203</v>
      </c>
      <c r="AF347" s="8">
        <f t="shared" si="51"/>
        <v>641355547.09483004</v>
      </c>
      <c r="AG347" s="8">
        <f t="shared" si="52"/>
        <v>769626656.51379609</v>
      </c>
      <c r="AH347" s="8">
        <f t="shared" si="53"/>
        <v>18672376.687571</v>
      </c>
      <c r="AI347" s="8">
        <f t="shared" si="54"/>
        <v>510648910.28183305</v>
      </c>
    </row>
    <row r="348" spans="1:35" x14ac:dyDescent="0.55000000000000004">
      <c r="A348" s="1">
        <v>346</v>
      </c>
      <c r="B348" s="1" t="s">
        <v>20</v>
      </c>
      <c r="C348" s="1">
        <v>25</v>
      </c>
      <c r="D348" s="1">
        <v>5</v>
      </c>
      <c r="E348" s="1" t="s">
        <v>67</v>
      </c>
      <c r="F348" s="1" t="s">
        <v>68</v>
      </c>
      <c r="G348" s="1">
        <v>22</v>
      </c>
      <c r="H348" s="1">
        <v>2</v>
      </c>
      <c r="I348" s="1">
        <v>22050000</v>
      </c>
      <c r="J348" s="1">
        <v>545</v>
      </c>
      <c r="K348" s="1">
        <v>0</v>
      </c>
      <c r="L348" s="1">
        <v>12914</v>
      </c>
      <c r="M348" s="1">
        <v>12.798636999999999</v>
      </c>
      <c r="N348" s="1">
        <v>102.18692</v>
      </c>
      <c r="O348" s="1">
        <v>32.5</v>
      </c>
      <c r="P348" s="1">
        <v>0.41</v>
      </c>
      <c r="Q348" s="1">
        <v>0.22</v>
      </c>
      <c r="R348" s="1">
        <v>0.19</v>
      </c>
      <c r="S348" s="1">
        <v>39.840000000000003</v>
      </c>
      <c r="T348" s="1">
        <v>12.78</v>
      </c>
      <c r="U348" s="1">
        <v>1.88</v>
      </c>
      <c r="V348" s="1">
        <v>0.03</v>
      </c>
      <c r="W348" s="1">
        <v>1.53</v>
      </c>
      <c r="X348" s="1">
        <v>33290.610956999997</v>
      </c>
      <c r="Y348" s="1">
        <v>57664129.934299998</v>
      </c>
      <c r="Z348" t="str">
        <f>VLOOKUP(G348,'Code Pro'!$A$2:$B$9,2,FALSE)</f>
        <v>จ.จันทบุรี</v>
      </c>
      <c r="AA348" s="8">
        <f t="shared" si="46"/>
        <v>1874084222.8647499</v>
      </c>
      <c r="AB348" s="8">
        <f t="shared" si="47"/>
        <v>23642293.273062997</v>
      </c>
      <c r="AC348" s="8">
        <f t="shared" si="48"/>
        <v>12686108.585546</v>
      </c>
      <c r="AD348" s="8">
        <f t="shared" si="49"/>
        <v>10956184.687517</v>
      </c>
      <c r="AE348" s="8">
        <f t="shared" si="50"/>
        <v>2297338936.5825119</v>
      </c>
      <c r="AF348" s="8">
        <f t="shared" si="51"/>
        <v>736947580.56035399</v>
      </c>
      <c r="AG348" s="8">
        <f t="shared" si="52"/>
        <v>108408564.27648398</v>
      </c>
      <c r="AH348" s="8">
        <f t="shared" si="53"/>
        <v>1729923.8980289998</v>
      </c>
      <c r="AI348" s="8">
        <f t="shared" si="54"/>
        <v>88226118.799478993</v>
      </c>
    </row>
    <row r="349" spans="1:35" x14ac:dyDescent="0.55000000000000004">
      <c r="A349" s="1">
        <v>347</v>
      </c>
      <c r="B349" s="1" t="s">
        <v>20</v>
      </c>
      <c r="C349" s="1">
        <v>25</v>
      </c>
      <c r="D349" s="1">
        <v>5</v>
      </c>
      <c r="E349" s="1" t="s">
        <v>67</v>
      </c>
      <c r="F349" s="1" t="s">
        <v>68</v>
      </c>
      <c r="G349" s="1">
        <v>22</v>
      </c>
      <c r="H349" s="1">
        <v>2</v>
      </c>
      <c r="I349" s="1">
        <v>22050000</v>
      </c>
      <c r="J349" s="1">
        <v>548</v>
      </c>
      <c r="K349" s="1">
        <v>0</v>
      </c>
      <c r="L349" s="1">
        <v>12795</v>
      </c>
      <c r="M349" s="1">
        <v>12.717560000000001</v>
      </c>
      <c r="N349" s="1">
        <v>102.27006</v>
      </c>
      <c r="O349" s="1">
        <v>0.82</v>
      </c>
      <c r="P349" s="1">
        <v>3.1</v>
      </c>
      <c r="Q349" s="1">
        <v>15.02</v>
      </c>
      <c r="R349" s="1">
        <v>0.74</v>
      </c>
      <c r="S349" s="1">
        <v>9.0299999999999994</v>
      </c>
      <c r="T349" s="1">
        <v>23.219999000000001</v>
      </c>
      <c r="U349" s="1">
        <v>5.01</v>
      </c>
      <c r="V349" s="1">
        <v>2.96</v>
      </c>
      <c r="W349" s="1">
        <v>2.23</v>
      </c>
      <c r="X349" s="1">
        <v>40328.707944000002</v>
      </c>
      <c r="Y349" s="1">
        <v>65825677.303599998</v>
      </c>
      <c r="Z349" t="str">
        <f>VLOOKUP(G349,'Code Pro'!$A$2:$B$9,2,FALSE)</f>
        <v>จ.จันทบุรี</v>
      </c>
      <c r="AA349" s="8">
        <f t="shared" si="46"/>
        <v>53977055.388951994</v>
      </c>
      <c r="AB349" s="8">
        <f t="shared" si="47"/>
        <v>204059599.64116001</v>
      </c>
      <c r="AC349" s="8">
        <f t="shared" si="48"/>
        <v>988701673.10007191</v>
      </c>
      <c r="AD349" s="8">
        <f t="shared" si="49"/>
        <v>48711001.204663999</v>
      </c>
      <c r="AE349" s="8">
        <f t="shared" si="50"/>
        <v>594405866.05150795</v>
      </c>
      <c r="AF349" s="8">
        <f t="shared" si="51"/>
        <v>1528472161.1639147</v>
      </c>
      <c r="AG349" s="8">
        <f t="shared" si="52"/>
        <v>329786643.29103595</v>
      </c>
      <c r="AH349" s="8">
        <f t="shared" si="53"/>
        <v>194844004.818656</v>
      </c>
      <c r="AI349" s="8">
        <f t="shared" si="54"/>
        <v>146791260.38702801</v>
      </c>
    </row>
    <row r="350" spans="1:35" x14ac:dyDescent="0.55000000000000004">
      <c r="A350" s="1">
        <v>348</v>
      </c>
      <c r="B350" s="1" t="s">
        <v>20</v>
      </c>
      <c r="C350" s="1">
        <v>25</v>
      </c>
      <c r="D350" s="1">
        <v>5</v>
      </c>
      <c r="E350" s="1" t="s">
        <v>67</v>
      </c>
      <c r="F350" s="1" t="s">
        <v>68</v>
      </c>
      <c r="G350" s="1">
        <v>22</v>
      </c>
      <c r="H350" s="1">
        <v>2</v>
      </c>
      <c r="I350" s="1">
        <v>22050000</v>
      </c>
      <c r="J350" s="1">
        <v>549</v>
      </c>
      <c r="K350" s="1">
        <v>0</v>
      </c>
      <c r="L350" s="1">
        <v>13035</v>
      </c>
      <c r="M350" s="1">
        <v>12.8797</v>
      </c>
      <c r="N350" s="1">
        <v>102.27006</v>
      </c>
      <c r="O350" s="1">
        <v>0.81</v>
      </c>
      <c r="P350" s="1">
        <v>1.24</v>
      </c>
      <c r="Q350" s="1">
        <v>0.99</v>
      </c>
      <c r="R350" s="1">
        <v>1.3</v>
      </c>
      <c r="S350" s="1">
        <v>71.360000999999997</v>
      </c>
      <c r="T350" s="1">
        <v>6.36</v>
      </c>
      <c r="U350" s="1">
        <v>5.38</v>
      </c>
      <c r="V350" s="1">
        <v>7.0000000000000007E-2</v>
      </c>
      <c r="W350" s="1">
        <v>7.0000000000000007E-2</v>
      </c>
      <c r="X350" s="1">
        <v>21198.172626</v>
      </c>
      <c r="Y350" s="1">
        <v>11994975.8873</v>
      </c>
      <c r="Z350" t="str">
        <f>VLOOKUP(G350,'Code Pro'!$A$2:$B$9,2,FALSE)</f>
        <v>จ.จันทบุรี</v>
      </c>
      <c r="AA350" s="8">
        <f t="shared" si="46"/>
        <v>9715930.4687130004</v>
      </c>
      <c r="AB350" s="8">
        <f t="shared" si="47"/>
        <v>14873770.100251999</v>
      </c>
      <c r="AC350" s="8">
        <f t="shared" si="48"/>
        <v>11875026.128426999</v>
      </c>
      <c r="AD350" s="8">
        <f t="shared" si="49"/>
        <v>15593468.653489999</v>
      </c>
      <c r="AE350" s="8">
        <f t="shared" si="50"/>
        <v>855961491.31270385</v>
      </c>
      <c r="AF350" s="8">
        <f t="shared" si="51"/>
        <v>76288046.643227994</v>
      </c>
      <c r="AG350" s="8">
        <f t="shared" si="52"/>
        <v>64532970.273673996</v>
      </c>
      <c r="AH350" s="8">
        <f t="shared" si="53"/>
        <v>839648.31211100006</v>
      </c>
      <c r="AI350" s="8">
        <f t="shared" si="54"/>
        <v>839648.31211100006</v>
      </c>
    </row>
    <row r="351" spans="1:35" x14ac:dyDescent="0.55000000000000004">
      <c r="A351" s="1">
        <v>349</v>
      </c>
      <c r="B351" s="1" t="s">
        <v>20</v>
      </c>
      <c r="C351" s="1">
        <v>25</v>
      </c>
      <c r="D351" s="1">
        <v>5</v>
      </c>
      <c r="E351" s="1" t="s">
        <v>67</v>
      </c>
      <c r="F351" s="1" t="s">
        <v>68</v>
      </c>
      <c r="G351" s="1">
        <v>22</v>
      </c>
      <c r="H351" s="1">
        <v>2</v>
      </c>
      <c r="I351" s="1">
        <v>22050000</v>
      </c>
      <c r="J351" s="1">
        <v>550</v>
      </c>
      <c r="K351" s="1">
        <v>0</v>
      </c>
      <c r="L351" s="1">
        <v>13034</v>
      </c>
      <c r="M351" s="1">
        <v>12.8797</v>
      </c>
      <c r="N351" s="1">
        <v>102.18692</v>
      </c>
      <c r="O351" s="1">
        <v>3.97</v>
      </c>
      <c r="P351" s="1">
        <v>0.87</v>
      </c>
      <c r="Q351" s="1">
        <v>0.89</v>
      </c>
      <c r="R351" s="1">
        <v>1.5</v>
      </c>
      <c r="S351" s="1">
        <v>8.24</v>
      </c>
      <c r="T351" s="1">
        <v>11.89</v>
      </c>
      <c r="U351" s="1">
        <v>8.85</v>
      </c>
      <c r="V351" s="1">
        <v>0.01</v>
      </c>
      <c r="W351" s="1">
        <v>0</v>
      </c>
      <c r="X351" s="1">
        <v>15937.872135</v>
      </c>
      <c r="Y351" s="1">
        <v>15128641.290200001</v>
      </c>
      <c r="Z351" t="str">
        <f>VLOOKUP(G351,'Code Pro'!$A$2:$B$9,2,FALSE)</f>
        <v>จ.จันทบุรี</v>
      </c>
      <c r="AA351" s="8">
        <f t="shared" si="46"/>
        <v>60060705.922094002</v>
      </c>
      <c r="AB351" s="8">
        <f t="shared" si="47"/>
        <v>13161917.922474001</v>
      </c>
      <c r="AC351" s="8">
        <f t="shared" si="48"/>
        <v>13464490.748278001</v>
      </c>
      <c r="AD351" s="8">
        <f t="shared" si="49"/>
        <v>22692961.9353</v>
      </c>
      <c r="AE351" s="8">
        <f t="shared" si="50"/>
        <v>124660004.23124801</v>
      </c>
      <c r="AF351" s="8">
        <f t="shared" si="51"/>
        <v>179879544.94047803</v>
      </c>
      <c r="AG351" s="8">
        <f t="shared" si="52"/>
        <v>133888475.41827001</v>
      </c>
      <c r="AH351" s="8">
        <f t="shared" si="53"/>
        <v>151286.41290200001</v>
      </c>
      <c r="AI351" s="8">
        <f t="shared" si="54"/>
        <v>0</v>
      </c>
    </row>
    <row r="352" spans="1:35" x14ac:dyDescent="0.55000000000000004">
      <c r="A352" s="1">
        <v>350</v>
      </c>
      <c r="B352" s="1" t="s">
        <v>20</v>
      </c>
      <c r="C352" s="1">
        <v>25</v>
      </c>
      <c r="D352" s="1">
        <v>5</v>
      </c>
      <c r="E352" s="1" t="s">
        <v>67</v>
      </c>
      <c r="F352" s="1" t="s">
        <v>68</v>
      </c>
      <c r="G352" s="1">
        <v>22</v>
      </c>
      <c r="H352" s="1">
        <v>2</v>
      </c>
      <c r="I352" s="1">
        <v>22050000</v>
      </c>
      <c r="J352" s="1">
        <v>551</v>
      </c>
      <c r="K352" s="1">
        <v>0</v>
      </c>
      <c r="L352" s="1">
        <v>12915</v>
      </c>
      <c r="M352" s="1">
        <v>12.798636999999999</v>
      </c>
      <c r="N352" s="1">
        <v>102.27006</v>
      </c>
      <c r="O352" s="1">
        <v>4.82</v>
      </c>
      <c r="P352" s="1">
        <v>0.61</v>
      </c>
      <c r="Q352" s="1">
        <v>0.27</v>
      </c>
      <c r="R352" s="1">
        <v>0.69</v>
      </c>
      <c r="S352" s="1">
        <v>13.46</v>
      </c>
      <c r="T352" s="1">
        <v>27.059999000000001</v>
      </c>
      <c r="U352" s="1">
        <v>5.92</v>
      </c>
      <c r="V352" s="1">
        <v>2.88</v>
      </c>
      <c r="W352" s="1">
        <v>7.0000000000000007E-2</v>
      </c>
      <c r="X352" s="1">
        <v>38618.126157999999</v>
      </c>
      <c r="Y352" s="1">
        <v>75491012.780499995</v>
      </c>
      <c r="Z352" t="str">
        <f>VLOOKUP(G352,'Code Pro'!$A$2:$B$9,2,FALSE)</f>
        <v>จ.จันทบุรี</v>
      </c>
      <c r="AA352" s="8">
        <f t="shared" si="46"/>
        <v>363866681.60201001</v>
      </c>
      <c r="AB352" s="8">
        <f t="shared" si="47"/>
        <v>46049517.796104997</v>
      </c>
      <c r="AC352" s="8">
        <f t="shared" si="48"/>
        <v>20382573.450734999</v>
      </c>
      <c r="AD352" s="8">
        <f t="shared" si="49"/>
        <v>52088798.818544991</v>
      </c>
      <c r="AE352" s="8">
        <f t="shared" si="50"/>
        <v>1016109032.02553</v>
      </c>
      <c r="AF352" s="8">
        <f t="shared" si="51"/>
        <v>2042786730.3493171</v>
      </c>
      <c r="AG352" s="8">
        <f t="shared" si="52"/>
        <v>446906795.66055995</v>
      </c>
      <c r="AH352" s="8">
        <f t="shared" si="53"/>
        <v>217414116.80783999</v>
      </c>
      <c r="AI352" s="8">
        <f t="shared" si="54"/>
        <v>5284370.8946350003</v>
      </c>
    </row>
    <row r="353" spans="1:35" x14ac:dyDescent="0.55000000000000004">
      <c r="A353" s="1">
        <v>351</v>
      </c>
      <c r="B353" s="1" t="s">
        <v>20</v>
      </c>
      <c r="C353" s="1">
        <v>25</v>
      </c>
      <c r="D353" s="1">
        <v>5</v>
      </c>
      <c r="E353" s="1" t="s">
        <v>67</v>
      </c>
      <c r="F353" s="1" t="s">
        <v>68</v>
      </c>
      <c r="G353" s="1">
        <v>22</v>
      </c>
      <c r="H353" s="1">
        <v>2</v>
      </c>
      <c r="I353" s="1">
        <v>22050000</v>
      </c>
      <c r="J353" s="1">
        <v>552</v>
      </c>
      <c r="K353" s="1">
        <v>0</v>
      </c>
      <c r="L353" s="1">
        <v>12796</v>
      </c>
      <c r="M353" s="1">
        <v>12.717560000000001</v>
      </c>
      <c r="N353" s="1">
        <v>102.35319</v>
      </c>
      <c r="O353" s="1">
        <v>1.5</v>
      </c>
      <c r="P353" s="1">
        <v>0.03</v>
      </c>
      <c r="Q353" s="1">
        <v>2.89</v>
      </c>
      <c r="R353" s="1">
        <v>6.88</v>
      </c>
      <c r="S353" s="1">
        <v>3.84</v>
      </c>
      <c r="T353" s="1">
        <v>22.870000999999998</v>
      </c>
      <c r="U353" s="1">
        <v>28.59</v>
      </c>
      <c r="V353" s="1">
        <v>0.43</v>
      </c>
      <c r="W353" s="1">
        <v>18.829999999999998</v>
      </c>
      <c r="X353" s="1">
        <v>13383.233155</v>
      </c>
      <c r="Y353" s="1">
        <v>6278517.8653499996</v>
      </c>
      <c r="Z353" t="str">
        <f>VLOOKUP(G353,'Code Pro'!$A$2:$B$9,2,FALSE)</f>
        <v>จ.จันทบุรี</v>
      </c>
      <c r="AA353" s="8">
        <f t="shared" si="46"/>
        <v>9417776.798024999</v>
      </c>
      <c r="AB353" s="8">
        <f t="shared" si="47"/>
        <v>188355.53596049998</v>
      </c>
      <c r="AC353" s="8">
        <f t="shared" si="48"/>
        <v>18144916.630861498</v>
      </c>
      <c r="AD353" s="8">
        <f t="shared" si="49"/>
        <v>43196202.913608</v>
      </c>
      <c r="AE353" s="8">
        <f t="shared" si="50"/>
        <v>24109508.602943998</v>
      </c>
      <c r="AF353" s="8">
        <f t="shared" si="51"/>
        <v>143589709.85907236</v>
      </c>
      <c r="AG353" s="8">
        <f t="shared" si="52"/>
        <v>179502825.77035648</v>
      </c>
      <c r="AH353" s="8">
        <f t="shared" si="53"/>
        <v>2699762.6821005</v>
      </c>
      <c r="AI353" s="8">
        <f t="shared" si="54"/>
        <v>118224491.40454048</v>
      </c>
    </row>
    <row r="354" spans="1:35" x14ac:dyDescent="0.55000000000000004">
      <c r="A354" s="1">
        <v>352</v>
      </c>
      <c r="B354" s="1" t="s">
        <v>20</v>
      </c>
      <c r="C354" s="1">
        <v>25</v>
      </c>
      <c r="D354" s="1">
        <v>5</v>
      </c>
      <c r="E354" s="1" t="s">
        <v>67</v>
      </c>
      <c r="F354" s="1" t="s">
        <v>68</v>
      </c>
      <c r="G354" s="1">
        <v>22</v>
      </c>
      <c r="H354" s="1">
        <v>2</v>
      </c>
      <c r="I354" s="1">
        <v>22050000</v>
      </c>
      <c r="J354" s="1">
        <v>555</v>
      </c>
      <c r="K354" s="1">
        <v>0</v>
      </c>
      <c r="L354" s="1">
        <v>12916</v>
      </c>
      <c r="M354" s="1">
        <v>12.798636999999999</v>
      </c>
      <c r="N354" s="1">
        <v>102.35319</v>
      </c>
      <c r="O354" s="1">
        <v>15.27</v>
      </c>
      <c r="P354" s="1">
        <v>0.14000000000000001</v>
      </c>
      <c r="Q354" s="1">
        <v>0.05</v>
      </c>
      <c r="R354" s="1">
        <v>0.55000000000000004</v>
      </c>
      <c r="S354" s="1">
        <v>11.51</v>
      </c>
      <c r="T354" s="1">
        <v>6.64</v>
      </c>
      <c r="U354" s="1">
        <v>3.02</v>
      </c>
      <c r="V354" s="1">
        <v>0.74</v>
      </c>
      <c r="W354" s="1">
        <v>1.8</v>
      </c>
      <c r="X354" s="1">
        <v>15101.951483000001</v>
      </c>
      <c r="Y354" s="1">
        <v>6388114.7769799996</v>
      </c>
      <c r="Z354" t="str">
        <f>VLOOKUP(G354,'Code Pro'!$A$2:$B$9,2,FALSE)</f>
        <v>จ.จันทบุรี</v>
      </c>
      <c r="AA354" s="8">
        <f t="shared" si="46"/>
        <v>97546512.644484594</v>
      </c>
      <c r="AB354" s="8">
        <f t="shared" si="47"/>
        <v>894336.06877720007</v>
      </c>
      <c r="AC354" s="8">
        <f t="shared" si="48"/>
        <v>319405.73884900002</v>
      </c>
      <c r="AD354" s="8">
        <f t="shared" si="49"/>
        <v>3513463.1273389999</v>
      </c>
      <c r="AE354" s="8">
        <f t="shared" si="50"/>
        <v>73527201.08303979</v>
      </c>
      <c r="AF354" s="8">
        <f t="shared" si="51"/>
        <v>42417082.119147196</v>
      </c>
      <c r="AG354" s="8">
        <f t="shared" si="52"/>
        <v>19292106.6264796</v>
      </c>
      <c r="AH354" s="8">
        <f t="shared" si="53"/>
        <v>4727204.9349651998</v>
      </c>
      <c r="AI354" s="8">
        <f t="shared" si="54"/>
        <v>11498606.598563999</v>
      </c>
    </row>
    <row r="355" spans="1:35" x14ac:dyDescent="0.55000000000000004">
      <c r="A355" s="1">
        <v>353</v>
      </c>
      <c r="B355" s="1" t="s">
        <v>20</v>
      </c>
      <c r="C355" s="1">
        <v>26</v>
      </c>
      <c r="D355" s="1">
        <v>6</v>
      </c>
      <c r="E355" s="1" t="s">
        <v>69</v>
      </c>
      <c r="F355" s="1" t="s">
        <v>70</v>
      </c>
      <c r="G355" s="1">
        <v>22</v>
      </c>
      <c r="H355" s="1">
        <v>2</v>
      </c>
      <c r="I355" s="1">
        <v>22060000</v>
      </c>
      <c r="J355" s="1">
        <v>488</v>
      </c>
      <c r="K355" s="1">
        <v>0</v>
      </c>
      <c r="L355" s="1">
        <v>12432</v>
      </c>
      <c r="M355" s="1">
        <v>12.474159</v>
      </c>
      <c r="N355" s="1">
        <v>102.020645</v>
      </c>
      <c r="O355" s="1">
        <v>0.43</v>
      </c>
      <c r="P355" s="1">
        <v>0.01</v>
      </c>
      <c r="Q355" s="1">
        <v>0.12</v>
      </c>
      <c r="R355" s="1">
        <v>0.96</v>
      </c>
      <c r="S355" s="1">
        <v>3.77</v>
      </c>
      <c r="T355" s="1">
        <v>0.85</v>
      </c>
      <c r="U355" s="1">
        <v>38.389999000000003</v>
      </c>
      <c r="V355" s="1">
        <v>0.98</v>
      </c>
      <c r="W355" s="1">
        <v>9.01</v>
      </c>
      <c r="X355" s="1">
        <v>22874.485966</v>
      </c>
      <c r="Y355" s="1">
        <v>10880687.9888</v>
      </c>
      <c r="Z355" t="str">
        <f>VLOOKUP(G355,'Code Pro'!$A$2:$B$9,2,FALSE)</f>
        <v>จ.จันทบุรี</v>
      </c>
      <c r="AA355" s="8">
        <f t="shared" si="46"/>
        <v>4678695.8351840004</v>
      </c>
      <c r="AB355" s="8">
        <f t="shared" si="47"/>
        <v>108806.87988800001</v>
      </c>
      <c r="AC355" s="8">
        <f t="shared" si="48"/>
        <v>1305682.5586560001</v>
      </c>
      <c r="AD355" s="8">
        <f t="shared" si="49"/>
        <v>10445460.469248001</v>
      </c>
      <c r="AE355" s="8">
        <f t="shared" si="50"/>
        <v>41020193.717776</v>
      </c>
      <c r="AF355" s="8">
        <f t="shared" si="51"/>
        <v>9248584.7904800009</v>
      </c>
      <c r="AG355" s="8">
        <f t="shared" si="52"/>
        <v>417709601.00934404</v>
      </c>
      <c r="AH355" s="8">
        <f t="shared" si="53"/>
        <v>10663074.229024</v>
      </c>
      <c r="AI355" s="8">
        <f t="shared" si="54"/>
        <v>98034998.779088005</v>
      </c>
    </row>
    <row r="356" spans="1:35" x14ac:dyDescent="0.55000000000000004">
      <c r="A356" s="1">
        <v>354</v>
      </c>
      <c r="B356" s="1" t="s">
        <v>20</v>
      </c>
      <c r="C356" s="1">
        <v>26</v>
      </c>
      <c r="D356" s="1">
        <v>6</v>
      </c>
      <c r="E356" s="1" t="s">
        <v>69</v>
      </c>
      <c r="F356" s="1" t="s">
        <v>70</v>
      </c>
      <c r="G356" s="1">
        <v>22</v>
      </c>
      <c r="H356" s="1">
        <v>2</v>
      </c>
      <c r="I356" s="1">
        <v>22060000</v>
      </c>
      <c r="J356" s="1">
        <v>493</v>
      </c>
      <c r="K356" s="1">
        <v>0</v>
      </c>
      <c r="L356" s="1">
        <v>12551</v>
      </c>
      <c r="M356" s="1">
        <v>12.555313</v>
      </c>
      <c r="N356" s="1">
        <v>101.93751</v>
      </c>
      <c r="O356" s="1">
        <v>0</v>
      </c>
      <c r="P356" s="1">
        <v>0.1</v>
      </c>
      <c r="Q356" s="1">
        <v>0.15</v>
      </c>
      <c r="R356" s="1">
        <v>0.51</v>
      </c>
      <c r="S356" s="1">
        <v>5.3</v>
      </c>
      <c r="T356" s="1">
        <v>0.35</v>
      </c>
      <c r="U356" s="1">
        <v>25.440000999999999</v>
      </c>
      <c r="V356" s="1">
        <v>6.76</v>
      </c>
      <c r="W356" s="1">
        <v>1.2</v>
      </c>
      <c r="X356" s="1">
        <v>1660.310064</v>
      </c>
      <c r="Y356" s="1">
        <v>161732.13571999999</v>
      </c>
      <c r="Z356" t="str">
        <f>VLOOKUP(G356,'Code Pro'!$A$2:$B$9,2,FALSE)</f>
        <v>จ.จันทบุรี</v>
      </c>
      <c r="AA356" s="8">
        <f t="shared" si="46"/>
        <v>0</v>
      </c>
      <c r="AB356" s="8">
        <f t="shared" si="47"/>
        <v>16173.213572000001</v>
      </c>
      <c r="AC356" s="8">
        <f t="shared" si="48"/>
        <v>24259.820357999997</v>
      </c>
      <c r="AD356" s="8">
        <f t="shared" si="49"/>
        <v>82483.389217199991</v>
      </c>
      <c r="AE356" s="8">
        <f t="shared" si="50"/>
        <v>857180.31931599998</v>
      </c>
      <c r="AF356" s="8">
        <f t="shared" si="51"/>
        <v>56606.247501999991</v>
      </c>
      <c r="AG356" s="8">
        <f t="shared" si="52"/>
        <v>4114465.6944489353</v>
      </c>
      <c r="AH356" s="8">
        <f t="shared" si="53"/>
        <v>1093309.2374671998</v>
      </c>
      <c r="AI356" s="8">
        <f t="shared" si="54"/>
        <v>194078.56286399998</v>
      </c>
    </row>
    <row r="357" spans="1:35" x14ac:dyDescent="0.55000000000000004">
      <c r="A357" s="1">
        <v>355</v>
      </c>
      <c r="B357" s="1" t="s">
        <v>20</v>
      </c>
      <c r="C357" s="1">
        <v>26</v>
      </c>
      <c r="D357" s="1">
        <v>6</v>
      </c>
      <c r="E357" s="1" t="s">
        <v>69</v>
      </c>
      <c r="F357" s="1" t="s">
        <v>70</v>
      </c>
      <c r="G357" s="1">
        <v>22</v>
      </c>
      <c r="H357" s="1">
        <v>2</v>
      </c>
      <c r="I357" s="1">
        <v>22060000</v>
      </c>
      <c r="J357" s="1">
        <v>495</v>
      </c>
      <c r="K357" s="1">
        <v>0</v>
      </c>
      <c r="L357" s="1">
        <v>12552</v>
      </c>
      <c r="M357" s="1">
        <v>12.555313</v>
      </c>
      <c r="N357" s="1">
        <v>102.020645</v>
      </c>
      <c r="O357" s="1">
        <v>0.22</v>
      </c>
      <c r="P357" s="1">
        <v>0.06</v>
      </c>
      <c r="Q357" s="1">
        <v>0.04</v>
      </c>
      <c r="R357" s="1">
        <v>0.42</v>
      </c>
      <c r="S357" s="1">
        <v>4.2699999999999996</v>
      </c>
      <c r="T357" s="1">
        <v>10.82</v>
      </c>
      <c r="U357" s="1">
        <v>26.82</v>
      </c>
      <c r="V357" s="1">
        <v>4.8600000000000003</v>
      </c>
      <c r="W357" s="1">
        <v>7.78</v>
      </c>
      <c r="X357" s="1">
        <v>23635.266455000001</v>
      </c>
      <c r="Y357" s="1">
        <v>17728171.7425</v>
      </c>
      <c r="Z357" t="str">
        <f>VLOOKUP(G357,'Code Pro'!$A$2:$B$9,2,FALSE)</f>
        <v>จ.จันทบุรี</v>
      </c>
      <c r="AA357" s="8">
        <f t="shared" si="46"/>
        <v>3900197.7833500002</v>
      </c>
      <c r="AB357" s="8">
        <f t="shared" si="47"/>
        <v>1063690.30455</v>
      </c>
      <c r="AC357" s="8">
        <f t="shared" si="48"/>
        <v>709126.86970000004</v>
      </c>
      <c r="AD357" s="8">
        <f t="shared" si="49"/>
        <v>7445832.1318499995</v>
      </c>
      <c r="AE357" s="8">
        <f t="shared" si="50"/>
        <v>75699293.340474993</v>
      </c>
      <c r="AF357" s="8">
        <f t="shared" si="51"/>
        <v>191818818.25385001</v>
      </c>
      <c r="AG357" s="8">
        <f t="shared" si="52"/>
        <v>475469566.13384998</v>
      </c>
      <c r="AH357" s="8">
        <f t="shared" si="53"/>
        <v>86158914.66855</v>
      </c>
      <c r="AI357" s="8">
        <f t="shared" si="54"/>
        <v>137925176.15665001</v>
      </c>
    </row>
    <row r="358" spans="1:35" x14ac:dyDescent="0.55000000000000004">
      <c r="A358" s="1">
        <v>356</v>
      </c>
      <c r="B358" s="1" t="s">
        <v>20</v>
      </c>
      <c r="C358" s="1">
        <v>26</v>
      </c>
      <c r="D358" s="1">
        <v>6</v>
      </c>
      <c r="E358" s="1" t="s">
        <v>69</v>
      </c>
      <c r="F358" s="1" t="s">
        <v>70</v>
      </c>
      <c r="G358" s="1">
        <v>22</v>
      </c>
      <c r="H358" s="1">
        <v>2</v>
      </c>
      <c r="I358" s="1">
        <v>22060000</v>
      </c>
      <c r="J358" s="1">
        <v>497</v>
      </c>
      <c r="K358" s="1">
        <v>0</v>
      </c>
      <c r="L358" s="1">
        <v>12314</v>
      </c>
      <c r="M358" s="1">
        <v>12.392967000000001</v>
      </c>
      <c r="N358" s="1">
        <v>102.18692</v>
      </c>
      <c r="O358" s="1">
        <v>1.04</v>
      </c>
      <c r="P358" s="1">
        <v>0.05</v>
      </c>
      <c r="Q358" s="1">
        <v>0</v>
      </c>
      <c r="R358" s="1">
        <v>0.35</v>
      </c>
      <c r="S358" s="1">
        <v>11.34</v>
      </c>
      <c r="T358" s="1">
        <v>7.0000000000000007E-2</v>
      </c>
      <c r="U358" s="1">
        <v>9.34</v>
      </c>
      <c r="V358" s="1">
        <v>4.3099999999999996</v>
      </c>
      <c r="W358" s="1">
        <v>12.96</v>
      </c>
      <c r="X358" s="1">
        <v>30016.546439999998</v>
      </c>
      <c r="Y358" s="1">
        <v>42793391.384999998</v>
      </c>
      <c r="Z358" t="str">
        <f>VLOOKUP(G358,'Code Pro'!$A$2:$B$9,2,FALSE)</f>
        <v>จ.จันทบุรี</v>
      </c>
      <c r="AA358" s="8">
        <f t="shared" si="46"/>
        <v>44505127.040399998</v>
      </c>
      <c r="AB358" s="8">
        <f t="shared" si="47"/>
        <v>2139669.5692500002</v>
      </c>
      <c r="AC358" s="8">
        <f t="shared" si="48"/>
        <v>0</v>
      </c>
      <c r="AD358" s="8">
        <f t="shared" si="49"/>
        <v>14977686.984749999</v>
      </c>
      <c r="AE358" s="8">
        <f t="shared" si="50"/>
        <v>485277058.30589998</v>
      </c>
      <c r="AF358" s="8">
        <f t="shared" si="51"/>
        <v>2995537.39695</v>
      </c>
      <c r="AG358" s="8">
        <f t="shared" si="52"/>
        <v>399690275.5359</v>
      </c>
      <c r="AH358" s="8">
        <f t="shared" si="53"/>
        <v>184439516.86934999</v>
      </c>
      <c r="AI358" s="8">
        <f t="shared" si="54"/>
        <v>554602352.34959996</v>
      </c>
    </row>
    <row r="359" spans="1:35" x14ac:dyDescent="0.55000000000000004">
      <c r="A359" s="1">
        <v>357</v>
      </c>
      <c r="B359" s="1" t="s">
        <v>20</v>
      </c>
      <c r="C359" s="1">
        <v>26</v>
      </c>
      <c r="D359" s="1">
        <v>6</v>
      </c>
      <c r="E359" s="1" t="s">
        <v>69</v>
      </c>
      <c r="F359" s="1" t="s">
        <v>70</v>
      </c>
      <c r="G359" s="1">
        <v>22</v>
      </c>
      <c r="H359" s="1">
        <v>2</v>
      </c>
      <c r="I359" s="1">
        <v>22060000</v>
      </c>
      <c r="J359" s="1">
        <v>498</v>
      </c>
      <c r="K359" s="1">
        <v>0</v>
      </c>
      <c r="L359" s="1">
        <v>12313</v>
      </c>
      <c r="M359" s="1">
        <v>12.392967000000001</v>
      </c>
      <c r="N359" s="1">
        <v>102.10378</v>
      </c>
      <c r="O359" s="1">
        <v>0.73</v>
      </c>
      <c r="P359" s="1">
        <v>0.01</v>
      </c>
      <c r="Q359" s="1">
        <v>0.44</v>
      </c>
      <c r="R359" s="1">
        <v>4.88</v>
      </c>
      <c r="S359" s="1">
        <v>31.780000999999999</v>
      </c>
      <c r="T359" s="1">
        <v>0.68</v>
      </c>
      <c r="U359" s="1">
        <v>9.6</v>
      </c>
      <c r="V359" s="1">
        <v>7.3</v>
      </c>
      <c r="W359" s="1">
        <v>13.51</v>
      </c>
      <c r="X359" s="1">
        <v>17222.685122999999</v>
      </c>
      <c r="Y359" s="1">
        <v>6909575.9212300004</v>
      </c>
      <c r="Z359" t="str">
        <f>VLOOKUP(G359,'Code Pro'!$A$2:$B$9,2,FALSE)</f>
        <v>จ.จันทบุรี</v>
      </c>
      <c r="AA359" s="8">
        <f t="shared" si="46"/>
        <v>5043990.4224979002</v>
      </c>
      <c r="AB359" s="8">
        <f t="shared" si="47"/>
        <v>69095.759212300007</v>
      </c>
      <c r="AC359" s="8">
        <f t="shared" si="48"/>
        <v>3040213.4053412001</v>
      </c>
      <c r="AD359" s="8">
        <f t="shared" si="49"/>
        <v>33718730.495602399</v>
      </c>
      <c r="AE359" s="8">
        <f t="shared" si="50"/>
        <v>219586329.68626532</v>
      </c>
      <c r="AF359" s="8">
        <f t="shared" si="51"/>
        <v>4698511.6264364002</v>
      </c>
      <c r="AG359" s="8">
        <f t="shared" si="52"/>
        <v>66331928.843808003</v>
      </c>
      <c r="AH359" s="8">
        <f t="shared" si="53"/>
        <v>50439904.224978998</v>
      </c>
      <c r="AI359" s="8">
        <f t="shared" si="54"/>
        <v>93348370.695817307</v>
      </c>
    </row>
    <row r="360" spans="1:35" x14ac:dyDescent="0.55000000000000004">
      <c r="A360" s="1">
        <v>358</v>
      </c>
      <c r="B360" s="1" t="s">
        <v>20</v>
      </c>
      <c r="C360" s="1">
        <v>26</v>
      </c>
      <c r="D360" s="1">
        <v>6</v>
      </c>
      <c r="E360" s="1" t="s">
        <v>69</v>
      </c>
      <c r="F360" s="1" t="s">
        <v>70</v>
      </c>
      <c r="G360" s="1">
        <v>22</v>
      </c>
      <c r="H360" s="1">
        <v>2</v>
      </c>
      <c r="I360" s="1">
        <v>22060000</v>
      </c>
      <c r="J360" s="1">
        <v>499</v>
      </c>
      <c r="K360" s="1">
        <v>0</v>
      </c>
      <c r="L360" s="1">
        <v>12434</v>
      </c>
      <c r="M360" s="1">
        <v>12.474159</v>
      </c>
      <c r="N360" s="1">
        <v>102.18692</v>
      </c>
      <c r="O360" s="1">
        <v>4.21</v>
      </c>
      <c r="P360" s="1">
        <v>0.06</v>
      </c>
      <c r="Q360" s="1">
        <v>0.16</v>
      </c>
      <c r="R360" s="1">
        <v>0.14000000000000001</v>
      </c>
      <c r="S360" s="1">
        <v>0.92</v>
      </c>
      <c r="T360" s="1">
        <v>5.78</v>
      </c>
      <c r="U360" s="1">
        <v>10.24</v>
      </c>
      <c r="V360" s="1">
        <v>4.34</v>
      </c>
      <c r="W360" s="1">
        <v>4.9800000000000004</v>
      </c>
      <c r="X360" s="1">
        <v>37740.113841999999</v>
      </c>
      <c r="Y360" s="1">
        <v>18074435.067499999</v>
      </c>
      <c r="Z360" t="str">
        <f>VLOOKUP(G360,'Code Pro'!$A$2:$B$9,2,FALSE)</f>
        <v>จ.จันทบุรี</v>
      </c>
      <c r="AA360" s="8">
        <f t="shared" si="46"/>
        <v>76093371.634174988</v>
      </c>
      <c r="AB360" s="8">
        <f t="shared" si="47"/>
        <v>1084466.10405</v>
      </c>
      <c r="AC360" s="8">
        <f t="shared" si="48"/>
        <v>2891909.6107999999</v>
      </c>
      <c r="AD360" s="8">
        <f t="shared" si="49"/>
        <v>2530420.9094500002</v>
      </c>
      <c r="AE360" s="8">
        <f t="shared" si="50"/>
        <v>16628480.2621</v>
      </c>
      <c r="AF360" s="8">
        <f t="shared" si="51"/>
        <v>104470234.69014999</v>
      </c>
      <c r="AG360" s="8">
        <f t="shared" si="52"/>
        <v>185082215.09119999</v>
      </c>
      <c r="AH360" s="8">
        <f t="shared" si="53"/>
        <v>78443048.192949995</v>
      </c>
      <c r="AI360" s="8">
        <f t="shared" si="54"/>
        <v>90010686.636150002</v>
      </c>
    </row>
    <row r="361" spans="1:35" x14ac:dyDescent="0.55000000000000004">
      <c r="A361" s="1">
        <v>359</v>
      </c>
      <c r="B361" s="1" t="s">
        <v>20</v>
      </c>
      <c r="C361" s="1">
        <v>26</v>
      </c>
      <c r="D361" s="1">
        <v>6</v>
      </c>
      <c r="E361" s="1" t="s">
        <v>69</v>
      </c>
      <c r="F361" s="1" t="s">
        <v>70</v>
      </c>
      <c r="G361" s="1">
        <v>22</v>
      </c>
      <c r="H361" s="1">
        <v>2</v>
      </c>
      <c r="I361" s="1">
        <v>22060000</v>
      </c>
      <c r="J361" s="1">
        <v>501</v>
      </c>
      <c r="K361" s="1">
        <v>0</v>
      </c>
      <c r="L361" s="1">
        <v>12553</v>
      </c>
      <c r="M361" s="1">
        <v>12.555313</v>
      </c>
      <c r="N361" s="1">
        <v>102.10378</v>
      </c>
      <c r="O361" s="1">
        <v>0.03</v>
      </c>
      <c r="P361" s="1">
        <v>0</v>
      </c>
      <c r="Q361" s="1">
        <v>0.05</v>
      </c>
      <c r="R361" s="1">
        <v>3.67</v>
      </c>
      <c r="S361" s="1">
        <v>7.96</v>
      </c>
      <c r="T361" s="1">
        <v>10</v>
      </c>
      <c r="U361" s="1">
        <v>26.879999000000002</v>
      </c>
      <c r="V361" s="1">
        <v>5.94</v>
      </c>
      <c r="W361" s="1">
        <v>2.73</v>
      </c>
      <c r="X361" s="1">
        <v>22187.778308000001</v>
      </c>
      <c r="Y361" s="1">
        <v>7820397.5852399999</v>
      </c>
      <c r="Z361" t="str">
        <f>VLOOKUP(G361,'Code Pro'!$A$2:$B$9,2,FALSE)</f>
        <v>จ.จันทบุรี</v>
      </c>
      <c r="AA361" s="8">
        <f t="shared" si="46"/>
        <v>234611.92755719999</v>
      </c>
      <c r="AB361" s="8">
        <f t="shared" si="47"/>
        <v>0</v>
      </c>
      <c r="AC361" s="8">
        <f t="shared" si="48"/>
        <v>391019.87926200003</v>
      </c>
      <c r="AD361" s="8">
        <f t="shared" si="49"/>
        <v>28700859.137830798</v>
      </c>
      <c r="AE361" s="8">
        <f t="shared" si="50"/>
        <v>62250364.778510399</v>
      </c>
      <c r="AF361" s="8">
        <f t="shared" si="51"/>
        <v>78203975.852400005</v>
      </c>
      <c r="AG361" s="8">
        <f t="shared" si="52"/>
        <v>210212279.27085364</v>
      </c>
      <c r="AH361" s="8">
        <f t="shared" si="53"/>
        <v>46453161.656325601</v>
      </c>
      <c r="AI361" s="8">
        <f t="shared" si="54"/>
        <v>21349685.407705199</v>
      </c>
    </row>
    <row r="362" spans="1:35" x14ac:dyDescent="0.55000000000000004">
      <c r="A362" s="1">
        <v>360</v>
      </c>
      <c r="B362" s="1" t="s">
        <v>20</v>
      </c>
      <c r="C362" s="1">
        <v>26</v>
      </c>
      <c r="D362" s="1">
        <v>6</v>
      </c>
      <c r="E362" s="1" t="s">
        <v>69</v>
      </c>
      <c r="F362" s="1" t="s">
        <v>70</v>
      </c>
      <c r="G362" s="1">
        <v>22</v>
      </c>
      <c r="H362" s="1">
        <v>2</v>
      </c>
      <c r="I362" s="1">
        <v>22060000</v>
      </c>
      <c r="J362" s="1">
        <v>502</v>
      </c>
      <c r="K362" s="1">
        <v>0</v>
      </c>
      <c r="L362" s="1">
        <v>12433</v>
      </c>
      <c r="M362" s="1">
        <v>12.474159</v>
      </c>
      <c r="N362" s="1">
        <v>102.10378</v>
      </c>
      <c r="O362" s="1">
        <v>0.08</v>
      </c>
      <c r="P362" s="1">
        <v>0.26</v>
      </c>
      <c r="Q362" s="1">
        <v>0.13</v>
      </c>
      <c r="R362" s="1">
        <v>0.52</v>
      </c>
      <c r="S362" s="1">
        <v>35.990001999999997</v>
      </c>
      <c r="T362" s="1">
        <v>0.97</v>
      </c>
      <c r="U362" s="1">
        <v>13.03</v>
      </c>
      <c r="V362" s="1">
        <v>5.34</v>
      </c>
      <c r="W362" s="1">
        <v>7.63</v>
      </c>
      <c r="X362" s="1">
        <v>34708.52347</v>
      </c>
      <c r="Y362" s="1">
        <v>62142164.267499998</v>
      </c>
      <c r="Z362" t="str">
        <f>VLOOKUP(G362,'Code Pro'!$A$2:$B$9,2,FALSE)</f>
        <v>จ.จันทบุรี</v>
      </c>
      <c r="AA362" s="8">
        <f t="shared" si="46"/>
        <v>4971373.1414000001</v>
      </c>
      <c r="AB362" s="8">
        <f t="shared" si="47"/>
        <v>16156962.709550001</v>
      </c>
      <c r="AC362" s="8">
        <f t="shared" si="48"/>
        <v>8078481.3547750004</v>
      </c>
      <c r="AD362" s="8">
        <f t="shared" si="49"/>
        <v>32313925.419100001</v>
      </c>
      <c r="AE362" s="8">
        <f t="shared" si="50"/>
        <v>2236496616.2716532</v>
      </c>
      <c r="AF362" s="8">
        <f t="shared" si="51"/>
        <v>60277899.339474998</v>
      </c>
      <c r="AG362" s="8">
        <f t="shared" si="52"/>
        <v>809712400.40552497</v>
      </c>
      <c r="AH362" s="8">
        <f t="shared" si="53"/>
        <v>331839157.18844998</v>
      </c>
      <c r="AI362" s="8">
        <f t="shared" si="54"/>
        <v>474144713.36102498</v>
      </c>
    </row>
    <row r="363" spans="1:35" x14ac:dyDescent="0.55000000000000004">
      <c r="A363" s="1">
        <v>361</v>
      </c>
      <c r="B363" s="1" t="s">
        <v>20</v>
      </c>
      <c r="C363" s="1">
        <v>26</v>
      </c>
      <c r="D363" s="1">
        <v>6</v>
      </c>
      <c r="E363" s="1" t="s">
        <v>69</v>
      </c>
      <c r="F363" s="1" t="s">
        <v>70</v>
      </c>
      <c r="G363" s="1">
        <v>22</v>
      </c>
      <c r="H363" s="1">
        <v>2</v>
      </c>
      <c r="I363" s="1">
        <v>22060000</v>
      </c>
      <c r="J363" s="1">
        <v>505</v>
      </c>
      <c r="K363" s="1">
        <v>0</v>
      </c>
      <c r="L363" s="1">
        <v>12554</v>
      </c>
      <c r="M363" s="1">
        <v>12.555313</v>
      </c>
      <c r="N363" s="1">
        <v>102.18692</v>
      </c>
      <c r="O363" s="1">
        <v>2.08</v>
      </c>
      <c r="P363" s="1">
        <v>0.11</v>
      </c>
      <c r="Q363" s="1">
        <v>0.01</v>
      </c>
      <c r="R363" s="1">
        <v>3.34</v>
      </c>
      <c r="S363" s="1">
        <v>0.43</v>
      </c>
      <c r="T363" s="1">
        <v>1.39</v>
      </c>
      <c r="U363" s="1">
        <v>12.93</v>
      </c>
      <c r="V363" s="1">
        <v>9.9700000000000006</v>
      </c>
      <c r="W363" s="1">
        <v>8.17</v>
      </c>
      <c r="X363" s="1">
        <v>12410.257693</v>
      </c>
      <c r="Y363" s="1">
        <v>4859002.0340999998</v>
      </c>
      <c r="Z363" t="str">
        <f>VLOOKUP(G363,'Code Pro'!$A$2:$B$9,2,FALSE)</f>
        <v>จ.จันทบุรี</v>
      </c>
      <c r="AA363" s="8">
        <f t="shared" si="46"/>
        <v>10106724.230928</v>
      </c>
      <c r="AB363" s="8">
        <f t="shared" si="47"/>
        <v>534490.22375100001</v>
      </c>
      <c r="AC363" s="8">
        <f t="shared" si="48"/>
        <v>48590.020340999996</v>
      </c>
      <c r="AD363" s="8">
        <f t="shared" si="49"/>
        <v>16229066.793893998</v>
      </c>
      <c r="AE363" s="8">
        <f t="shared" si="50"/>
        <v>2089370.874663</v>
      </c>
      <c r="AF363" s="8">
        <f t="shared" si="51"/>
        <v>6754012.8273989996</v>
      </c>
      <c r="AG363" s="8">
        <f t="shared" si="52"/>
        <v>62826896.300912999</v>
      </c>
      <c r="AH363" s="8">
        <f t="shared" si="53"/>
        <v>48444250.279977001</v>
      </c>
      <c r="AI363" s="8">
        <f t="shared" si="54"/>
        <v>39698046.618597001</v>
      </c>
    </row>
    <row r="364" spans="1:35" x14ac:dyDescent="0.55000000000000004">
      <c r="A364" s="1">
        <v>362</v>
      </c>
      <c r="B364" s="1" t="s">
        <v>20</v>
      </c>
      <c r="C364" s="1">
        <v>27</v>
      </c>
      <c r="D364" s="1">
        <v>7</v>
      </c>
      <c r="E364" s="1" t="s">
        <v>71</v>
      </c>
      <c r="F364" s="1" t="s">
        <v>72</v>
      </c>
      <c r="G364" s="1">
        <v>22</v>
      </c>
      <c r="H364" s="1">
        <v>2</v>
      </c>
      <c r="I364" s="1">
        <v>22070000</v>
      </c>
      <c r="J364" s="1">
        <v>556</v>
      </c>
      <c r="K364" s="1">
        <v>0</v>
      </c>
      <c r="L364" s="1">
        <v>13275</v>
      </c>
      <c r="M364" s="1">
        <v>13.041733000000001</v>
      </c>
      <c r="N364" s="1">
        <v>102.27006</v>
      </c>
      <c r="O364" s="1">
        <v>2.2799999999999998</v>
      </c>
      <c r="P364" s="1">
        <v>1.69</v>
      </c>
      <c r="Q364" s="1">
        <v>0</v>
      </c>
      <c r="R364" s="1">
        <v>1.2</v>
      </c>
      <c r="S364" s="1">
        <v>36.389999000000003</v>
      </c>
      <c r="T364" s="1">
        <v>50.959999000000003</v>
      </c>
      <c r="U364" s="1">
        <v>35.709999000000003</v>
      </c>
      <c r="V364" s="1">
        <v>14.72</v>
      </c>
      <c r="W364" s="1">
        <v>1.43</v>
      </c>
      <c r="X364" s="1">
        <v>26856.217199999999</v>
      </c>
      <c r="Y364" s="1">
        <v>40929356.501699999</v>
      </c>
      <c r="Z364" t="str">
        <f>VLOOKUP(G364,'Code Pro'!$A$2:$B$9,2,FALSE)</f>
        <v>จ.จันทบุรี</v>
      </c>
      <c r="AA364" s="8">
        <f t="shared" si="46"/>
        <v>93318932.823875993</v>
      </c>
      <c r="AB364" s="8">
        <f t="shared" si="47"/>
        <v>69170612.487873003</v>
      </c>
      <c r="AC364" s="8">
        <f t="shared" si="48"/>
        <v>0</v>
      </c>
      <c r="AD364" s="8">
        <f t="shared" si="49"/>
        <v>49115227.802039996</v>
      </c>
      <c r="AE364" s="8">
        <f t="shared" si="50"/>
        <v>1489419242.1675067</v>
      </c>
      <c r="AF364" s="8">
        <f t="shared" si="51"/>
        <v>2085759966.3972757</v>
      </c>
      <c r="AG364" s="8">
        <f t="shared" si="52"/>
        <v>1461587279.7463505</v>
      </c>
      <c r="AH364" s="8">
        <f t="shared" si="53"/>
        <v>602480127.705024</v>
      </c>
      <c r="AI364" s="8">
        <f t="shared" si="54"/>
        <v>58528979.797431</v>
      </c>
    </row>
    <row r="365" spans="1:35" x14ac:dyDescent="0.55000000000000004">
      <c r="A365" s="1">
        <v>363</v>
      </c>
      <c r="B365" s="1" t="s">
        <v>20</v>
      </c>
      <c r="C365" s="1">
        <v>27</v>
      </c>
      <c r="D365" s="1">
        <v>7</v>
      </c>
      <c r="E365" s="1" t="s">
        <v>71</v>
      </c>
      <c r="F365" s="1" t="s">
        <v>72</v>
      </c>
      <c r="G365" s="1">
        <v>22</v>
      </c>
      <c r="H365" s="1">
        <v>2</v>
      </c>
      <c r="I365" s="1">
        <v>22070000</v>
      </c>
      <c r="J365" s="1">
        <v>557</v>
      </c>
      <c r="K365" s="1">
        <v>0</v>
      </c>
      <c r="L365" s="1">
        <v>13274</v>
      </c>
      <c r="M365" s="1">
        <v>13.041733000000001</v>
      </c>
      <c r="N365" s="1">
        <v>102.18692</v>
      </c>
      <c r="O365" s="1">
        <v>8.1300000000000008</v>
      </c>
      <c r="P365" s="1">
        <v>1.0900000000000001</v>
      </c>
      <c r="Q365" s="1">
        <v>0.05</v>
      </c>
      <c r="R365" s="1">
        <v>0.33</v>
      </c>
      <c r="S365" s="1">
        <v>29.030000999999999</v>
      </c>
      <c r="T365" s="1">
        <v>28.51</v>
      </c>
      <c r="U365" s="1">
        <v>42.150002000000001</v>
      </c>
      <c r="V365" s="1">
        <v>7.27</v>
      </c>
      <c r="W365" s="1">
        <v>0.23</v>
      </c>
      <c r="X365" s="1">
        <v>23433.405351000001</v>
      </c>
      <c r="Y365" s="1">
        <v>29178251.414500002</v>
      </c>
      <c r="Z365" t="str">
        <f>VLOOKUP(G365,'Code Pro'!$A$2:$B$9,2,FALSE)</f>
        <v>จ.จันทบุรี</v>
      </c>
      <c r="AA365" s="8">
        <f t="shared" si="46"/>
        <v>237219183.99988505</v>
      </c>
      <c r="AB365" s="8">
        <f t="shared" si="47"/>
        <v>31804294.041805003</v>
      </c>
      <c r="AC365" s="8">
        <f t="shared" si="48"/>
        <v>1458912.5707250002</v>
      </c>
      <c r="AD365" s="8">
        <f t="shared" si="49"/>
        <v>9628822.9667850006</v>
      </c>
      <c r="AE365" s="8">
        <f t="shared" si="50"/>
        <v>847044667.74118638</v>
      </c>
      <c r="AF365" s="8">
        <f t="shared" si="51"/>
        <v>831871947.82739508</v>
      </c>
      <c r="AG365" s="8">
        <f t="shared" si="52"/>
        <v>1229863355.4776778</v>
      </c>
      <c r="AH365" s="8">
        <f t="shared" si="53"/>
        <v>212125887.78341499</v>
      </c>
      <c r="AI365" s="8">
        <f t="shared" si="54"/>
        <v>6710997.8253350006</v>
      </c>
    </row>
    <row r="366" spans="1:35" x14ac:dyDescent="0.55000000000000004">
      <c r="A366" s="1">
        <v>364</v>
      </c>
      <c r="B366" s="1" t="s">
        <v>20</v>
      </c>
      <c r="C366" s="1">
        <v>27</v>
      </c>
      <c r="D366" s="1">
        <v>7</v>
      </c>
      <c r="E366" s="1" t="s">
        <v>71</v>
      </c>
      <c r="F366" s="1" t="s">
        <v>72</v>
      </c>
      <c r="G366" s="1">
        <v>22</v>
      </c>
      <c r="H366" s="1">
        <v>2</v>
      </c>
      <c r="I366" s="1">
        <v>22070000</v>
      </c>
      <c r="J366" s="1">
        <v>568</v>
      </c>
      <c r="K366" s="1">
        <v>0</v>
      </c>
      <c r="L366" s="1">
        <v>13276</v>
      </c>
      <c r="M366" s="1">
        <v>13.041733000000001</v>
      </c>
      <c r="N366" s="1">
        <v>102.35319</v>
      </c>
      <c r="O366" s="1">
        <v>6.72</v>
      </c>
      <c r="P366" s="1">
        <v>6.95</v>
      </c>
      <c r="Q366" s="1">
        <v>0</v>
      </c>
      <c r="R366" s="1">
        <v>10.3</v>
      </c>
      <c r="S366" s="1">
        <v>7.3</v>
      </c>
      <c r="T366" s="1">
        <v>15.32</v>
      </c>
      <c r="U366" s="1">
        <v>34.790000999999997</v>
      </c>
      <c r="V366" s="1">
        <v>15.33</v>
      </c>
      <c r="W366" s="1">
        <v>0.42</v>
      </c>
      <c r="X366" s="1">
        <v>17593.862159</v>
      </c>
      <c r="Y366" s="1">
        <v>18424271.067000002</v>
      </c>
      <c r="Z366" t="str">
        <f>VLOOKUP(G366,'Code Pro'!$A$2:$B$9,2,FALSE)</f>
        <v>จ.จันทบุรี</v>
      </c>
      <c r="AA366" s="8">
        <f t="shared" si="46"/>
        <v>123811101.57024001</v>
      </c>
      <c r="AB366" s="8">
        <f t="shared" si="47"/>
        <v>128048683.91565001</v>
      </c>
      <c r="AC366" s="8">
        <f t="shared" si="48"/>
        <v>0</v>
      </c>
      <c r="AD366" s="8">
        <f t="shared" si="49"/>
        <v>189769991.99010003</v>
      </c>
      <c r="AE366" s="8">
        <f t="shared" si="50"/>
        <v>134497178.78910002</v>
      </c>
      <c r="AF366" s="8">
        <f t="shared" si="51"/>
        <v>282259832.74644005</v>
      </c>
      <c r="AG366" s="8">
        <f t="shared" si="52"/>
        <v>640980408.84520102</v>
      </c>
      <c r="AH366" s="8">
        <f t="shared" si="53"/>
        <v>282444075.45711005</v>
      </c>
      <c r="AI366" s="8">
        <f t="shared" si="54"/>
        <v>7738193.8481400004</v>
      </c>
    </row>
    <row r="367" spans="1:35" x14ac:dyDescent="0.55000000000000004">
      <c r="A367" s="1">
        <v>365</v>
      </c>
      <c r="B367" s="1" t="s">
        <v>20</v>
      </c>
      <c r="C367" s="1">
        <v>27</v>
      </c>
      <c r="D367" s="1">
        <v>7</v>
      </c>
      <c r="E367" s="1" t="s">
        <v>71</v>
      </c>
      <c r="F367" s="1" t="s">
        <v>72</v>
      </c>
      <c r="G367" s="1">
        <v>22</v>
      </c>
      <c r="H367" s="1">
        <v>2</v>
      </c>
      <c r="I367" s="1">
        <v>22070000</v>
      </c>
      <c r="J367" s="1">
        <v>973</v>
      </c>
      <c r="K367" s="1">
        <v>0</v>
      </c>
      <c r="L367" s="1">
        <v>13392</v>
      </c>
      <c r="M367" s="1">
        <v>13.122719</v>
      </c>
      <c r="N367" s="1">
        <v>102.020645</v>
      </c>
      <c r="O367" s="1">
        <v>32.450001</v>
      </c>
      <c r="P367" s="1">
        <v>0.73</v>
      </c>
      <c r="Q367" s="1">
        <v>2.83</v>
      </c>
      <c r="R367" s="1">
        <v>6.51</v>
      </c>
      <c r="S367" s="1">
        <v>2.12</v>
      </c>
      <c r="T367" s="1">
        <v>24.84</v>
      </c>
      <c r="U367" s="1">
        <v>4.51</v>
      </c>
      <c r="V367" s="1">
        <v>3.87</v>
      </c>
      <c r="W367" s="1">
        <v>0</v>
      </c>
      <c r="X367" s="1">
        <v>3096.5952010000001</v>
      </c>
      <c r="Y367" s="1">
        <v>353510.65728400002</v>
      </c>
      <c r="Z367" t="str">
        <f>VLOOKUP(G367,'Code Pro'!$A$2:$B$9,2,FALSE)</f>
        <v>จ.จันทบุรี</v>
      </c>
      <c r="AA367" s="8">
        <f t="shared" si="46"/>
        <v>11471421.182376457</v>
      </c>
      <c r="AB367" s="8">
        <f t="shared" si="47"/>
        <v>258062.77981732</v>
      </c>
      <c r="AC367" s="8">
        <f t="shared" si="48"/>
        <v>1000435.1601137201</v>
      </c>
      <c r="AD367" s="8">
        <f t="shared" si="49"/>
        <v>2301354.3789188401</v>
      </c>
      <c r="AE367" s="8">
        <f t="shared" si="50"/>
        <v>749442.59344208008</v>
      </c>
      <c r="AF367" s="8">
        <f t="shared" si="51"/>
        <v>8781204.7269345596</v>
      </c>
      <c r="AG367" s="8">
        <f t="shared" si="52"/>
        <v>1594333.0643508399</v>
      </c>
      <c r="AH367" s="8">
        <f t="shared" si="53"/>
        <v>1368086.24368908</v>
      </c>
      <c r="AI367" s="8">
        <f t="shared" si="54"/>
        <v>0</v>
      </c>
    </row>
    <row r="368" spans="1:35" x14ac:dyDescent="0.55000000000000004">
      <c r="A368" s="1">
        <v>366</v>
      </c>
      <c r="B368" s="1" t="s">
        <v>20</v>
      </c>
      <c r="C368" s="1">
        <v>27</v>
      </c>
      <c r="D368" s="1">
        <v>7</v>
      </c>
      <c r="E368" s="1" t="s">
        <v>71</v>
      </c>
      <c r="F368" s="1" t="s">
        <v>72</v>
      </c>
      <c r="G368" s="1">
        <v>22</v>
      </c>
      <c r="H368" s="1">
        <v>2</v>
      </c>
      <c r="I368" s="1">
        <v>22070000</v>
      </c>
      <c r="J368" s="1">
        <v>974</v>
      </c>
      <c r="K368" s="1">
        <v>0</v>
      </c>
      <c r="L368" s="1">
        <v>13632</v>
      </c>
      <c r="M368" s="1">
        <v>13.284592</v>
      </c>
      <c r="N368" s="1">
        <v>102.020645</v>
      </c>
      <c r="O368" s="1">
        <v>6.81</v>
      </c>
      <c r="P368" s="1">
        <v>0.03</v>
      </c>
      <c r="Q368" s="1">
        <v>6.53</v>
      </c>
      <c r="R368" s="1">
        <v>1.18</v>
      </c>
      <c r="S368" s="1">
        <v>9.5399999999999991</v>
      </c>
      <c r="T368" s="1">
        <v>11.76</v>
      </c>
      <c r="U368" s="1">
        <v>20.98</v>
      </c>
      <c r="V368" s="1">
        <v>0.01</v>
      </c>
      <c r="W368" s="1">
        <v>0.21</v>
      </c>
      <c r="X368" s="1">
        <v>388.08841799999999</v>
      </c>
      <c r="Y368" s="1">
        <v>6456.4665160000004</v>
      </c>
      <c r="Z368" t="str">
        <f>VLOOKUP(G368,'Code Pro'!$A$2:$B$9,2,FALSE)</f>
        <v>จ.จันทบุรี</v>
      </c>
      <c r="AA368" s="8">
        <f t="shared" si="46"/>
        <v>43968.536973959999</v>
      </c>
      <c r="AB368" s="8">
        <f t="shared" si="47"/>
        <v>193.69399548000001</v>
      </c>
      <c r="AC368" s="8">
        <f t="shared" si="48"/>
        <v>42160.726349480006</v>
      </c>
      <c r="AD368" s="8">
        <f t="shared" si="49"/>
        <v>7618.6304888800005</v>
      </c>
      <c r="AE368" s="8">
        <f t="shared" si="50"/>
        <v>61594.690562639997</v>
      </c>
      <c r="AF368" s="8">
        <f t="shared" si="51"/>
        <v>75928.046228160005</v>
      </c>
      <c r="AG368" s="8">
        <f t="shared" si="52"/>
        <v>135456.66750568</v>
      </c>
      <c r="AH368" s="8">
        <f t="shared" si="53"/>
        <v>64.564665160000004</v>
      </c>
      <c r="AI368" s="8">
        <f t="shared" si="54"/>
        <v>1355.8579683600001</v>
      </c>
    </row>
    <row r="369" spans="1:35" x14ac:dyDescent="0.55000000000000004">
      <c r="A369" s="1">
        <v>367</v>
      </c>
      <c r="B369" s="1" t="s">
        <v>20</v>
      </c>
      <c r="C369" s="1">
        <v>27</v>
      </c>
      <c r="D369" s="1">
        <v>7</v>
      </c>
      <c r="E369" s="1" t="s">
        <v>71</v>
      </c>
      <c r="F369" s="1" t="s">
        <v>72</v>
      </c>
      <c r="G369" s="1">
        <v>22</v>
      </c>
      <c r="H369" s="1">
        <v>2</v>
      </c>
      <c r="I369" s="1">
        <v>22070000</v>
      </c>
      <c r="J369" s="1">
        <v>976</v>
      </c>
      <c r="K369" s="1">
        <v>0</v>
      </c>
      <c r="L369" s="1">
        <v>13512</v>
      </c>
      <c r="M369" s="1">
        <v>13.203666999999999</v>
      </c>
      <c r="N369" s="1">
        <v>102.020645</v>
      </c>
      <c r="O369" s="1">
        <v>18.82</v>
      </c>
      <c r="P369" s="1">
        <v>0.95</v>
      </c>
      <c r="Q369" s="1">
        <v>2.11</v>
      </c>
      <c r="R369" s="1">
        <v>11.88</v>
      </c>
      <c r="S369" s="1">
        <v>42.34</v>
      </c>
      <c r="T369" s="1">
        <v>30.379999000000002</v>
      </c>
      <c r="U369" s="1">
        <v>12.91</v>
      </c>
      <c r="V369" s="1">
        <v>0.02</v>
      </c>
      <c r="W369" s="1">
        <v>0.01</v>
      </c>
      <c r="X369" s="1">
        <v>26028.325228000002</v>
      </c>
      <c r="Y369" s="1">
        <v>25214520.427200001</v>
      </c>
      <c r="Z369" t="str">
        <f>VLOOKUP(G369,'Code Pro'!$A$2:$B$9,2,FALSE)</f>
        <v>จ.จันทบุรี</v>
      </c>
      <c r="AA369" s="8">
        <f t="shared" si="46"/>
        <v>474537274.43990403</v>
      </c>
      <c r="AB369" s="8">
        <f t="shared" si="47"/>
        <v>23953794.405839998</v>
      </c>
      <c r="AC369" s="8">
        <f t="shared" si="48"/>
        <v>53202638.101392001</v>
      </c>
      <c r="AD369" s="8">
        <f t="shared" si="49"/>
        <v>299548502.67513603</v>
      </c>
      <c r="AE369" s="8">
        <f t="shared" si="50"/>
        <v>1067582794.8876481</v>
      </c>
      <c r="AF369" s="8">
        <f t="shared" si="51"/>
        <v>766017105.36381567</v>
      </c>
      <c r="AG369" s="8">
        <f t="shared" si="52"/>
        <v>325519458.71515203</v>
      </c>
      <c r="AH369" s="8">
        <f t="shared" si="53"/>
        <v>504290.40854400001</v>
      </c>
      <c r="AI369" s="8">
        <f t="shared" si="54"/>
        <v>252145.204272</v>
      </c>
    </row>
    <row r="370" spans="1:35" x14ac:dyDescent="0.55000000000000004">
      <c r="A370" s="1">
        <v>368</v>
      </c>
      <c r="B370" s="1" t="s">
        <v>20</v>
      </c>
      <c r="C370" s="1">
        <v>27</v>
      </c>
      <c r="D370" s="1">
        <v>7</v>
      </c>
      <c r="E370" s="1" t="s">
        <v>71</v>
      </c>
      <c r="F370" s="1" t="s">
        <v>72</v>
      </c>
      <c r="G370" s="1">
        <v>22</v>
      </c>
      <c r="H370" s="1">
        <v>2</v>
      </c>
      <c r="I370" s="1">
        <v>22070000</v>
      </c>
      <c r="J370" s="1">
        <v>977</v>
      </c>
      <c r="K370" s="1">
        <v>0</v>
      </c>
      <c r="L370" s="1">
        <v>13393</v>
      </c>
      <c r="M370" s="1">
        <v>13.122719</v>
      </c>
      <c r="N370" s="1">
        <v>102.10378</v>
      </c>
      <c r="O370" s="1">
        <v>6.24</v>
      </c>
      <c r="P370" s="1">
        <v>0.79</v>
      </c>
      <c r="Q370" s="1">
        <v>0.17</v>
      </c>
      <c r="R370" s="1">
        <v>7.01</v>
      </c>
      <c r="S370" s="1">
        <v>14.65</v>
      </c>
      <c r="T370" s="1">
        <v>8.4499999999999993</v>
      </c>
      <c r="U370" s="1">
        <v>6.72</v>
      </c>
      <c r="V370" s="1">
        <v>12.45</v>
      </c>
      <c r="W370" s="1">
        <v>0</v>
      </c>
      <c r="X370" s="1">
        <v>16889.423018000001</v>
      </c>
      <c r="Y370" s="1">
        <v>9961480.8711900003</v>
      </c>
      <c r="Z370" t="str">
        <f>VLOOKUP(G370,'Code Pro'!$A$2:$B$9,2,FALSE)</f>
        <v>จ.จันทบุรี</v>
      </c>
      <c r="AA370" s="8">
        <f t="shared" si="46"/>
        <v>62159640.636225604</v>
      </c>
      <c r="AB370" s="8">
        <f t="shared" si="47"/>
        <v>7869569.8882401008</v>
      </c>
      <c r="AC370" s="8">
        <f t="shared" si="48"/>
        <v>1693451.7481023001</v>
      </c>
      <c r="AD370" s="8">
        <f t="shared" si="49"/>
        <v>69829980.907041907</v>
      </c>
      <c r="AE370" s="8">
        <f t="shared" si="50"/>
        <v>145935694.76293352</v>
      </c>
      <c r="AF370" s="8">
        <f t="shared" si="51"/>
        <v>84174513.361555502</v>
      </c>
      <c r="AG370" s="8">
        <f t="shared" si="52"/>
        <v>66941151.454396799</v>
      </c>
      <c r="AH370" s="8">
        <f t="shared" si="53"/>
        <v>124020436.8463155</v>
      </c>
      <c r="AI370" s="8">
        <f t="shared" si="54"/>
        <v>0</v>
      </c>
    </row>
    <row r="371" spans="1:35" x14ac:dyDescent="0.55000000000000004">
      <c r="A371" s="1">
        <v>369</v>
      </c>
      <c r="B371" s="1" t="s">
        <v>20</v>
      </c>
      <c r="C371" s="1">
        <v>27</v>
      </c>
      <c r="D371" s="1">
        <v>7</v>
      </c>
      <c r="E371" s="1" t="s">
        <v>71</v>
      </c>
      <c r="F371" s="1" t="s">
        <v>72</v>
      </c>
      <c r="G371" s="1">
        <v>22</v>
      </c>
      <c r="H371" s="1">
        <v>2</v>
      </c>
      <c r="I371" s="1">
        <v>22070000</v>
      </c>
      <c r="J371" s="1">
        <v>978</v>
      </c>
      <c r="K371" s="1">
        <v>0</v>
      </c>
      <c r="L371" s="1">
        <v>13514</v>
      </c>
      <c r="M371" s="1">
        <v>13.203666999999999</v>
      </c>
      <c r="N371" s="1">
        <v>102.18692</v>
      </c>
      <c r="O371" s="1">
        <v>10.75</v>
      </c>
      <c r="P371" s="1">
        <v>0.68</v>
      </c>
      <c r="Q371" s="1">
        <v>0</v>
      </c>
      <c r="R371" s="1">
        <v>2.85</v>
      </c>
      <c r="S371" s="1">
        <v>11.93</v>
      </c>
      <c r="T371" s="1">
        <v>4.16</v>
      </c>
      <c r="U371" s="1">
        <v>12.1</v>
      </c>
      <c r="V371" s="1">
        <v>5.13</v>
      </c>
      <c r="W371" s="1">
        <v>0.25</v>
      </c>
      <c r="X371" s="1">
        <v>35971.084664000002</v>
      </c>
      <c r="Y371" s="1">
        <v>80869094.420300007</v>
      </c>
      <c r="Z371" t="str">
        <f>VLOOKUP(G371,'Code Pro'!$A$2:$B$9,2,FALSE)</f>
        <v>จ.จันทบุรี</v>
      </c>
      <c r="AA371" s="8">
        <f t="shared" si="46"/>
        <v>869342765.01822507</v>
      </c>
      <c r="AB371" s="8">
        <f t="shared" si="47"/>
        <v>54990984.205804005</v>
      </c>
      <c r="AC371" s="8">
        <f t="shared" si="48"/>
        <v>0</v>
      </c>
      <c r="AD371" s="8">
        <f t="shared" si="49"/>
        <v>230476919.09785503</v>
      </c>
      <c r="AE371" s="8">
        <f t="shared" si="50"/>
        <v>964768296.43417907</v>
      </c>
      <c r="AF371" s="8">
        <f t="shared" si="51"/>
        <v>336415432.78844804</v>
      </c>
      <c r="AG371" s="8">
        <f t="shared" si="52"/>
        <v>978516042.48563004</v>
      </c>
      <c r="AH371" s="8">
        <f t="shared" si="53"/>
        <v>414858454.37613904</v>
      </c>
      <c r="AI371" s="8">
        <f t="shared" si="54"/>
        <v>20217273.605075002</v>
      </c>
    </row>
    <row r="372" spans="1:35" x14ac:dyDescent="0.55000000000000004">
      <c r="A372" s="1">
        <v>370</v>
      </c>
      <c r="B372" s="1" t="s">
        <v>20</v>
      </c>
      <c r="C372" s="1">
        <v>27</v>
      </c>
      <c r="D372" s="1">
        <v>7</v>
      </c>
      <c r="E372" s="1" t="s">
        <v>71</v>
      </c>
      <c r="F372" s="1" t="s">
        <v>72</v>
      </c>
      <c r="G372" s="1">
        <v>22</v>
      </c>
      <c r="H372" s="1">
        <v>2</v>
      </c>
      <c r="I372" s="1">
        <v>22070000</v>
      </c>
      <c r="J372" s="1">
        <v>979</v>
      </c>
      <c r="K372" s="1">
        <v>0</v>
      </c>
      <c r="L372" s="1">
        <v>13394</v>
      </c>
      <c r="M372" s="1">
        <v>13.122719</v>
      </c>
      <c r="N372" s="1">
        <v>102.18692</v>
      </c>
      <c r="O372" s="1">
        <v>0.48</v>
      </c>
      <c r="P372" s="1">
        <v>4.17</v>
      </c>
      <c r="Q372" s="1">
        <v>0</v>
      </c>
      <c r="R372" s="1">
        <v>0.59</v>
      </c>
      <c r="S372" s="1">
        <v>6.95</v>
      </c>
      <c r="T372" s="1">
        <v>8.07</v>
      </c>
      <c r="U372" s="1">
        <v>15.8</v>
      </c>
      <c r="V372" s="1">
        <v>37.080002</v>
      </c>
      <c r="W372" s="1">
        <v>0.06</v>
      </c>
      <c r="X372" s="1">
        <v>36198.156610999999</v>
      </c>
      <c r="Y372" s="1">
        <v>78955188.008399993</v>
      </c>
      <c r="Z372" t="str">
        <f>VLOOKUP(G372,'Code Pro'!$A$2:$B$9,2,FALSE)</f>
        <v>จ.จันทบุรี</v>
      </c>
      <c r="AA372" s="8">
        <f t="shared" si="46"/>
        <v>37898490.244031996</v>
      </c>
      <c r="AB372" s="8">
        <f t="shared" si="47"/>
        <v>329243133.99502796</v>
      </c>
      <c r="AC372" s="8">
        <f t="shared" si="48"/>
        <v>0</v>
      </c>
      <c r="AD372" s="8">
        <f t="shared" si="49"/>
        <v>46583560.924955994</v>
      </c>
      <c r="AE372" s="8">
        <f t="shared" si="50"/>
        <v>548738556.65837991</v>
      </c>
      <c r="AF372" s="8">
        <f t="shared" si="51"/>
        <v>637168367.22778797</v>
      </c>
      <c r="AG372" s="8">
        <f t="shared" si="52"/>
        <v>1247491970.5327199</v>
      </c>
      <c r="AH372" s="8">
        <f t="shared" si="53"/>
        <v>2927658529.261848</v>
      </c>
      <c r="AI372" s="8">
        <f t="shared" si="54"/>
        <v>4737311.2805039994</v>
      </c>
    </row>
    <row r="373" spans="1:35" x14ac:dyDescent="0.55000000000000004">
      <c r="A373" s="1">
        <v>371</v>
      </c>
      <c r="B373" s="1" t="s">
        <v>20</v>
      </c>
      <c r="C373" s="1">
        <v>27</v>
      </c>
      <c r="D373" s="1">
        <v>7</v>
      </c>
      <c r="E373" s="1" t="s">
        <v>71</v>
      </c>
      <c r="F373" s="1" t="s">
        <v>72</v>
      </c>
      <c r="G373" s="1">
        <v>22</v>
      </c>
      <c r="H373" s="1">
        <v>2</v>
      </c>
      <c r="I373" s="1">
        <v>22070000</v>
      </c>
      <c r="J373" s="1">
        <v>980</v>
      </c>
      <c r="K373" s="1">
        <v>0</v>
      </c>
      <c r="L373" s="1">
        <v>13513</v>
      </c>
      <c r="M373" s="1">
        <v>13.203666999999999</v>
      </c>
      <c r="N373" s="1">
        <v>102.10378</v>
      </c>
      <c r="O373" s="1">
        <v>11.68</v>
      </c>
      <c r="P373" s="1">
        <v>0.09</v>
      </c>
      <c r="Q373" s="1">
        <v>0.06</v>
      </c>
      <c r="R373" s="1">
        <v>21.67</v>
      </c>
      <c r="S373" s="1">
        <v>62.639999000000003</v>
      </c>
      <c r="T373" s="1">
        <v>8.43</v>
      </c>
      <c r="U373" s="1">
        <v>9.08</v>
      </c>
      <c r="V373" s="1">
        <v>0.7</v>
      </c>
      <c r="W373" s="1">
        <v>0.09</v>
      </c>
      <c r="X373" s="1">
        <v>40099.456850000002</v>
      </c>
      <c r="Y373" s="1">
        <v>55881720.926899999</v>
      </c>
      <c r="Z373" t="str">
        <f>VLOOKUP(G373,'Code Pro'!$A$2:$B$9,2,FALSE)</f>
        <v>จ.จันทบุรี</v>
      </c>
      <c r="AA373" s="8">
        <f t="shared" si="46"/>
        <v>652698500.42619193</v>
      </c>
      <c r="AB373" s="8">
        <f t="shared" si="47"/>
        <v>5029354.8834210001</v>
      </c>
      <c r="AC373" s="8">
        <f t="shared" si="48"/>
        <v>3352903.2556139999</v>
      </c>
      <c r="AD373" s="8">
        <f t="shared" si="49"/>
        <v>1210956892.4859231</v>
      </c>
      <c r="AE373" s="8">
        <f t="shared" si="50"/>
        <v>3500430942.9792953</v>
      </c>
      <c r="AF373" s="8">
        <f t="shared" si="51"/>
        <v>471082907.41376698</v>
      </c>
      <c r="AG373" s="8">
        <f t="shared" si="52"/>
        <v>507406026.01625198</v>
      </c>
      <c r="AH373" s="8">
        <f t="shared" si="53"/>
        <v>39117204.648829997</v>
      </c>
      <c r="AI373" s="8">
        <f t="shared" si="54"/>
        <v>5029354.8834210001</v>
      </c>
    </row>
    <row r="374" spans="1:35" x14ac:dyDescent="0.55000000000000004">
      <c r="A374" s="1">
        <v>372</v>
      </c>
      <c r="B374" s="1" t="s">
        <v>20</v>
      </c>
      <c r="C374" s="1">
        <v>27</v>
      </c>
      <c r="D374" s="1">
        <v>7</v>
      </c>
      <c r="E374" s="1" t="s">
        <v>71</v>
      </c>
      <c r="F374" s="1" t="s">
        <v>72</v>
      </c>
      <c r="G374" s="1">
        <v>22</v>
      </c>
      <c r="H374" s="1">
        <v>2</v>
      </c>
      <c r="I374" s="1">
        <v>22070000</v>
      </c>
      <c r="J374" s="1">
        <v>981</v>
      </c>
      <c r="K374" s="1">
        <v>0</v>
      </c>
      <c r="L374" s="1">
        <v>13633</v>
      </c>
      <c r="M374" s="1">
        <v>13.284592</v>
      </c>
      <c r="N374" s="1">
        <v>102.10378</v>
      </c>
      <c r="O374" s="1">
        <v>27.459999</v>
      </c>
      <c r="P374" s="1">
        <v>0.4</v>
      </c>
      <c r="Q374" s="1">
        <v>7.92</v>
      </c>
      <c r="R374" s="1">
        <v>1.1499999999999999</v>
      </c>
      <c r="S374" s="1">
        <v>18.549999</v>
      </c>
      <c r="T374" s="1">
        <v>7.41</v>
      </c>
      <c r="U374" s="1">
        <v>64.010002</v>
      </c>
      <c r="V374" s="1">
        <v>0.44</v>
      </c>
      <c r="W374" s="1">
        <v>1.59</v>
      </c>
      <c r="X374" s="1">
        <v>35419.06338</v>
      </c>
      <c r="Y374" s="1">
        <v>35173160.053099997</v>
      </c>
      <c r="Z374" t="str">
        <f>VLOOKUP(G374,'Code Pro'!$A$2:$B$9,2,FALSE)</f>
        <v>จ.จันทบุรี</v>
      </c>
      <c r="AA374" s="8">
        <f t="shared" si="46"/>
        <v>965854939.8849659</v>
      </c>
      <c r="AB374" s="8">
        <f t="shared" si="47"/>
        <v>14069264.02124</v>
      </c>
      <c r="AC374" s="8">
        <f t="shared" si="48"/>
        <v>278571427.620552</v>
      </c>
      <c r="AD374" s="8">
        <f t="shared" si="49"/>
        <v>40449134.061064996</v>
      </c>
      <c r="AE374" s="8">
        <f t="shared" si="50"/>
        <v>652462083.81184494</v>
      </c>
      <c r="AF374" s="8">
        <f t="shared" si="51"/>
        <v>260633115.993471</v>
      </c>
      <c r="AG374" s="8">
        <f t="shared" si="52"/>
        <v>2251434045.3452511</v>
      </c>
      <c r="AH374" s="8">
        <f t="shared" si="53"/>
        <v>15476190.423363999</v>
      </c>
      <c r="AI374" s="8">
        <f t="shared" si="54"/>
        <v>55925324.484429002</v>
      </c>
    </row>
    <row r="375" spans="1:35" x14ac:dyDescent="0.55000000000000004">
      <c r="A375" s="1">
        <v>373</v>
      </c>
      <c r="B375" s="1" t="s">
        <v>20</v>
      </c>
      <c r="C375" s="1">
        <v>27</v>
      </c>
      <c r="D375" s="1">
        <v>7</v>
      </c>
      <c r="E375" s="1" t="s">
        <v>71</v>
      </c>
      <c r="F375" s="1" t="s">
        <v>72</v>
      </c>
      <c r="G375" s="1">
        <v>22</v>
      </c>
      <c r="H375" s="1">
        <v>2</v>
      </c>
      <c r="I375" s="1">
        <v>22070000</v>
      </c>
      <c r="J375" s="1">
        <v>988</v>
      </c>
      <c r="K375" s="1">
        <v>0</v>
      </c>
      <c r="L375" s="1">
        <v>13634</v>
      </c>
      <c r="M375" s="1">
        <v>13.284592</v>
      </c>
      <c r="N375" s="1">
        <v>102.18692</v>
      </c>
      <c r="O375" s="1">
        <v>36.889999000000003</v>
      </c>
      <c r="P375" s="1">
        <v>5.94</v>
      </c>
      <c r="Q375" s="1">
        <v>1.1200000000000001</v>
      </c>
      <c r="R375" s="1">
        <v>1.1499999999999999</v>
      </c>
      <c r="S375" s="1">
        <v>1.56</v>
      </c>
      <c r="T375" s="1">
        <v>10.98</v>
      </c>
      <c r="U375" s="1">
        <v>47.57</v>
      </c>
      <c r="V375" s="1">
        <v>0.25</v>
      </c>
      <c r="W375" s="1">
        <v>2.2599999999999998</v>
      </c>
      <c r="X375" s="1">
        <v>34891.30586</v>
      </c>
      <c r="Y375" s="1">
        <v>49872357.370300002</v>
      </c>
      <c r="Z375" t="str">
        <f>VLOOKUP(G375,'Code Pro'!$A$2:$B$9,2,FALSE)</f>
        <v>จ.จันทบุรี</v>
      </c>
      <c r="AA375" s="8">
        <f t="shared" si="46"/>
        <v>1839791213.5180099</v>
      </c>
      <c r="AB375" s="8">
        <f t="shared" si="47"/>
        <v>296241802.77958202</v>
      </c>
      <c r="AC375" s="8">
        <f t="shared" si="48"/>
        <v>55857040.254736006</v>
      </c>
      <c r="AD375" s="8">
        <f t="shared" si="49"/>
        <v>57353210.975845002</v>
      </c>
      <c r="AE375" s="8">
        <f t="shared" si="50"/>
        <v>77800877.497668013</v>
      </c>
      <c r="AF375" s="8">
        <f t="shared" si="51"/>
        <v>547598483.92589402</v>
      </c>
      <c r="AG375" s="8">
        <f t="shared" si="52"/>
        <v>2372428040.1051712</v>
      </c>
      <c r="AH375" s="8">
        <f t="shared" si="53"/>
        <v>12468089.342575001</v>
      </c>
      <c r="AI375" s="8">
        <f t="shared" si="54"/>
        <v>112711527.65687799</v>
      </c>
    </row>
    <row r="376" spans="1:35" x14ac:dyDescent="0.55000000000000004">
      <c r="A376" s="1">
        <v>374</v>
      </c>
      <c r="B376" s="1" t="s">
        <v>20</v>
      </c>
      <c r="C376" s="1">
        <v>27</v>
      </c>
      <c r="D376" s="1">
        <v>7</v>
      </c>
      <c r="E376" s="1" t="s">
        <v>71</v>
      </c>
      <c r="F376" s="1" t="s">
        <v>72</v>
      </c>
      <c r="G376" s="1">
        <v>22</v>
      </c>
      <c r="H376" s="1">
        <v>2</v>
      </c>
      <c r="I376" s="1">
        <v>22070000</v>
      </c>
      <c r="J376" s="1">
        <v>989</v>
      </c>
      <c r="K376" s="1">
        <v>0</v>
      </c>
      <c r="L376" s="1">
        <v>13753</v>
      </c>
      <c r="M376" s="1">
        <v>13.365479000000001</v>
      </c>
      <c r="N376" s="1">
        <v>102.10378</v>
      </c>
      <c r="O376" s="1">
        <v>18.84</v>
      </c>
      <c r="P376" s="1">
        <v>0.75</v>
      </c>
      <c r="Q376" s="1">
        <v>11.6</v>
      </c>
      <c r="R376" s="1">
        <v>8.9499999999999993</v>
      </c>
      <c r="S376" s="1">
        <v>7.21</v>
      </c>
      <c r="T376" s="1">
        <v>9.4</v>
      </c>
      <c r="U376" s="1">
        <v>33.549999</v>
      </c>
      <c r="V376" s="1">
        <v>0.01</v>
      </c>
      <c r="W376" s="1">
        <v>7.0000000000000007E-2</v>
      </c>
      <c r="X376" s="1">
        <v>6016.7326149999999</v>
      </c>
      <c r="Y376" s="1">
        <v>1245520.3162</v>
      </c>
      <c r="Z376" t="str">
        <f>VLOOKUP(G376,'Code Pro'!$A$2:$B$9,2,FALSE)</f>
        <v>จ.จันทบุรี</v>
      </c>
      <c r="AA376" s="8">
        <f t="shared" si="46"/>
        <v>23465602.757208001</v>
      </c>
      <c r="AB376" s="8">
        <f t="shared" si="47"/>
        <v>934140.23714999994</v>
      </c>
      <c r="AC376" s="8">
        <f t="shared" si="48"/>
        <v>14448035.667919999</v>
      </c>
      <c r="AD376" s="8">
        <f t="shared" si="49"/>
        <v>11147406.82999</v>
      </c>
      <c r="AE376" s="8">
        <f t="shared" si="50"/>
        <v>8980201.4798019994</v>
      </c>
      <c r="AF376" s="8">
        <f t="shared" si="51"/>
        <v>11707890.972280001</v>
      </c>
      <c r="AG376" s="8">
        <f t="shared" si="52"/>
        <v>41787205.362989686</v>
      </c>
      <c r="AH376" s="8">
        <f t="shared" si="53"/>
        <v>12455.203162</v>
      </c>
      <c r="AI376" s="8">
        <f t="shared" si="54"/>
        <v>87186.422134000008</v>
      </c>
    </row>
    <row r="377" spans="1:35" x14ac:dyDescent="0.55000000000000004">
      <c r="A377" s="1">
        <v>375</v>
      </c>
      <c r="B377" s="1" t="s">
        <v>20</v>
      </c>
      <c r="C377" s="1">
        <v>27</v>
      </c>
      <c r="D377" s="1">
        <v>7</v>
      </c>
      <c r="E377" s="1" t="s">
        <v>71</v>
      </c>
      <c r="F377" s="1" t="s">
        <v>72</v>
      </c>
      <c r="G377" s="1">
        <v>22</v>
      </c>
      <c r="H377" s="1">
        <v>2</v>
      </c>
      <c r="I377" s="1">
        <v>22070000</v>
      </c>
      <c r="J377" s="1">
        <v>993</v>
      </c>
      <c r="K377" s="1">
        <v>0</v>
      </c>
      <c r="L377" s="1">
        <v>13395</v>
      </c>
      <c r="M377" s="1">
        <v>13.122719</v>
      </c>
      <c r="N377" s="1">
        <v>102.27006</v>
      </c>
      <c r="O377" s="1">
        <v>6.78</v>
      </c>
      <c r="P377" s="1">
        <v>19.030000999999999</v>
      </c>
      <c r="Q377" s="1">
        <v>0</v>
      </c>
      <c r="R377" s="1">
        <v>0.01</v>
      </c>
      <c r="S377" s="1">
        <v>59.889999000000003</v>
      </c>
      <c r="T377" s="1">
        <v>7.68</v>
      </c>
      <c r="U377" s="1">
        <v>10.220000000000001</v>
      </c>
      <c r="V377" s="1">
        <v>31.959999</v>
      </c>
      <c r="W377" s="1">
        <v>0.17</v>
      </c>
      <c r="X377" s="1">
        <v>35985.413585000002</v>
      </c>
      <c r="Y377" s="1">
        <v>80933561.377000004</v>
      </c>
      <c r="Z377" t="str">
        <f>VLOOKUP(G377,'Code Pro'!$A$2:$B$9,2,FALSE)</f>
        <v>จ.จันทบุรี</v>
      </c>
      <c r="AA377" s="8">
        <f t="shared" si="46"/>
        <v>548729546.13606</v>
      </c>
      <c r="AB377" s="8">
        <f t="shared" si="47"/>
        <v>1540165753.9378715</v>
      </c>
      <c r="AC377" s="8">
        <f t="shared" si="48"/>
        <v>0</v>
      </c>
      <c r="AD377" s="8">
        <f t="shared" si="49"/>
        <v>809335.61377000005</v>
      </c>
      <c r="AE377" s="8">
        <f t="shared" si="50"/>
        <v>4847110909.9349689</v>
      </c>
      <c r="AF377" s="8">
        <f t="shared" si="51"/>
        <v>621569751.37536001</v>
      </c>
      <c r="AG377" s="8">
        <f t="shared" si="52"/>
        <v>827140997.27294004</v>
      </c>
      <c r="AH377" s="8">
        <f t="shared" si="53"/>
        <v>2586636540.6753588</v>
      </c>
      <c r="AI377" s="8">
        <f t="shared" si="54"/>
        <v>13758705.434090002</v>
      </c>
    </row>
    <row r="378" spans="1:35" x14ac:dyDescent="0.55000000000000004">
      <c r="A378" s="1">
        <v>376</v>
      </c>
      <c r="B378" s="1" t="s">
        <v>20</v>
      </c>
      <c r="C378" s="1">
        <v>27</v>
      </c>
      <c r="D378" s="1">
        <v>7</v>
      </c>
      <c r="E378" s="1" t="s">
        <v>71</v>
      </c>
      <c r="F378" s="1" t="s">
        <v>72</v>
      </c>
      <c r="G378" s="1">
        <v>22</v>
      </c>
      <c r="H378" s="1">
        <v>2</v>
      </c>
      <c r="I378" s="1">
        <v>22070000</v>
      </c>
      <c r="J378" s="1">
        <v>994</v>
      </c>
      <c r="K378" s="1">
        <v>0</v>
      </c>
      <c r="L378" s="1">
        <v>13396</v>
      </c>
      <c r="M378" s="1">
        <v>13.122719</v>
      </c>
      <c r="N378" s="1">
        <v>102.35319</v>
      </c>
      <c r="O378" s="1">
        <v>18.91</v>
      </c>
      <c r="P378" s="1">
        <v>8.7200000000000006</v>
      </c>
      <c r="Q378" s="1">
        <v>0</v>
      </c>
      <c r="R378" s="1">
        <v>0.27</v>
      </c>
      <c r="S378" s="1">
        <v>35.200001</v>
      </c>
      <c r="T378" s="1">
        <v>6.6</v>
      </c>
      <c r="U378" s="1">
        <v>15.72</v>
      </c>
      <c r="V378" s="1">
        <v>14.57</v>
      </c>
      <c r="W378" s="1">
        <v>2.44</v>
      </c>
      <c r="X378" s="1">
        <v>40260.846060999997</v>
      </c>
      <c r="Y378" s="1">
        <v>45023087.830499999</v>
      </c>
      <c r="Z378" t="str">
        <f>VLOOKUP(G378,'Code Pro'!$A$2:$B$9,2,FALSE)</f>
        <v>จ.จันทบุรี</v>
      </c>
      <c r="AA378" s="8">
        <f t="shared" si="46"/>
        <v>851386590.87475502</v>
      </c>
      <c r="AB378" s="8">
        <f t="shared" si="47"/>
        <v>392601325.88196003</v>
      </c>
      <c r="AC378" s="8">
        <f t="shared" si="48"/>
        <v>0</v>
      </c>
      <c r="AD378" s="8">
        <f t="shared" si="49"/>
        <v>12156233.714235</v>
      </c>
      <c r="AE378" s="8">
        <f t="shared" si="50"/>
        <v>1584812736.6566877</v>
      </c>
      <c r="AF378" s="8">
        <f t="shared" si="51"/>
        <v>297152379.68129998</v>
      </c>
      <c r="AG378" s="8">
        <f t="shared" si="52"/>
        <v>707762940.69545996</v>
      </c>
      <c r="AH378" s="8">
        <f t="shared" si="53"/>
        <v>655986389.69038498</v>
      </c>
      <c r="AI378" s="8">
        <f t="shared" si="54"/>
        <v>109856334.30642</v>
      </c>
    </row>
    <row r="379" spans="1:35" x14ac:dyDescent="0.55000000000000004">
      <c r="A379" s="1">
        <v>377</v>
      </c>
      <c r="B379" s="1" t="s">
        <v>20</v>
      </c>
      <c r="C379" s="1">
        <v>27</v>
      </c>
      <c r="D379" s="1">
        <v>7</v>
      </c>
      <c r="E379" s="1" t="s">
        <v>71</v>
      </c>
      <c r="F379" s="1" t="s">
        <v>72</v>
      </c>
      <c r="G379" s="1">
        <v>22</v>
      </c>
      <c r="H379" s="1">
        <v>2</v>
      </c>
      <c r="I379" s="1">
        <v>22070000</v>
      </c>
      <c r="J379" s="1">
        <v>995</v>
      </c>
      <c r="K379" s="1">
        <v>0</v>
      </c>
      <c r="L379" s="1">
        <v>13636</v>
      </c>
      <c r="M379" s="1">
        <v>13.284592</v>
      </c>
      <c r="N379" s="1">
        <v>102.35319</v>
      </c>
      <c r="O379" s="1">
        <v>21.219999000000001</v>
      </c>
      <c r="P379" s="1">
        <v>3.05</v>
      </c>
      <c r="Q379" s="1">
        <v>0.28999999999999998</v>
      </c>
      <c r="R379" s="1">
        <v>11.82</v>
      </c>
      <c r="S379" s="1">
        <v>11.98</v>
      </c>
      <c r="T379" s="1">
        <v>19.41</v>
      </c>
      <c r="U379" s="1">
        <v>3.67</v>
      </c>
      <c r="V379" s="1">
        <v>0.71</v>
      </c>
      <c r="W379" s="1">
        <v>0.08</v>
      </c>
      <c r="X379" s="1">
        <v>26450.713024000001</v>
      </c>
      <c r="Y379" s="1">
        <v>33065629.607000001</v>
      </c>
      <c r="Z379" t="str">
        <f>VLOOKUP(G379,'Code Pro'!$A$2:$B$9,2,FALSE)</f>
        <v>จ.จันทบุรี</v>
      </c>
      <c r="AA379" s="8">
        <f t="shared" si="46"/>
        <v>701652627.19491041</v>
      </c>
      <c r="AB379" s="8">
        <f t="shared" si="47"/>
        <v>100850170.30135</v>
      </c>
      <c r="AC379" s="8">
        <f t="shared" si="48"/>
        <v>9589032.586029999</v>
      </c>
      <c r="AD379" s="8">
        <f t="shared" si="49"/>
        <v>390835741.95474005</v>
      </c>
      <c r="AE379" s="8">
        <f t="shared" si="50"/>
        <v>396126242.69186002</v>
      </c>
      <c r="AF379" s="8">
        <f t="shared" si="51"/>
        <v>641803870.67186999</v>
      </c>
      <c r="AG379" s="8">
        <f t="shared" si="52"/>
        <v>121350860.65769</v>
      </c>
      <c r="AH379" s="8">
        <f t="shared" si="53"/>
        <v>23476597.020969998</v>
      </c>
      <c r="AI379" s="8">
        <f t="shared" si="54"/>
        <v>2645250.3685600003</v>
      </c>
    </row>
    <row r="380" spans="1:35" x14ac:dyDescent="0.55000000000000004">
      <c r="A380" s="1">
        <v>378</v>
      </c>
      <c r="B380" s="1" t="s">
        <v>20</v>
      </c>
      <c r="C380" s="1">
        <v>27</v>
      </c>
      <c r="D380" s="1">
        <v>7</v>
      </c>
      <c r="E380" s="1" t="s">
        <v>71</v>
      </c>
      <c r="F380" s="1" t="s">
        <v>72</v>
      </c>
      <c r="G380" s="1">
        <v>22</v>
      </c>
      <c r="H380" s="1">
        <v>2</v>
      </c>
      <c r="I380" s="1">
        <v>22070000</v>
      </c>
      <c r="J380" s="1">
        <v>996</v>
      </c>
      <c r="K380" s="1">
        <v>0</v>
      </c>
      <c r="L380" s="1">
        <v>13515</v>
      </c>
      <c r="M380" s="1">
        <v>13.203666999999999</v>
      </c>
      <c r="N380" s="1">
        <v>102.27006</v>
      </c>
      <c r="O380" s="1">
        <v>19.309999000000001</v>
      </c>
      <c r="P380" s="1">
        <v>10.29</v>
      </c>
      <c r="Q380" s="1">
        <v>0</v>
      </c>
      <c r="R380" s="1">
        <v>0</v>
      </c>
      <c r="S380" s="1">
        <v>20.860001</v>
      </c>
      <c r="T380" s="1">
        <v>26.75</v>
      </c>
      <c r="U380" s="1">
        <v>13.4</v>
      </c>
      <c r="V380" s="1">
        <v>10.65</v>
      </c>
      <c r="W380" s="1">
        <v>0.13</v>
      </c>
      <c r="X380" s="1">
        <v>35972.807544000003</v>
      </c>
      <c r="Y380" s="1">
        <v>80876856.8345</v>
      </c>
      <c r="Z380" t="str">
        <f>VLOOKUP(G380,'Code Pro'!$A$2:$B$9,2,FALSE)</f>
        <v>จ.จันทบุรี</v>
      </c>
      <c r="AA380" s="8">
        <f t="shared" si="46"/>
        <v>1561732024.5973382</v>
      </c>
      <c r="AB380" s="8">
        <f t="shared" si="47"/>
        <v>832222856.82700491</v>
      </c>
      <c r="AC380" s="8">
        <f t="shared" si="48"/>
        <v>0</v>
      </c>
      <c r="AD380" s="8">
        <f t="shared" si="49"/>
        <v>0</v>
      </c>
      <c r="AE380" s="8">
        <f t="shared" si="50"/>
        <v>1687091314.4445269</v>
      </c>
      <c r="AF380" s="8">
        <f t="shared" si="51"/>
        <v>2163455920.322875</v>
      </c>
      <c r="AG380" s="8">
        <f t="shared" si="52"/>
        <v>1083749881.5822999</v>
      </c>
      <c r="AH380" s="8">
        <f t="shared" si="53"/>
        <v>861338525.28742504</v>
      </c>
      <c r="AI380" s="8">
        <f t="shared" si="54"/>
        <v>10513991.388485</v>
      </c>
    </row>
    <row r="381" spans="1:35" x14ac:dyDescent="0.55000000000000004">
      <c r="A381" s="1">
        <v>379</v>
      </c>
      <c r="B381" s="1" t="s">
        <v>20</v>
      </c>
      <c r="C381" s="1">
        <v>27</v>
      </c>
      <c r="D381" s="1">
        <v>7</v>
      </c>
      <c r="E381" s="1" t="s">
        <v>71</v>
      </c>
      <c r="F381" s="1" t="s">
        <v>72</v>
      </c>
      <c r="G381" s="1">
        <v>22</v>
      </c>
      <c r="H381" s="1">
        <v>2</v>
      </c>
      <c r="I381" s="1">
        <v>22070000</v>
      </c>
      <c r="J381" s="1">
        <v>997</v>
      </c>
      <c r="K381" s="1">
        <v>0</v>
      </c>
      <c r="L381" s="1">
        <v>13516</v>
      </c>
      <c r="M381" s="1">
        <v>13.203666999999999</v>
      </c>
      <c r="N381" s="1">
        <v>102.35319</v>
      </c>
      <c r="O381" s="1">
        <v>16.440000999999999</v>
      </c>
      <c r="P381" s="1">
        <v>2.2200000000000002</v>
      </c>
      <c r="Q381" s="1">
        <v>0.49</v>
      </c>
      <c r="R381" s="1">
        <v>0.67</v>
      </c>
      <c r="S381" s="1">
        <v>15.57</v>
      </c>
      <c r="T381" s="1">
        <v>10.81</v>
      </c>
      <c r="U381" s="1">
        <v>5.7</v>
      </c>
      <c r="V381" s="1">
        <v>17.790001</v>
      </c>
      <c r="W381" s="1">
        <v>0.05</v>
      </c>
      <c r="X381" s="1">
        <v>34924.655118000002</v>
      </c>
      <c r="Y381" s="1">
        <v>73019698.943800002</v>
      </c>
      <c r="Z381" t="str">
        <f>VLOOKUP(G381,'Code Pro'!$A$2:$B$9,2,FALSE)</f>
        <v>จ.จันทบุรี</v>
      </c>
      <c r="AA381" s="8">
        <f t="shared" si="46"/>
        <v>1200443923.6557708</v>
      </c>
      <c r="AB381" s="8">
        <f t="shared" si="47"/>
        <v>162103731.65523601</v>
      </c>
      <c r="AC381" s="8">
        <f t="shared" si="48"/>
        <v>35779652.482462004</v>
      </c>
      <c r="AD381" s="8">
        <f t="shared" si="49"/>
        <v>48923198.292346008</v>
      </c>
      <c r="AE381" s="8">
        <f t="shared" si="50"/>
        <v>1136916712.554966</v>
      </c>
      <c r="AF381" s="8">
        <f t="shared" si="51"/>
        <v>789342945.58247805</v>
      </c>
      <c r="AG381" s="8">
        <f t="shared" si="52"/>
        <v>416212283.97966003</v>
      </c>
      <c r="AH381" s="8">
        <f t="shared" si="53"/>
        <v>1299020517.2299011</v>
      </c>
      <c r="AI381" s="8">
        <f t="shared" si="54"/>
        <v>3650984.9471900002</v>
      </c>
    </row>
    <row r="382" spans="1:35" x14ac:dyDescent="0.55000000000000004">
      <c r="A382" s="1">
        <v>380</v>
      </c>
      <c r="B382" s="1" t="s">
        <v>20</v>
      </c>
      <c r="C382" s="1">
        <v>27</v>
      </c>
      <c r="D382" s="1">
        <v>7</v>
      </c>
      <c r="E382" s="1" t="s">
        <v>71</v>
      </c>
      <c r="F382" s="1" t="s">
        <v>72</v>
      </c>
      <c r="G382" s="1">
        <v>22</v>
      </c>
      <c r="H382" s="1">
        <v>2</v>
      </c>
      <c r="I382" s="1">
        <v>22070000</v>
      </c>
      <c r="J382" s="1">
        <v>1000</v>
      </c>
      <c r="K382" s="1">
        <v>0</v>
      </c>
      <c r="L382" s="1">
        <v>13635</v>
      </c>
      <c r="M382" s="1">
        <v>13.284592</v>
      </c>
      <c r="N382" s="1">
        <v>102.27006</v>
      </c>
      <c r="O382" s="1">
        <v>3.38</v>
      </c>
      <c r="P382" s="1">
        <v>44.349997999999999</v>
      </c>
      <c r="Q382" s="1">
        <v>0.14000000000000001</v>
      </c>
      <c r="R382" s="1">
        <v>0.39</v>
      </c>
      <c r="S382" s="1">
        <v>9.15</v>
      </c>
      <c r="T382" s="1">
        <v>38.68</v>
      </c>
      <c r="U382" s="1">
        <v>15.62</v>
      </c>
      <c r="V382" s="1">
        <v>0.83</v>
      </c>
      <c r="W382" s="1">
        <v>0.31</v>
      </c>
      <c r="X382" s="1">
        <v>33201.730921000002</v>
      </c>
      <c r="Y382" s="1">
        <v>22958563.5867</v>
      </c>
      <c r="Z382" t="str">
        <f>VLOOKUP(G382,'Code Pro'!$A$2:$B$9,2,FALSE)</f>
        <v>จ.จันทบุรี</v>
      </c>
      <c r="AA382" s="8">
        <f t="shared" si="46"/>
        <v>77599944.923045993</v>
      </c>
      <c r="AB382" s="8">
        <f t="shared" si="47"/>
        <v>1018212249.1530178</v>
      </c>
      <c r="AC382" s="8">
        <f t="shared" si="48"/>
        <v>3214198.9021380004</v>
      </c>
      <c r="AD382" s="8">
        <f t="shared" si="49"/>
        <v>8953839.7988130003</v>
      </c>
      <c r="AE382" s="8">
        <f t="shared" si="50"/>
        <v>210070856.81830502</v>
      </c>
      <c r="AF382" s="8">
        <f t="shared" si="51"/>
        <v>888037239.53355598</v>
      </c>
      <c r="AG382" s="8">
        <f t="shared" si="52"/>
        <v>358612763.22425395</v>
      </c>
      <c r="AH382" s="8">
        <f t="shared" si="53"/>
        <v>19055607.776960999</v>
      </c>
      <c r="AI382" s="8">
        <f t="shared" si="54"/>
        <v>7117154.7118769996</v>
      </c>
    </row>
    <row r="383" spans="1:35" x14ac:dyDescent="0.55000000000000004">
      <c r="A383" s="1">
        <v>381</v>
      </c>
      <c r="B383" s="1" t="s">
        <v>20</v>
      </c>
      <c r="C383" s="1">
        <v>27</v>
      </c>
      <c r="D383" s="1">
        <v>7</v>
      </c>
      <c r="E383" s="1" t="s">
        <v>71</v>
      </c>
      <c r="F383" s="1" t="s">
        <v>72</v>
      </c>
      <c r="G383" s="1">
        <v>22</v>
      </c>
      <c r="H383" s="1">
        <v>2</v>
      </c>
      <c r="I383" s="1">
        <v>22070000</v>
      </c>
      <c r="J383" s="1">
        <v>1003</v>
      </c>
      <c r="K383" s="1">
        <v>0</v>
      </c>
      <c r="L383" s="1">
        <v>13397</v>
      </c>
      <c r="M383" s="1">
        <v>13.122719</v>
      </c>
      <c r="N383" s="1">
        <v>102.436325</v>
      </c>
      <c r="O383" s="1">
        <v>56.459999000000003</v>
      </c>
      <c r="P383" s="1">
        <v>6.86</v>
      </c>
      <c r="Q383" s="1">
        <v>0</v>
      </c>
      <c r="R383" s="1">
        <v>1.96</v>
      </c>
      <c r="S383" s="1">
        <v>1.64</v>
      </c>
      <c r="T383" s="1">
        <v>4.45</v>
      </c>
      <c r="U383" s="1">
        <v>15.14</v>
      </c>
      <c r="V383" s="1">
        <v>10.38</v>
      </c>
      <c r="W383" s="1">
        <v>7.0000000000000007E-2</v>
      </c>
      <c r="X383" s="1">
        <v>1181.8400160000001</v>
      </c>
      <c r="Y383" s="1">
        <v>38205.858420999997</v>
      </c>
      <c r="Z383" t="str">
        <f>VLOOKUP(G383,'Code Pro'!$A$2:$B$9,2,FALSE)</f>
        <v>จ.จันทบุรี</v>
      </c>
      <c r="AA383" s="8">
        <f t="shared" si="46"/>
        <v>2157102.7282438017</v>
      </c>
      <c r="AB383" s="8">
        <f t="shared" si="47"/>
        <v>262092.18876806</v>
      </c>
      <c r="AC383" s="8">
        <f t="shared" si="48"/>
        <v>0</v>
      </c>
      <c r="AD383" s="8">
        <f t="shared" si="49"/>
        <v>74883.482505159991</v>
      </c>
      <c r="AE383" s="8">
        <f t="shared" si="50"/>
        <v>62657.607810439993</v>
      </c>
      <c r="AF383" s="8">
        <f t="shared" si="51"/>
        <v>170016.06997345001</v>
      </c>
      <c r="AG383" s="8">
        <f t="shared" si="52"/>
        <v>578436.69649393996</v>
      </c>
      <c r="AH383" s="8">
        <f t="shared" si="53"/>
        <v>396576.81040998001</v>
      </c>
      <c r="AI383" s="8">
        <f t="shared" si="54"/>
        <v>2674.41008947</v>
      </c>
    </row>
    <row r="384" spans="1:35" x14ac:dyDescent="0.55000000000000004">
      <c r="A384" s="1">
        <v>382</v>
      </c>
      <c r="B384" s="1" t="s">
        <v>20</v>
      </c>
      <c r="C384" s="1">
        <v>27</v>
      </c>
      <c r="D384" s="1">
        <v>7</v>
      </c>
      <c r="E384" s="1" t="s">
        <v>71</v>
      </c>
      <c r="F384" s="1" t="s">
        <v>72</v>
      </c>
      <c r="G384" s="1">
        <v>22</v>
      </c>
      <c r="H384" s="1">
        <v>2</v>
      </c>
      <c r="I384" s="1">
        <v>22070000</v>
      </c>
      <c r="J384" s="1">
        <v>1006</v>
      </c>
      <c r="K384" s="1">
        <v>0</v>
      </c>
      <c r="L384" s="1">
        <v>13517</v>
      </c>
      <c r="M384" s="1">
        <v>13.203666999999999</v>
      </c>
      <c r="N384" s="1">
        <v>102.436325</v>
      </c>
      <c r="O384" s="1">
        <v>51.41</v>
      </c>
      <c r="P384" s="1">
        <v>1.47</v>
      </c>
      <c r="Q384" s="1">
        <v>0.09</v>
      </c>
      <c r="R384" s="1">
        <v>3.44</v>
      </c>
      <c r="S384" s="1">
        <v>4.82</v>
      </c>
      <c r="T384" s="1">
        <v>1.3</v>
      </c>
      <c r="U384" s="1">
        <v>5.2</v>
      </c>
      <c r="V384" s="1">
        <v>27.98</v>
      </c>
      <c r="W384" s="1">
        <v>0.04</v>
      </c>
      <c r="X384" s="1">
        <v>3521.59069</v>
      </c>
      <c r="Y384" s="1">
        <v>470245.23389099998</v>
      </c>
      <c r="Z384" t="str">
        <f>VLOOKUP(G384,'Code Pro'!$A$2:$B$9,2,FALSE)</f>
        <v>จ.จันทบุรี</v>
      </c>
      <c r="AA384" s="8">
        <f t="shared" si="46"/>
        <v>24175307.474336307</v>
      </c>
      <c r="AB384" s="8">
        <f t="shared" si="47"/>
        <v>691260.49381976994</v>
      </c>
      <c r="AC384" s="8">
        <f t="shared" si="48"/>
        <v>42322.071050189996</v>
      </c>
      <c r="AD384" s="8">
        <f t="shared" si="49"/>
        <v>1617643.6045850399</v>
      </c>
      <c r="AE384" s="8">
        <f t="shared" si="50"/>
        <v>2266582.0273546199</v>
      </c>
      <c r="AF384" s="8">
        <f t="shared" si="51"/>
        <v>611318.80405829998</v>
      </c>
      <c r="AG384" s="8">
        <f t="shared" si="52"/>
        <v>2445275.2162331999</v>
      </c>
      <c r="AH384" s="8">
        <f t="shared" si="53"/>
        <v>13157461.64427018</v>
      </c>
      <c r="AI384" s="8">
        <f t="shared" si="54"/>
        <v>18809.809355639998</v>
      </c>
    </row>
    <row r="385" spans="1:35" x14ac:dyDescent="0.55000000000000004">
      <c r="A385" s="1">
        <v>383</v>
      </c>
      <c r="B385" s="1" t="s">
        <v>20</v>
      </c>
      <c r="C385" s="1">
        <v>28</v>
      </c>
      <c r="D385" s="1">
        <v>8</v>
      </c>
      <c r="E385" s="1" t="s">
        <v>73</v>
      </c>
      <c r="F385" s="1" t="s">
        <v>74</v>
      </c>
      <c r="G385" s="1">
        <v>22</v>
      </c>
      <c r="H385" s="1">
        <v>2</v>
      </c>
      <c r="I385" s="1">
        <v>22080000</v>
      </c>
      <c r="J385" s="1">
        <v>306</v>
      </c>
      <c r="K385" s="1">
        <v>0</v>
      </c>
      <c r="L385" s="1">
        <v>13149</v>
      </c>
      <c r="M385" s="1">
        <v>12.960724000000001</v>
      </c>
      <c r="N385" s="1">
        <v>101.77124000000001</v>
      </c>
      <c r="O385" s="1">
        <v>24.200001</v>
      </c>
      <c r="P385" s="1">
        <v>0</v>
      </c>
      <c r="Q385" s="1">
        <v>0.04</v>
      </c>
      <c r="R385" s="1">
        <v>0.35</v>
      </c>
      <c r="S385" s="1">
        <v>30.639999</v>
      </c>
      <c r="T385" s="1">
        <v>5.83</v>
      </c>
      <c r="U385" s="1">
        <v>7.29</v>
      </c>
      <c r="V385" s="1">
        <v>4.3</v>
      </c>
      <c r="W385" s="1">
        <v>0.17</v>
      </c>
      <c r="X385" s="1">
        <v>33722.518833000002</v>
      </c>
      <c r="Y385" s="1">
        <v>52334921.658100002</v>
      </c>
      <c r="Z385" t="str">
        <f>VLOOKUP(G385,'Code Pro'!$A$2:$B$9,2,FALSE)</f>
        <v>จ.จันทบุรี</v>
      </c>
      <c r="AA385" s="8">
        <f t="shared" si="46"/>
        <v>1266505156.4609418</v>
      </c>
      <c r="AB385" s="8">
        <f t="shared" si="47"/>
        <v>0</v>
      </c>
      <c r="AC385" s="8">
        <f t="shared" si="48"/>
        <v>2093396.8663240001</v>
      </c>
      <c r="AD385" s="8">
        <f t="shared" si="49"/>
        <v>18317222.580334999</v>
      </c>
      <c r="AE385" s="8">
        <f t="shared" si="50"/>
        <v>1603541947.2692623</v>
      </c>
      <c r="AF385" s="8">
        <f t="shared" si="51"/>
        <v>305112593.26672304</v>
      </c>
      <c r="AG385" s="8">
        <f t="shared" si="52"/>
        <v>381521578.88754904</v>
      </c>
      <c r="AH385" s="8">
        <f t="shared" si="53"/>
        <v>225040163.12983</v>
      </c>
      <c r="AI385" s="8">
        <f t="shared" si="54"/>
        <v>8896936.6818770003</v>
      </c>
    </row>
    <row r="386" spans="1:35" x14ac:dyDescent="0.55000000000000004">
      <c r="A386" s="1">
        <v>384</v>
      </c>
      <c r="B386" s="1" t="s">
        <v>20</v>
      </c>
      <c r="C386" s="1">
        <v>28</v>
      </c>
      <c r="D386" s="1">
        <v>8</v>
      </c>
      <c r="E386" s="1" t="s">
        <v>73</v>
      </c>
      <c r="F386" s="1" t="s">
        <v>74</v>
      </c>
      <c r="G386" s="1">
        <v>22</v>
      </c>
      <c r="H386" s="1">
        <v>2</v>
      </c>
      <c r="I386" s="1">
        <v>22080000</v>
      </c>
      <c r="J386" s="1">
        <v>308</v>
      </c>
      <c r="K386" s="1">
        <v>0</v>
      </c>
      <c r="L386" s="1">
        <v>13029</v>
      </c>
      <c r="M386" s="1">
        <v>12.8797</v>
      </c>
      <c r="N386" s="1">
        <v>101.77124000000001</v>
      </c>
      <c r="O386" s="1">
        <v>7.76</v>
      </c>
      <c r="P386" s="1">
        <v>0</v>
      </c>
      <c r="Q386" s="1">
        <v>0.36</v>
      </c>
      <c r="R386" s="1">
        <v>7.84</v>
      </c>
      <c r="S386" s="1">
        <v>4.29</v>
      </c>
      <c r="T386" s="1">
        <v>10.71</v>
      </c>
      <c r="U386" s="1">
        <v>2.85</v>
      </c>
      <c r="V386" s="1">
        <v>10.83</v>
      </c>
      <c r="W386" s="1">
        <v>0.12</v>
      </c>
      <c r="X386" s="1">
        <v>9690.0787899999996</v>
      </c>
      <c r="Y386" s="1">
        <v>3132820.5059699998</v>
      </c>
      <c r="Z386" t="str">
        <f>VLOOKUP(G386,'Code Pro'!$A$2:$B$9,2,FALSE)</f>
        <v>จ.จันทบุรี</v>
      </c>
      <c r="AA386" s="8">
        <f t="shared" si="46"/>
        <v>24310687.126327198</v>
      </c>
      <c r="AB386" s="8">
        <f t="shared" si="47"/>
        <v>0</v>
      </c>
      <c r="AC386" s="8">
        <f t="shared" si="48"/>
        <v>1127815.3821492</v>
      </c>
      <c r="AD386" s="8">
        <f t="shared" si="49"/>
        <v>24561312.766804799</v>
      </c>
      <c r="AE386" s="8">
        <f t="shared" si="50"/>
        <v>13439799.970611298</v>
      </c>
      <c r="AF386" s="8">
        <f t="shared" si="51"/>
        <v>33552507.618938699</v>
      </c>
      <c r="AG386" s="8">
        <f t="shared" si="52"/>
        <v>8928538.4420145005</v>
      </c>
      <c r="AH386" s="8">
        <f t="shared" si="53"/>
        <v>33928446.079655096</v>
      </c>
      <c r="AI386" s="8">
        <f t="shared" si="54"/>
        <v>375938.46071639995</v>
      </c>
    </row>
    <row r="387" spans="1:35" x14ac:dyDescent="0.55000000000000004">
      <c r="A387" s="1">
        <v>385</v>
      </c>
      <c r="B387" s="1" t="s">
        <v>20</v>
      </c>
      <c r="C387" s="1">
        <v>28</v>
      </c>
      <c r="D387" s="1">
        <v>8</v>
      </c>
      <c r="E387" s="1" t="s">
        <v>73</v>
      </c>
      <c r="F387" s="1" t="s">
        <v>74</v>
      </c>
      <c r="G387" s="1">
        <v>22</v>
      </c>
      <c r="H387" s="1">
        <v>2</v>
      </c>
      <c r="I387" s="1">
        <v>22080000</v>
      </c>
      <c r="J387" s="1">
        <v>309</v>
      </c>
      <c r="K387" s="1">
        <v>0</v>
      </c>
      <c r="L387" s="1">
        <v>13269</v>
      </c>
      <c r="M387" s="1">
        <v>13.041733000000001</v>
      </c>
      <c r="N387" s="1">
        <v>101.77124000000001</v>
      </c>
      <c r="O387" s="1">
        <v>27.299999</v>
      </c>
      <c r="P387" s="1">
        <v>0.04</v>
      </c>
      <c r="Q387" s="1">
        <v>0.06</v>
      </c>
      <c r="R387" s="1">
        <v>0.13</v>
      </c>
      <c r="S387" s="1">
        <v>99.449996999999996</v>
      </c>
      <c r="T387" s="1">
        <v>5.0199999999999996</v>
      </c>
      <c r="U387" s="1">
        <v>5.19</v>
      </c>
      <c r="V387" s="1">
        <v>0.5</v>
      </c>
      <c r="W387" s="1">
        <v>0</v>
      </c>
      <c r="X387" s="1">
        <v>40625.257458</v>
      </c>
      <c r="Y387" s="1">
        <v>68843617.612000003</v>
      </c>
      <c r="Z387" t="str">
        <f>VLOOKUP(G387,'Code Pro'!$A$2:$B$9,2,FALSE)</f>
        <v>จ.จันทบุรี</v>
      </c>
      <c r="AA387" s="8">
        <f t="shared" ref="AA387:AA450" si="55">+O387*$Y387</f>
        <v>1879430691.9639823</v>
      </c>
      <c r="AB387" s="8">
        <f t="shared" ref="AB387:AB450" si="56">+P387*$Y387</f>
        <v>2753744.7044800003</v>
      </c>
      <c r="AC387" s="8">
        <f t="shared" ref="AC387:AC450" si="57">+Q387*$Y387</f>
        <v>4130617.0567200002</v>
      </c>
      <c r="AD387" s="8">
        <f t="shared" ref="AD387:AD450" si="58">+R387*$Y387</f>
        <v>8949670.2895600013</v>
      </c>
      <c r="AE387" s="8">
        <f t="shared" ref="AE387:AE450" si="59">+S387*$Y387</f>
        <v>6846497564.9825468</v>
      </c>
      <c r="AF387" s="8">
        <f t="shared" ref="AF387:AF450" si="60">+T387*$Y387</f>
        <v>345594960.41223997</v>
      </c>
      <c r="AG387" s="8">
        <f t="shared" ref="AG387:AG450" si="61">+U387*$Y387</f>
        <v>357298375.40628004</v>
      </c>
      <c r="AH387" s="8">
        <f t="shared" ref="AH387:AH450" si="62">+V387*$Y387</f>
        <v>34421808.806000002</v>
      </c>
      <c r="AI387" s="8">
        <f t="shared" ref="AI387:AI450" si="63">+W387*$Y387</f>
        <v>0</v>
      </c>
    </row>
    <row r="388" spans="1:35" x14ac:dyDescent="0.55000000000000004">
      <c r="A388" s="1">
        <v>386</v>
      </c>
      <c r="B388" s="1" t="s">
        <v>20</v>
      </c>
      <c r="C388" s="1">
        <v>28</v>
      </c>
      <c r="D388" s="1">
        <v>8</v>
      </c>
      <c r="E388" s="1" t="s">
        <v>73</v>
      </c>
      <c r="F388" s="1" t="s">
        <v>74</v>
      </c>
      <c r="G388" s="1">
        <v>22</v>
      </c>
      <c r="H388" s="1">
        <v>2</v>
      </c>
      <c r="I388" s="1">
        <v>22080000</v>
      </c>
      <c r="J388" s="1">
        <v>310</v>
      </c>
      <c r="K388" s="1">
        <v>0</v>
      </c>
      <c r="L388" s="1">
        <v>13268</v>
      </c>
      <c r="M388" s="1">
        <v>13.041733000000001</v>
      </c>
      <c r="N388" s="1">
        <v>101.68810000000001</v>
      </c>
      <c r="O388" s="1">
        <v>29.49</v>
      </c>
      <c r="P388" s="1">
        <v>0.12</v>
      </c>
      <c r="Q388" s="1">
        <v>0.12</v>
      </c>
      <c r="R388" s="1">
        <v>7.0000000000000007E-2</v>
      </c>
      <c r="S388" s="1">
        <v>76.029999000000004</v>
      </c>
      <c r="T388" s="1">
        <v>6.3</v>
      </c>
      <c r="U388" s="1">
        <v>16.16</v>
      </c>
      <c r="V388" s="1">
        <v>0.04</v>
      </c>
      <c r="W388" s="1">
        <v>0</v>
      </c>
      <c r="X388" s="1">
        <v>17089.789316999999</v>
      </c>
      <c r="Y388" s="1">
        <v>12696718.448999999</v>
      </c>
      <c r="Z388" t="str">
        <f>VLOOKUP(G388,'Code Pro'!$A$2:$B$9,2,FALSE)</f>
        <v>จ.จันทบุรี</v>
      </c>
      <c r="AA388" s="8">
        <f t="shared" si="55"/>
        <v>374426227.06100994</v>
      </c>
      <c r="AB388" s="8">
        <f t="shared" si="56"/>
        <v>1523606.2138799999</v>
      </c>
      <c r="AC388" s="8">
        <f t="shared" si="57"/>
        <v>1523606.2138799999</v>
      </c>
      <c r="AD388" s="8">
        <f t="shared" si="58"/>
        <v>888770.29142999998</v>
      </c>
      <c r="AE388" s="8">
        <f t="shared" si="59"/>
        <v>965331490.98075151</v>
      </c>
      <c r="AF388" s="8">
        <f t="shared" si="60"/>
        <v>79989326.228699997</v>
      </c>
      <c r="AG388" s="8">
        <f t="shared" si="61"/>
        <v>205178970.13584</v>
      </c>
      <c r="AH388" s="8">
        <f t="shared" si="62"/>
        <v>507868.73796</v>
      </c>
      <c r="AI388" s="8">
        <f t="shared" si="63"/>
        <v>0</v>
      </c>
    </row>
    <row r="389" spans="1:35" x14ac:dyDescent="0.55000000000000004">
      <c r="A389" s="1">
        <v>387</v>
      </c>
      <c r="B389" s="1" t="s">
        <v>20</v>
      </c>
      <c r="C389" s="1">
        <v>28</v>
      </c>
      <c r="D389" s="1">
        <v>8</v>
      </c>
      <c r="E389" s="1" t="s">
        <v>73</v>
      </c>
      <c r="F389" s="1" t="s">
        <v>74</v>
      </c>
      <c r="G389" s="1">
        <v>22</v>
      </c>
      <c r="H389" s="1">
        <v>2</v>
      </c>
      <c r="I389" s="1">
        <v>22080000</v>
      </c>
      <c r="J389" s="1">
        <v>528</v>
      </c>
      <c r="K389" s="1">
        <v>0</v>
      </c>
      <c r="L389" s="1">
        <v>12910</v>
      </c>
      <c r="M389" s="1">
        <v>12.798636999999999</v>
      </c>
      <c r="N389" s="1">
        <v>101.85438000000001</v>
      </c>
      <c r="O389" s="1">
        <v>2.0499999999999998</v>
      </c>
      <c r="P389" s="1">
        <v>0.02</v>
      </c>
      <c r="Q389" s="1">
        <v>6.4</v>
      </c>
      <c r="R389" s="1">
        <v>0.52</v>
      </c>
      <c r="S389" s="1">
        <v>0.75</v>
      </c>
      <c r="T389" s="1">
        <v>4.1500000000000004</v>
      </c>
      <c r="U389" s="1">
        <v>14.66</v>
      </c>
      <c r="V389" s="1">
        <v>3.73</v>
      </c>
      <c r="W389" s="1">
        <v>0.67</v>
      </c>
      <c r="X389" s="1">
        <v>10851.44975</v>
      </c>
      <c r="Y389" s="1">
        <v>1374383.50532</v>
      </c>
      <c r="Z389" t="str">
        <f>VLOOKUP(G389,'Code Pro'!$A$2:$B$9,2,FALSE)</f>
        <v>จ.จันทบุรี</v>
      </c>
      <c r="AA389" s="8">
        <f t="shared" si="55"/>
        <v>2817486.185906</v>
      </c>
      <c r="AB389" s="8">
        <f t="shared" si="56"/>
        <v>27487.670106400001</v>
      </c>
      <c r="AC389" s="8">
        <f t="shared" si="57"/>
        <v>8796054.4340480007</v>
      </c>
      <c r="AD389" s="8">
        <f t="shared" si="58"/>
        <v>714679.42276640004</v>
      </c>
      <c r="AE389" s="8">
        <f t="shared" si="59"/>
        <v>1030787.62899</v>
      </c>
      <c r="AF389" s="8">
        <f t="shared" si="60"/>
        <v>5703691.5470780004</v>
      </c>
      <c r="AG389" s="8">
        <f t="shared" si="61"/>
        <v>20148462.187991202</v>
      </c>
      <c r="AH389" s="8">
        <f t="shared" si="62"/>
        <v>5126450.4748435998</v>
      </c>
      <c r="AI389" s="8">
        <f t="shared" si="63"/>
        <v>920836.94856440008</v>
      </c>
    </row>
    <row r="390" spans="1:35" x14ac:dyDescent="0.55000000000000004">
      <c r="A390" s="1">
        <v>388</v>
      </c>
      <c r="B390" s="1" t="s">
        <v>20</v>
      </c>
      <c r="C390" s="1">
        <v>28</v>
      </c>
      <c r="D390" s="1">
        <v>8</v>
      </c>
      <c r="E390" s="1" t="s">
        <v>73</v>
      </c>
      <c r="F390" s="1" t="s">
        <v>74</v>
      </c>
      <c r="G390" s="1">
        <v>22</v>
      </c>
      <c r="H390" s="1">
        <v>2</v>
      </c>
      <c r="I390" s="1">
        <v>22080000</v>
      </c>
      <c r="J390" s="1">
        <v>529</v>
      </c>
      <c r="K390" s="1">
        <v>0</v>
      </c>
      <c r="L390" s="1">
        <v>13031</v>
      </c>
      <c r="M390" s="1">
        <v>12.8797</v>
      </c>
      <c r="N390" s="1">
        <v>101.93751</v>
      </c>
      <c r="O390" s="1">
        <v>4.88</v>
      </c>
      <c r="P390" s="1">
        <v>0.28000000000000003</v>
      </c>
      <c r="Q390" s="1">
        <v>0.21</v>
      </c>
      <c r="R390" s="1">
        <v>18.280000999999999</v>
      </c>
      <c r="S390" s="1">
        <v>6.22</v>
      </c>
      <c r="T390" s="1">
        <v>8.4</v>
      </c>
      <c r="U390" s="1">
        <v>20.690000999999999</v>
      </c>
      <c r="V390" s="1">
        <v>4.8</v>
      </c>
      <c r="W390" s="1">
        <v>2.16</v>
      </c>
      <c r="X390" s="1">
        <v>9182.8811179999993</v>
      </c>
      <c r="Y390" s="1">
        <v>3714059.5082899998</v>
      </c>
      <c r="Z390" t="str">
        <f>VLOOKUP(G390,'Code Pro'!$A$2:$B$9,2,FALSE)</f>
        <v>จ.จันทบุรี</v>
      </c>
      <c r="AA390" s="8">
        <f t="shared" si="55"/>
        <v>18124610.400455199</v>
      </c>
      <c r="AB390" s="8">
        <f t="shared" si="56"/>
        <v>1039936.6623212</v>
      </c>
      <c r="AC390" s="8">
        <f t="shared" si="57"/>
        <v>779952.49674089998</v>
      </c>
      <c r="AD390" s="8">
        <f t="shared" si="58"/>
        <v>67893011.525600702</v>
      </c>
      <c r="AE390" s="8">
        <f t="shared" si="59"/>
        <v>23101450.141563799</v>
      </c>
      <c r="AF390" s="8">
        <f t="shared" si="60"/>
        <v>31198099.869635999</v>
      </c>
      <c r="AG390" s="8">
        <f t="shared" si="61"/>
        <v>76843894.940579593</v>
      </c>
      <c r="AH390" s="8">
        <f t="shared" si="62"/>
        <v>17827485.639791999</v>
      </c>
      <c r="AI390" s="8">
        <f t="shared" si="63"/>
        <v>8022368.5379063999</v>
      </c>
    </row>
    <row r="391" spans="1:35" x14ac:dyDescent="0.55000000000000004">
      <c r="A391" s="1">
        <v>389</v>
      </c>
      <c r="B391" s="1" t="s">
        <v>20</v>
      </c>
      <c r="C391" s="1">
        <v>28</v>
      </c>
      <c r="D391" s="1">
        <v>8</v>
      </c>
      <c r="E391" s="1" t="s">
        <v>73</v>
      </c>
      <c r="F391" s="1" t="s">
        <v>74</v>
      </c>
      <c r="G391" s="1">
        <v>22</v>
      </c>
      <c r="H391" s="1">
        <v>2</v>
      </c>
      <c r="I391" s="1">
        <v>22080000</v>
      </c>
      <c r="J391" s="1">
        <v>530</v>
      </c>
      <c r="K391" s="1">
        <v>0</v>
      </c>
      <c r="L391" s="1">
        <v>13030</v>
      </c>
      <c r="M391" s="1">
        <v>12.8797</v>
      </c>
      <c r="N391" s="1">
        <v>101.85438000000001</v>
      </c>
      <c r="O391" s="1">
        <v>12.93</v>
      </c>
      <c r="P391" s="1">
        <v>0</v>
      </c>
      <c r="Q391" s="1">
        <v>1.68</v>
      </c>
      <c r="R391" s="1">
        <v>3.16</v>
      </c>
      <c r="S391" s="1">
        <v>16.399999999999999</v>
      </c>
      <c r="T391" s="1">
        <v>7.56</v>
      </c>
      <c r="U391" s="1">
        <v>7.14</v>
      </c>
      <c r="V391" s="1">
        <v>2.63</v>
      </c>
      <c r="W391" s="1">
        <v>1.61</v>
      </c>
      <c r="X391" s="1">
        <v>39185.275065000002</v>
      </c>
      <c r="Y391" s="1">
        <v>42294202.653300002</v>
      </c>
      <c r="Z391" t="str">
        <f>VLOOKUP(G391,'Code Pro'!$A$2:$B$9,2,FALSE)</f>
        <v>จ.จันทบุรี</v>
      </c>
      <c r="AA391" s="8">
        <f t="shared" si="55"/>
        <v>546864040.30716896</v>
      </c>
      <c r="AB391" s="8">
        <f t="shared" si="56"/>
        <v>0</v>
      </c>
      <c r="AC391" s="8">
        <f t="shared" si="57"/>
        <v>71054260.457543999</v>
      </c>
      <c r="AD391" s="8">
        <f t="shared" si="58"/>
        <v>133649680.38442801</v>
      </c>
      <c r="AE391" s="8">
        <f t="shared" si="59"/>
        <v>693624923.51411998</v>
      </c>
      <c r="AF391" s="8">
        <f t="shared" si="60"/>
        <v>319744172.05894798</v>
      </c>
      <c r="AG391" s="8">
        <f t="shared" si="61"/>
        <v>301980606.94456202</v>
      </c>
      <c r="AH391" s="8">
        <f t="shared" si="62"/>
        <v>111233752.97817901</v>
      </c>
      <c r="AI391" s="8">
        <f t="shared" si="63"/>
        <v>68093666.271813005</v>
      </c>
    </row>
    <row r="392" spans="1:35" x14ac:dyDescent="0.55000000000000004">
      <c r="A392" s="1">
        <v>390</v>
      </c>
      <c r="B392" s="1" t="s">
        <v>20</v>
      </c>
      <c r="C392" s="1">
        <v>28</v>
      </c>
      <c r="D392" s="1">
        <v>8</v>
      </c>
      <c r="E392" s="1" t="s">
        <v>73</v>
      </c>
      <c r="F392" s="1" t="s">
        <v>74</v>
      </c>
      <c r="G392" s="1">
        <v>22</v>
      </c>
      <c r="H392" s="1">
        <v>2</v>
      </c>
      <c r="I392" s="1">
        <v>22080000</v>
      </c>
      <c r="J392" s="1">
        <v>532</v>
      </c>
      <c r="K392" s="1">
        <v>0</v>
      </c>
      <c r="L392" s="1">
        <v>13151</v>
      </c>
      <c r="M392" s="1">
        <v>12.960724000000001</v>
      </c>
      <c r="N392" s="1">
        <v>101.93751</v>
      </c>
      <c r="O392" s="1">
        <v>2.78</v>
      </c>
      <c r="P392" s="1">
        <v>0.1</v>
      </c>
      <c r="Q392" s="1">
        <v>0.03</v>
      </c>
      <c r="R392" s="1">
        <v>0.99</v>
      </c>
      <c r="S392" s="1">
        <v>8.31</v>
      </c>
      <c r="T392" s="1">
        <v>10.87</v>
      </c>
      <c r="U392" s="1">
        <v>31.02</v>
      </c>
      <c r="V392" s="1">
        <v>12.54</v>
      </c>
      <c r="W392" s="1">
        <v>0.53</v>
      </c>
      <c r="X392" s="1">
        <v>38830.577120000002</v>
      </c>
      <c r="Y392" s="1">
        <v>69362564.380500004</v>
      </c>
      <c r="Z392" t="str">
        <f>VLOOKUP(G392,'Code Pro'!$A$2:$B$9,2,FALSE)</f>
        <v>จ.จันทบุรี</v>
      </c>
      <c r="AA392" s="8">
        <f t="shared" si="55"/>
        <v>192827928.97779</v>
      </c>
      <c r="AB392" s="8">
        <f t="shared" si="56"/>
        <v>6936256.4380500009</v>
      </c>
      <c r="AC392" s="8">
        <f t="shared" si="57"/>
        <v>2080876.931415</v>
      </c>
      <c r="AD392" s="8">
        <f t="shared" si="58"/>
        <v>68668938.736695006</v>
      </c>
      <c r="AE392" s="8">
        <f t="shared" si="59"/>
        <v>576402910.00195503</v>
      </c>
      <c r="AF392" s="8">
        <f t="shared" si="60"/>
        <v>753971074.81603503</v>
      </c>
      <c r="AG392" s="8">
        <f t="shared" si="61"/>
        <v>2151626747.0831099</v>
      </c>
      <c r="AH392" s="8">
        <f t="shared" si="62"/>
        <v>869806557.33147001</v>
      </c>
      <c r="AI392" s="8">
        <f t="shared" si="63"/>
        <v>36762159.121665001</v>
      </c>
    </row>
    <row r="393" spans="1:35" x14ac:dyDescent="0.55000000000000004">
      <c r="A393" s="1">
        <v>391</v>
      </c>
      <c r="B393" s="1" t="s">
        <v>20</v>
      </c>
      <c r="C393" s="1">
        <v>28</v>
      </c>
      <c r="D393" s="1">
        <v>8</v>
      </c>
      <c r="E393" s="1" t="s">
        <v>73</v>
      </c>
      <c r="F393" s="1" t="s">
        <v>74</v>
      </c>
      <c r="G393" s="1">
        <v>22</v>
      </c>
      <c r="H393" s="1">
        <v>2</v>
      </c>
      <c r="I393" s="1">
        <v>22080000</v>
      </c>
      <c r="J393" s="1">
        <v>533</v>
      </c>
      <c r="K393" s="1">
        <v>0</v>
      </c>
      <c r="L393" s="1">
        <v>13150</v>
      </c>
      <c r="M393" s="1">
        <v>12.960724000000001</v>
      </c>
      <c r="N393" s="1">
        <v>101.85438000000001</v>
      </c>
      <c r="O393" s="1">
        <v>6.98</v>
      </c>
      <c r="P393" s="1">
        <v>0</v>
      </c>
      <c r="Q393" s="1">
        <v>0.1</v>
      </c>
      <c r="R393" s="1">
        <v>0.31</v>
      </c>
      <c r="S393" s="1">
        <v>24.43</v>
      </c>
      <c r="T393" s="1">
        <v>7.07</v>
      </c>
      <c r="U393" s="1">
        <v>17.829999999999998</v>
      </c>
      <c r="V393" s="1">
        <v>11.15</v>
      </c>
      <c r="W393" s="1">
        <v>5.12</v>
      </c>
      <c r="X393" s="1">
        <v>35770.999787000001</v>
      </c>
      <c r="Y393" s="1">
        <v>80855831.733799994</v>
      </c>
      <c r="Z393" t="str">
        <f>VLOOKUP(G393,'Code Pro'!$A$2:$B$9,2,FALSE)</f>
        <v>จ.จันทบุรี</v>
      </c>
      <c r="AA393" s="8">
        <f t="shared" si="55"/>
        <v>564373705.50192404</v>
      </c>
      <c r="AB393" s="8">
        <f t="shared" si="56"/>
        <v>0</v>
      </c>
      <c r="AC393" s="8">
        <f t="shared" si="57"/>
        <v>8085583.1733799996</v>
      </c>
      <c r="AD393" s="8">
        <f t="shared" si="58"/>
        <v>25065307.837477997</v>
      </c>
      <c r="AE393" s="8">
        <f t="shared" si="59"/>
        <v>1975307969.2567339</v>
      </c>
      <c r="AF393" s="8">
        <f t="shared" si="60"/>
        <v>571650730.35796595</v>
      </c>
      <c r="AG393" s="8">
        <f t="shared" si="61"/>
        <v>1441659479.8136537</v>
      </c>
      <c r="AH393" s="8">
        <f t="shared" si="62"/>
        <v>901542523.83186996</v>
      </c>
      <c r="AI393" s="8">
        <f t="shared" si="63"/>
        <v>413981858.47705597</v>
      </c>
    </row>
    <row r="394" spans="1:35" x14ac:dyDescent="0.55000000000000004">
      <c r="A394" s="1">
        <v>392</v>
      </c>
      <c r="B394" s="1" t="s">
        <v>20</v>
      </c>
      <c r="C394" s="1">
        <v>28</v>
      </c>
      <c r="D394" s="1">
        <v>8</v>
      </c>
      <c r="E394" s="1" t="s">
        <v>73</v>
      </c>
      <c r="F394" s="1" t="s">
        <v>74</v>
      </c>
      <c r="G394" s="1">
        <v>22</v>
      </c>
      <c r="H394" s="1">
        <v>2</v>
      </c>
      <c r="I394" s="1">
        <v>22080000</v>
      </c>
      <c r="J394" s="1">
        <v>534</v>
      </c>
      <c r="K394" s="1">
        <v>0</v>
      </c>
      <c r="L394" s="1">
        <v>13271</v>
      </c>
      <c r="M394" s="1">
        <v>13.041733000000001</v>
      </c>
      <c r="N394" s="1">
        <v>101.93751</v>
      </c>
      <c r="O394" s="1">
        <v>3.14</v>
      </c>
      <c r="P394" s="1">
        <v>0.04</v>
      </c>
      <c r="Q394" s="1">
        <v>0.15</v>
      </c>
      <c r="R394" s="1">
        <v>2.4</v>
      </c>
      <c r="S394" s="1">
        <v>19.049999</v>
      </c>
      <c r="T394" s="1">
        <v>7.21</v>
      </c>
      <c r="U394" s="1">
        <v>11.72</v>
      </c>
      <c r="V394" s="1">
        <v>1.61</v>
      </c>
      <c r="W394" s="1">
        <v>0.01</v>
      </c>
      <c r="X394" s="1">
        <v>35986.625491999999</v>
      </c>
      <c r="Y394" s="1">
        <v>80939031.690500006</v>
      </c>
      <c r="Z394" t="str">
        <f>VLOOKUP(G394,'Code Pro'!$A$2:$B$9,2,FALSE)</f>
        <v>จ.จันทบุรี</v>
      </c>
      <c r="AA394" s="8">
        <f t="shared" si="55"/>
        <v>254148559.50817004</v>
      </c>
      <c r="AB394" s="8">
        <f t="shared" si="56"/>
        <v>3237561.2676200005</v>
      </c>
      <c r="AC394" s="8">
        <f t="shared" si="57"/>
        <v>12140854.753575001</v>
      </c>
      <c r="AD394" s="8">
        <f t="shared" si="58"/>
        <v>194253676.05720001</v>
      </c>
      <c r="AE394" s="8">
        <f t="shared" si="59"/>
        <v>1541888472.7649934</v>
      </c>
      <c r="AF394" s="8">
        <f t="shared" si="60"/>
        <v>583570418.48850501</v>
      </c>
      <c r="AG394" s="8">
        <f t="shared" si="61"/>
        <v>948605451.41266012</v>
      </c>
      <c r="AH394" s="8">
        <f t="shared" si="62"/>
        <v>130311841.02170502</v>
      </c>
      <c r="AI394" s="8">
        <f t="shared" si="63"/>
        <v>809390.31690500013</v>
      </c>
    </row>
    <row r="395" spans="1:35" x14ac:dyDescent="0.55000000000000004">
      <c r="A395" s="1">
        <v>393</v>
      </c>
      <c r="B395" s="1" t="s">
        <v>20</v>
      </c>
      <c r="C395" s="1">
        <v>28</v>
      </c>
      <c r="D395" s="1">
        <v>8</v>
      </c>
      <c r="E395" s="1" t="s">
        <v>73</v>
      </c>
      <c r="F395" s="1" t="s">
        <v>74</v>
      </c>
      <c r="G395" s="1">
        <v>22</v>
      </c>
      <c r="H395" s="1">
        <v>2</v>
      </c>
      <c r="I395" s="1">
        <v>22080000</v>
      </c>
      <c r="J395" s="1">
        <v>535</v>
      </c>
      <c r="K395" s="1">
        <v>0</v>
      </c>
      <c r="L395" s="1">
        <v>13270</v>
      </c>
      <c r="M395" s="1">
        <v>13.041733000000001</v>
      </c>
      <c r="N395" s="1">
        <v>101.85438000000001</v>
      </c>
      <c r="O395" s="1">
        <v>5.83</v>
      </c>
      <c r="P395" s="1">
        <v>0</v>
      </c>
      <c r="Q395" s="1">
        <v>0.04</v>
      </c>
      <c r="R395" s="1">
        <v>0.03</v>
      </c>
      <c r="S395" s="1">
        <v>30.32</v>
      </c>
      <c r="T395" s="1">
        <v>8.23</v>
      </c>
      <c r="U395" s="1">
        <v>5.33</v>
      </c>
      <c r="V395" s="1">
        <v>0.94</v>
      </c>
      <c r="W395" s="1">
        <v>0</v>
      </c>
      <c r="X395" s="1">
        <v>35984.645712999998</v>
      </c>
      <c r="Y395" s="1">
        <v>80930118.694700003</v>
      </c>
      <c r="Z395" t="str">
        <f>VLOOKUP(G395,'Code Pro'!$A$2:$B$9,2,FALSE)</f>
        <v>จ.จันทบุรี</v>
      </c>
      <c r="AA395" s="8">
        <f t="shared" si="55"/>
        <v>471822591.99010104</v>
      </c>
      <c r="AB395" s="8">
        <f t="shared" si="56"/>
        <v>0</v>
      </c>
      <c r="AC395" s="8">
        <f t="shared" si="57"/>
        <v>3237204.7477880004</v>
      </c>
      <c r="AD395" s="8">
        <f t="shared" si="58"/>
        <v>2427903.5608410002</v>
      </c>
      <c r="AE395" s="8">
        <f t="shared" si="59"/>
        <v>2453801198.8233042</v>
      </c>
      <c r="AF395" s="8">
        <f t="shared" si="60"/>
        <v>666054876.85738111</v>
      </c>
      <c r="AG395" s="8">
        <f t="shared" si="61"/>
        <v>431357532.64275104</v>
      </c>
      <c r="AH395" s="8">
        <f t="shared" si="62"/>
        <v>76074311.573018</v>
      </c>
      <c r="AI395" s="8">
        <f t="shared" si="63"/>
        <v>0</v>
      </c>
    </row>
    <row r="396" spans="1:35" x14ac:dyDescent="0.55000000000000004">
      <c r="A396" s="1">
        <v>394</v>
      </c>
      <c r="B396" s="1" t="s">
        <v>20</v>
      </c>
      <c r="C396" s="1">
        <v>28</v>
      </c>
      <c r="D396" s="1">
        <v>8</v>
      </c>
      <c r="E396" s="1" t="s">
        <v>73</v>
      </c>
      <c r="F396" s="1" t="s">
        <v>74</v>
      </c>
      <c r="G396" s="1">
        <v>22</v>
      </c>
      <c r="H396" s="1">
        <v>2</v>
      </c>
      <c r="I396" s="1">
        <v>22080000</v>
      </c>
      <c r="J396" s="1">
        <v>543</v>
      </c>
      <c r="K396" s="1">
        <v>0</v>
      </c>
      <c r="L396" s="1">
        <v>13152</v>
      </c>
      <c r="M396" s="1">
        <v>12.960724000000001</v>
      </c>
      <c r="N396" s="1">
        <v>102.020645</v>
      </c>
      <c r="O396" s="1">
        <v>20.99</v>
      </c>
      <c r="P396" s="1">
        <v>0.1</v>
      </c>
      <c r="Q396" s="1">
        <v>0.25</v>
      </c>
      <c r="R396" s="1">
        <v>4.74</v>
      </c>
      <c r="S396" s="1">
        <v>11.07</v>
      </c>
      <c r="T396" s="1">
        <v>12.76</v>
      </c>
      <c r="U396" s="1">
        <v>29.83</v>
      </c>
      <c r="V396" s="1">
        <v>0.27</v>
      </c>
      <c r="W396" s="1">
        <v>4.87</v>
      </c>
      <c r="X396" s="1">
        <v>11175.77692</v>
      </c>
      <c r="Y396" s="1">
        <v>6649886.6100500003</v>
      </c>
      <c r="Z396" t="str">
        <f>VLOOKUP(G396,'Code Pro'!$A$2:$B$9,2,FALSE)</f>
        <v>จ.จันทบุรี</v>
      </c>
      <c r="AA396" s="8">
        <f t="shared" si="55"/>
        <v>139581119.94494951</v>
      </c>
      <c r="AB396" s="8">
        <f t="shared" si="56"/>
        <v>664988.66100500012</v>
      </c>
      <c r="AC396" s="8">
        <f t="shared" si="57"/>
        <v>1662471.6525125001</v>
      </c>
      <c r="AD396" s="8">
        <f t="shared" si="58"/>
        <v>31520462.531637002</v>
      </c>
      <c r="AE396" s="8">
        <f t="shared" si="59"/>
        <v>73614244.7732535</v>
      </c>
      <c r="AF396" s="8">
        <f t="shared" si="60"/>
        <v>84852553.144237995</v>
      </c>
      <c r="AG396" s="8">
        <f t="shared" si="61"/>
        <v>198366117.57779148</v>
      </c>
      <c r="AH396" s="8">
        <f t="shared" si="62"/>
        <v>1795469.3847135003</v>
      </c>
      <c r="AI396" s="8">
        <f t="shared" si="63"/>
        <v>32384947.790943503</v>
      </c>
    </row>
    <row r="397" spans="1:35" x14ac:dyDescent="0.55000000000000004">
      <c r="A397" s="1">
        <v>395</v>
      </c>
      <c r="B397" s="1" t="s">
        <v>20</v>
      </c>
      <c r="C397" s="1">
        <v>28</v>
      </c>
      <c r="D397" s="1">
        <v>8</v>
      </c>
      <c r="E397" s="1" t="s">
        <v>73</v>
      </c>
      <c r="F397" s="1" t="s">
        <v>74</v>
      </c>
      <c r="G397" s="1">
        <v>22</v>
      </c>
      <c r="H397" s="1">
        <v>2</v>
      </c>
      <c r="I397" s="1">
        <v>22080000</v>
      </c>
      <c r="J397" s="1">
        <v>547</v>
      </c>
      <c r="K397" s="1">
        <v>0</v>
      </c>
      <c r="L397" s="1">
        <v>13272</v>
      </c>
      <c r="M397" s="1">
        <v>13.041733000000001</v>
      </c>
      <c r="N397" s="1">
        <v>102.020645</v>
      </c>
      <c r="O397" s="1">
        <v>8.4</v>
      </c>
      <c r="P397" s="1">
        <v>0.3</v>
      </c>
      <c r="Q397" s="1">
        <v>0.24</v>
      </c>
      <c r="R397" s="1">
        <v>0.55000000000000004</v>
      </c>
      <c r="S397" s="1">
        <v>6.39</v>
      </c>
      <c r="T397" s="1">
        <v>35</v>
      </c>
      <c r="U397" s="1">
        <v>14.49</v>
      </c>
      <c r="V397" s="1">
        <v>2.86</v>
      </c>
      <c r="W397" s="1">
        <v>1.39</v>
      </c>
      <c r="X397" s="1">
        <v>30013.626077000001</v>
      </c>
      <c r="Y397" s="1">
        <v>38187559.433799997</v>
      </c>
      <c r="Z397" t="str">
        <f>VLOOKUP(G397,'Code Pro'!$A$2:$B$9,2,FALSE)</f>
        <v>จ.จันทบุรี</v>
      </c>
      <c r="AA397" s="8">
        <f t="shared" si="55"/>
        <v>320775499.24391997</v>
      </c>
      <c r="AB397" s="8">
        <f t="shared" si="56"/>
        <v>11456267.830139998</v>
      </c>
      <c r="AC397" s="8">
        <f t="shared" si="57"/>
        <v>9165014.2641119994</v>
      </c>
      <c r="AD397" s="8">
        <f t="shared" si="58"/>
        <v>21003157.688590001</v>
      </c>
      <c r="AE397" s="8">
        <f t="shared" si="59"/>
        <v>244018504.78198197</v>
      </c>
      <c r="AF397" s="8">
        <f t="shared" si="60"/>
        <v>1336564580.1829998</v>
      </c>
      <c r="AG397" s="8">
        <f t="shared" si="61"/>
        <v>553337736.19576192</v>
      </c>
      <c r="AH397" s="8">
        <f t="shared" si="62"/>
        <v>109216419.98066799</v>
      </c>
      <c r="AI397" s="8">
        <f t="shared" si="63"/>
        <v>53080707.61298199</v>
      </c>
    </row>
    <row r="398" spans="1:35" x14ac:dyDescent="0.55000000000000004">
      <c r="A398" s="1">
        <v>396</v>
      </c>
      <c r="B398" s="1" t="s">
        <v>20</v>
      </c>
      <c r="C398" s="1">
        <v>28</v>
      </c>
      <c r="D398" s="1">
        <v>8</v>
      </c>
      <c r="E398" s="1" t="s">
        <v>73</v>
      </c>
      <c r="F398" s="1" t="s">
        <v>74</v>
      </c>
      <c r="G398" s="1">
        <v>22</v>
      </c>
      <c r="H398" s="1">
        <v>2</v>
      </c>
      <c r="I398" s="1">
        <v>22080000</v>
      </c>
      <c r="J398" s="1">
        <v>755</v>
      </c>
      <c r="K398" s="1">
        <v>0</v>
      </c>
      <c r="L398" s="1">
        <v>13388</v>
      </c>
      <c r="M398" s="1">
        <v>13.122719</v>
      </c>
      <c r="N398" s="1">
        <v>101.68810000000001</v>
      </c>
      <c r="O398" s="1">
        <v>11.11</v>
      </c>
      <c r="P398" s="1">
        <v>0.39</v>
      </c>
      <c r="Q398" s="1">
        <v>0.03</v>
      </c>
      <c r="R398" s="1">
        <v>0.1</v>
      </c>
      <c r="S398" s="1">
        <v>15.51</v>
      </c>
      <c r="T398" s="1">
        <v>19.079999999999998</v>
      </c>
      <c r="U398" s="1">
        <v>8.93</v>
      </c>
      <c r="V398" s="1">
        <v>0.32</v>
      </c>
      <c r="W398" s="1">
        <v>0.18</v>
      </c>
      <c r="X398" s="1">
        <v>26633.131159</v>
      </c>
      <c r="Y398" s="1">
        <v>34500835.702399999</v>
      </c>
      <c r="Z398" t="str">
        <f>VLOOKUP(G398,'Code Pro'!$A$2:$B$9,2,FALSE)</f>
        <v>จ.จันทบุรี</v>
      </c>
      <c r="AA398" s="8">
        <f t="shared" si="55"/>
        <v>383304284.65366399</v>
      </c>
      <c r="AB398" s="8">
        <f t="shared" si="56"/>
        <v>13455325.923936</v>
      </c>
      <c r="AC398" s="8">
        <f t="shared" si="57"/>
        <v>1035025.071072</v>
      </c>
      <c r="AD398" s="8">
        <f t="shared" si="58"/>
        <v>3450083.5702400003</v>
      </c>
      <c r="AE398" s="8">
        <f t="shared" si="59"/>
        <v>535107961.74422395</v>
      </c>
      <c r="AF398" s="8">
        <f t="shared" si="60"/>
        <v>658275945.20179188</v>
      </c>
      <c r="AG398" s="8">
        <f t="shared" si="61"/>
        <v>308092462.82243198</v>
      </c>
      <c r="AH398" s="8">
        <f t="shared" si="62"/>
        <v>11040267.424767999</v>
      </c>
      <c r="AI398" s="8">
        <f t="shared" si="63"/>
        <v>6210150.4264319995</v>
      </c>
    </row>
    <row r="399" spans="1:35" x14ac:dyDescent="0.55000000000000004">
      <c r="A399" s="1">
        <v>397</v>
      </c>
      <c r="B399" s="1" t="s">
        <v>20</v>
      </c>
      <c r="C399" s="1">
        <v>28</v>
      </c>
      <c r="D399" s="1">
        <v>8</v>
      </c>
      <c r="E399" s="1" t="s">
        <v>73</v>
      </c>
      <c r="F399" s="1" t="s">
        <v>74</v>
      </c>
      <c r="G399" s="1">
        <v>22</v>
      </c>
      <c r="H399" s="1">
        <v>2</v>
      </c>
      <c r="I399" s="1">
        <v>22080000</v>
      </c>
      <c r="J399" s="1">
        <v>758</v>
      </c>
      <c r="K399" s="1">
        <v>0</v>
      </c>
      <c r="L399" s="1">
        <v>13508</v>
      </c>
      <c r="M399" s="1">
        <v>13.203666999999999</v>
      </c>
      <c r="N399" s="1">
        <v>101.68810000000001</v>
      </c>
      <c r="O399" s="1">
        <v>7.24</v>
      </c>
      <c r="P399" s="1">
        <v>0.11</v>
      </c>
      <c r="Q399" s="1">
        <v>0.27</v>
      </c>
      <c r="R399" s="1">
        <v>0.15</v>
      </c>
      <c r="S399" s="1">
        <v>34.200001</v>
      </c>
      <c r="T399" s="1">
        <v>43.549999</v>
      </c>
      <c r="U399" s="1">
        <v>12.57</v>
      </c>
      <c r="V399" s="1">
        <v>6.21</v>
      </c>
      <c r="W399" s="1">
        <v>0.05</v>
      </c>
      <c r="X399" s="1">
        <v>6980.2298769999998</v>
      </c>
      <c r="Y399" s="1">
        <v>2712330.7496699998</v>
      </c>
      <c r="Z399" t="str">
        <f>VLOOKUP(G399,'Code Pro'!$A$2:$B$9,2,FALSE)</f>
        <v>จ.จันทบุรี</v>
      </c>
      <c r="AA399" s="8">
        <f t="shared" si="55"/>
        <v>19637274.627610799</v>
      </c>
      <c r="AB399" s="8">
        <f t="shared" si="56"/>
        <v>298356.38246369996</v>
      </c>
      <c r="AC399" s="8">
        <f t="shared" si="57"/>
        <v>732329.30241090001</v>
      </c>
      <c r="AD399" s="8">
        <f t="shared" si="58"/>
        <v>406849.61245049996</v>
      </c>
      <c r="AE399" s="8">
        <f t="shared" si="59"/>
        <v>92761714.351044744</v>
      </c>
      <c r="AF399" s="8">
        <f t="shared" si="60"/>
        <v>118122001.43579774</v>
      </c>
      <c r="AG399" s="8">
        <f t="shared" si="61"/>
        <v>34093997.5233519</v>
      </c>
      <c r="AH399" s="8">
        <f t="shared" si="62"/>
        <v>16843573.955450699</v>
      </c>
      <c r="AI399" s="8">
        <f t="shared" si="63"/>
        <v>135616.5374835</v>
      </c>
    </row>
    <row r="400" spans="1:35" x14ac:dyDescent="0.55000000000000004">
      <c r="A400" s="1">
        <v>398</v>
      </c>
      <c r="B400" s="1" t="s">
        <v>20</v>
      </c>
      <c r="C400" s="1">
        <v>28</v>
      </c>
      <c r="D400" s="1">
        <v>8</v>
      </c>
      <c r="E400" s="1" t="s">
        <v>73</v>
      </c>
      <c r="F400" s="1" t="s">
        <v>74</v>
      </c>
      <c r="G400" s="1">
        <v>22</v>
      </c>
      <c r="H400" s="1">
        <v>2</v>
      </c>
      <c r="I400" s="1">
        <v>22080000</v>
      </c>
      <c r="J400" s="1">
        <v>764</v>
      </c>
      <c r="K400" s="1">
        <v>0</v>
      </c>
      <c r="L400" s="1">
        <v>13389</v>
      </c>
      <c r="M400" s="1">
        <v>13.122719</v>
      </c>
      <c r="N400" s="1">
        <v>101.77124000000001</v>
      </c>
      <c r="O400" s="1">
        <v>30.610001</v>
      </c>
      <c r="P400" s="1">
        <v>0.37</v>
      </c>
      <c r="Q400" s="1">
        <v>0.33</v>
      </c>
      <c r="R400" s="1">
        <v>0.05</v>
      </c>
      <c r="S400" s="1">
        <v>48.639999000000003</v>
      </c>
      <c r="T400" s="1">
        <v>6.36</v>
      </c>
      <c r="U400" s="1">
        <v>16.02</v>
      </c>
      <c r="V400" s="1">
        <v>0.15</v>
      </c>
      <c r="W400" s="1">
        <v>0.35</v>
      </c>
      <c r="X400" s="1">
        <v>35970.724017</v>
      </c>
      <c r="Y400" s="1">
        <v>80867483.796700001</v>
      </c>
      <c r="Z400" t="str">
        <f>VLOOKUP(G400,'Code Pro'!$A$2:$B$9,2,FALSE)</f>
        <v>จ.จันทบุรี</v>
      </c>
      <c r="AA400" s="8">
        <f t="shared" si="55"/>
        <v>2475353759.8844709</v>
      </c>
      <c r="AB400" s="8">
        <f t="shared" si="56"/>
        <v>29920969.004779</v>
      </c>
      <c r="AC400" s="8">
        <f t="shared" si="57"/>
        <v>26686269.652911</v>
      </c>
      <c r="AD400" s="8">
        <f t="shared" si="58"/>
        <v>4043374.1898350003</v>
      </c>
      <c r="AE400" s="8">
        <f t="shared" si="59"/>
        <v>3933394331.0040045</v>
      </c>
      <c r="AF400" s="8">
        <f t="shared" si="60"/>
        <v>514317196.94701201</v>
      </c>
      <c r="AG400" s="8">
        <f t="shared" si="61"/>
        <v>1295497090.4231341</v>
      </c>
      <c r="AH400" s="8">
        <f t="shared" si="62"/>
        <v>12130122.569505</v>
      </c>
      <c r="AI400" s="8">
        <f t="shared" si="63"/>
        <v>28303619.328844998</v>
      </c>
    </row>
    <row r="401" spans="1:35" x14ac:dyDescent="0.55000000000000004">
      <c r="A401" s="1">
        <v>399</v>
      </c>
      <c r="B401" s="1" t="s">
        <v>20</v>
      </c>
      <c r="C401" s="1">
        <v>28</v>
      </c>
      <c r="D401" s="1">
        <v>8</v>
      </c>
      <c r="E401" s="1" t="s">
        <v>73</v>
      </c>
      <c r="F401" s="1" t="s">
        <v>74</v>
      </c>
      <c r="G401" s="1">
        <v>22</v>
      </c>
      <c r="H401" s="1">
        <v>2</v>
      </c>
      <c r="I401" s="1">
        <v>22080000</v>
      </c>
      <c r="J401" s="1">
        <v>765</v>
      </c>
      <c r="K401" s="1">
        <v>0</v>
      </c>
      <c r="L401" s="1">
        <v>13390</v>
      </c>
      <c r="M401" s="1">
        <v>13.122719</v>
      </c>
      <c r="N401" s="1">
        <v>101.85438000000001</v>
      </c>
      <c r="O401" s="1">
        <v>3.03</v>
      </c>
      <c r="P401" s="1">
        <v>0.1</v>
      </c>
      <c r="Q401" s="1">
        <v>0.5</v>
      </c>
      <c r="R401" s="1">
        <v>2.99</v>
      </c>
      <c r="S401" s="1">
        <v>34.139999000000003</v>
      </c>
      <c r="T401" s="1">
        <v>4.88</v>
      </c>
      <c r="U401" s="1">
        <v>9.17</v>
      </c>
      <c r="V401" s="1">
        <v>7.0000000000000007E-2</v>
      </c>
      <c r="W401" s="1">
        <v>0.23</v>
      </c>
      <c r="X401" s="1">
        <v>35972.086448000002</v>
      </c>
      <c r="Y401" s="1">
        <v>80873625.279699996</v>
      </c>
      <c r="Z401" t="str">
        <f>VLOOKUP(G401,'Code Pro'!$A$2:$B$9,2,FALSE)</f>
        <v>จ.จันทบุรี</v>
      </c>
      <c r="AA401" s="8">
        <f t="shared" si="55"/>
        <v>245047084.59749097</v>
      </c>
      <c r="AB401" s="8">
        <f t="shared" si="56"/>
        <v>8087362.5279700002</v>
      </c>
      <c r="AC401" s="8">
        <f t="shared" si="57"/>
        <v>40436812.639849998</v>
      </c>
      <c r="AD401" s="8">
        <f t="shared" si="58"/>
        <v>241812139.586303</v>
      </c>
      <c r="AE401" s="8">
        <f t="shared" si="59"/>
        <v>2761025486.175333</v>
      </c>
      <c r="AF401" s="8">
        <f t="shared" si="60"/>
        <v>394663291.36493599</v>
      </c>
      <c r="AG401" s="8">
        <f t="shared" si="61"/>
        <v>741611143.8148489</v>
      </c>
      <c r="AH401" s="8">
        <f t="shared" si="62"/>
        <v>5661153.7695789998</v>
      </c>
      <c r="AI401" s="8">
        <f t="shared" si="63"/>
        <v>18600933.814330999</v>
      </c>
    </row>
    <row r="402" spans="1:35" x14ac:dyDescent="0.55000000000000004">
      <c r="A402" s="1">
        <v>400</v>
      </c>
      <c r="B402" s="1" t="s">
        <v>20</v>
      </c>
      <c r="C402" s="1">
        <v>28</v>
      </c>
      <c r="D402" s="1">
        <v>8</v>
      </c>
      <c r="E402" s="1" t="s">
        <v>73</v>
      </c>
      <c r="F402" s="1" t="s">
        <v>74</v>
      </c>
      <c r="G402" s="1">
        <v>22</v>
      </c>
      <c r="H402" s="1">
        <v>2</v>
      </c>
      <c r="I402" s="1">
        <v>22080000</v>
      </c>
      <c r="J402" s="1">
        <v>766</v>
      </c>
      <c r="K402" s="1">
        <v>0</v>
      </c>
      <c r="L402" s="1">
        <v>13630</v>
      </c>
      <c r="M402" s="1">
        <v>13.284592</v>
      </c>
      <c r="N402" s="1">
        <v>101.85438000000001</v>
      </c>
      <c r="O402" s="1">
        <v>26.780000999999999</v>
      </c>
      <c r="P402" s="1">
        <v>0.52</v>
      </c>
      <c r="Q402" s="1">
        <v>1.69</v>
      </c>
      <c r="R402" s="1">
        <v>3.77</v>
      </c>
      <c r="S402" s="1">
        <v>2.56</v>
      </c>
      <c r="T402" s="1">
        <v>16.93</v>
      </c>
      <c r="U402" s="1">
        <v>20.25</v>
      </c>
      <c r="V402" s="1">
        <v>0.02</v>
      </c>
      <c r="W402" s="1">
        <v>0.04</v>
      </c>
      <c r="X402" s="1">
        <v>6901.5244190000003</v>
      </c>
      <c r="Y402" s="1">
        <v>869287.49815100001</v>
      </c>
      <c r="Z402" t="str">
        <f>VLOOKUP(G402,'Code Pro'!$A$2:$B$9,2,FALSE)</f>
        <v>จ.จันทบุรี</v>
      </c>
      <c r="AA402" s="8">
        <f t="shared" si="55"/>
        <v>23279520.069771279</v>
      </c>
      <c r="AB402" s="8">
        <f t="shared" si="56"/>
        <v>452029.49903852004</v>
      </c>
      <c r="AC402" s="8">
        <f t="shared" si="57"/>
        <v>1469095.8718751899</v>
      </c>
      <c r="AD402" s="8">
        <f t="shared" si="58"/>
        <v>3277213.8680292699</v>
      </c>
      <c r="AE402" s="8">
        <f t="shared" si="59"/>
        <v>2225375.99526656</v>
      </c>
      <c r="AF402" s="8">
        <f t="shared" si="60"/>
        <v>14717037.34369643</v>
      </c>
      <c r="AG402" s="8">
        <f t="shared" si="61"/>
        <v>17603071.837557752</v>
      </c>
      <c r="AH402" s="8">
        <f t="shared" si="62"/>
        <v>17385.74996302</v>
      </c>
      <c r="AI402" s="8">
        <f t="shared" si="63"/>
        <v>34771.49992604</v>
      </c>
    </row>
    <row r="403" spans="1:35" x14ac:dyDescent="0.55000000000000004">
      <c r="A403" s="1">
        <v>401</v>
      </c>
      <c r="B403" s="1" t="s">
        <v>20</v>
      </c>
      <c r="C403" s="1">
        <v>28</v>
      </c>
      <c r="D403" s="1">
        <v>8</v>
      </c>
      <c r="E403" s="1" t="s">
        <v>73</v>
      </c>
      <c r="F403" s="1" t="s">
        <v>74</v>
      </c>
      <c r="G403" s="1">
        <v>22</v>
      </c>
      <c r="H403" s="1">
        <v>2</v>
      </c>
      <c r="I403" s="1">
        <v>22080000</v>
      </c>
      <c r="J403" s="1">
        <v>767</v>
      </c>
      <c r="K403" s="1">
        <v>0</v>
      </c>
      <c r="L403" s="1">
        <v>13509</v>
      </c>
      <c r="M403" s="1">
        <v>13.203666999999999</v>
      </c>
      <c r="N403" s="1">
        <v>101.77124000000001</v>
      </c>
      <c r="O403" s="1">
        <v>78.720000999999996</v>
      </c>
      <c r="P403" s="1">
        <v>3.92</v>
      </c>
      <c r="Q403" s="1">
        <v>1.0900000000000001</v>
      </c>
      <c r="R403" s="1">
        <v>0.15</v>
      </c>
      <c r="S403" s="1">
        <v>52.889999000000003</v>
      </c>
      <c r="T403" s="1">
        <v>14.79</v>
      </c>
      <c r="U403" s="1">
        <v>19.59</v>
      </c>
      <c r="V403" s="1">
        <v>7.0000000000000007E-2</v>
      </c>
      <c r="W403" s="1">
        <v>0.19</v>
      </c>
      <c r="X403" s="1">
        <v>28080.667911</v>
      </c>
      <c r="Y403" s="1">
        <v>29437090.251499999</v>
      </c>
      <c r="Z403" t="str">
        <f>VLOOKUP(G403,'Code Pro'!$A$2:$B$9,2,FALSE)</f>
        <v>จ.จันทบุรี</v>
      </c>
      <c r="AA403" s="8">
        <f t="shared" si="55"/>
        <v>2317287774.0351701</v>
      </c>
      <c r="AB403" s="8">
        <f t="shared" si="56"/>
        <v>115393393.78588</v>
      </c>
      <c r="AC403" s="8">
        <f t="shared" si="57"/>
        <v>32086428.374135002</v>
      </c>
      <c r="AD403" s="8">
        <f t="shared" si="58"/>
        <v>4415563.5377249997</v>
      </c>
      <c r="AE403" s="8">
        <f t="shared" si="59"/>
        <v>1556927673.9647448</v>
      </c>
      <c r="AF403" s="8">
        <f t="shared" si="60"/>
        <v>435374564.81968498</v>
      </c>
      <c r="AG403" s="8">
        <f t="shared" si="61"/>
        <v>576672598.02688503</v>
      </c>
      <c r="AH403" s="8">
        <f t="shared" si="62"/>
        <v>2060596.3176050002</v>
      </c>
      <c r="AI403" s="8">
        <f t="shared" si="63"/>
        <v>5593047.1477849996</v>
      </c>
    </row>
    <row r="404" spans="1:35" x14ac:dyDescent="0.55000000000000004">
      <c r="A404" s="1">
        <v>402</v>
      </c>
      <c r="B404" s="1" t="s">
        <v>20</v>
      </c>
      <c r="C404" s="1">
        <v>28</v>
      </c>
      <c r="D404" s="1">
        <v>8</v>
      </c>
      <c r="E404" s="1" t="s">
        <v>73</v>
      </c>
      <c r="F404" s="1" t="s">
        <v>74</v>
      </c>
      <c r="G404" s="1">
        <v>22</v>
      </c>
      <c r="H404" s="1">
        <v>2</v>
      </c>
      <c r="I404" s="1">
        <v>22080000</v>
      </c>
      <c r="J404" s="1">
        <v>768</v>
      </c>
      <c r="K404" s="1">
        <v>0</v>
      </c>
      <c r="L404" s="1">
        <v>13510</v>
      </c>
      <c r="M404" s="1">
        <v>13.203666999999999</v>
      </c>
      <c r="N404" s="1">
        <v>101.85438000000001</v>
      </c>
      <c r="O404" s="1">
        <v>35.790000999999997</v>
      </c>
      <c r="P404" s="1">
        <v>0.12</v>
      </c>
      <c r="Q404" s="1">
        <v>0.45</v>
      </c>
      <c r="R404" s="1">
        <v>4.7</v>
      </c>
      <c r="S404" s="1">
        <v>27.59</v>
      </c>
      <c r="T404" s="1">
        <v>32.630001</v>
      </c>
      <c r="U404" s="1">
        <v>10.87</v>
      </c>
      <c r="V404" s="1">
        <v>0</v>
      </c>
      <c r="W404" s="1">
        <v>0.19</v>
      </c>
      <c r="X404" s="1">
        <v>39294.239638999999</v>
      </c>
      <c r="Y404" s="1">
        <v>71438080.273200005</v>
      </c>
      <c r="Z404" t="str">
        <f>VLOOKUP(G404,'Code Pro'!$A$2:$B$9,2,FALSE)</f>
        <v>จ.จันทบุรี</v>
      </c>
      <c r="AA404" s="8">
        <f t="shared" si="55"/>
        <v>2556768964.4159083</v>
      </c>
      <c r="AB404" s="8">
        <f t="shared" si="56"/>
        <v>8572569.6327839997</v>
      </c>
      <c r="AC404" s="8">
        <f t="shared" si="57"/>
        <v>32147136.122940004</v>
      </c>
      <c r="AD404" s="8">
        <f t="shared" si="58"/>
        <v>335758977.28404003</v>
      </c>
      <c r="AE404" s="8">
        <f t="shared" si="59"/>
        <v>1970976634.7375882</v>
      </c>
      <c r="AF404" s="8">
        <f t="shared" si="60"/>
        <v>2331024630.7525964</v>
      </c>
      <c r="AG404" s="8">
        <f t="shared" si="61"/>
        <v>776531932.56968403</v>
      </c>
      <c r="AH404" s="8">
        <f t="shared" si="62"/>
        <v>0</v>
      </c>
      <c r="AI404" s="8">
        <f t="shared" si="63"/>
        <v>13573235.251908001</v>
      </c>
    </row>
    <row r="405" spans="1:35" x14ac:dyDescent="0.55000000000000004">
      <c r="A405" s="1">
        <v>403</v>
      </c>
      <c r="B405" s="1" t="s">
        <v>20</v>
      </c>
      <c r="C405" s="1">
        <v>28</v>
      </c>
      <c r="D405" s="1">
        <v>8</v>
      </c>
      <c r="E405" s="1" t="s">
        <v>73</v>
      </c>
      <c r="F405" s="1" t="s">
        <v>74</v>
      </c>
      <c r="G405" s="1">
        <v>22</v>
      </c>
      <c r="H405" s="1">
        <v>2</v>
      </c>
      <c r="I405" s="1">
        <v>22080000</v>
      </c>
      <c r="J405" s="1">
        <v>972</v>
      </c>
      <c r="K405" s="1">
        <v>0</v>
      </c>
      <c r="L405" s="1">
        <v>13391</v>
      </c>
      <c r="M405" s="1">
        <v>13.122719</v>
      </c>
      <c r="N405" s="1">
        <v>101.93751</v>
      </c>
      <c r="O405" s="1">
        <v>25.370000999999998</v>
      </c>
      <c r="P405" s="1">
        <v>0.11</v>
      </c>
      <c r="Q405" s="1">
        <v>0.36</v>
      </c>
      <c r="R405" s="1">
        <v>0.13</v>
      </c>
      <c r="S405" s="1">
        <v>4.26</v>
      </c>
      <c r="T405" s="1">
        <v>6.33</v>
      </c>
      <c r="U405" s="1">
        <v>6.23</v>
      </c>
      <c r="V405" s="1">
        <v>0.71</v>
      </c>
      <c r="W405" s="1">
        <v>0.09</v>
      </c>
      <c r="X405" s="1">
        <v>35974.063853</v>
      </c>
      <c r="Y405" s="1">
        <v>80882524.541299999</v>
      </c>
      <c r="Z405" t="str">
        <f>VLOOKUP(G405,'Code Pro'!$A$2:$B$9,2,FALSE)</f>
        <v>จ.จันทบุรี</v>
      </c>
      <c r="AA405" s="8">
        <f t="shared" si="55"/>
        <v>2051989728.4953053</v>
      </c>
      <c r="AB405" s="8">
        <f t="shared" si="56"/>
        <v>8897077.6995429993</v>
      </c>
      <c r="AC405" s="8">
        <f t="shared" si="57"/>
        <v>29117708.834867999</v>
      </c>
      <c r="AD405" s="8">
        <f t="shared" si="58"/>
        <v>10514728.190369001</v>
      </c>
      <c r="AE405" s="8">
        <f t="shared" si="59"/>
        <v>344559554.54593796</v>
      </c>
      <c r="AF405" s="8">
        <f t="shared" si="60"/>
        <v>511986380.34642899</v>
      </c>
      <c r="AG405" s="8">
        <f t="shared" si="61"/>
        <v>503898127.89229906</v>
      </c>
      <c r="AH405" s="8">
        <f t="shared" si="62"/>
        <v>57426592.424322993</v>
      </c>
      <c r="AI405" s="8">
        <f t="shared" si="63"/>
        <v>7279427.2087169997</v>
      </c>
    </row>
    <row r="406" spans="1:35" x14ac:dyDescent="0.55000000000000004">
      <c r="A406" s="1">
        <v>404</v>
      </c>
      <c r="B406" s="1" t="s">
        <v>20</v>
      </c>
      <c r="C406" s="1">
        <v>28</v>
      </c>
      <c r="D406" s="1">
        <v>8</v>
      </c>
      <c r="E406" s="1" t="s">
        <v>73</v>
      </c>
      <c r="F406" s="1" t="s">
        <v>74</v>
      </c>
      <c r="G406" s="1">
        <v>22</v>
      </c>
      <c r="H406" s="1">
        <v>2</v>
      </c>
      <c r="I406" s="1">
        <v>22080000</v>
      </c>
      <c r="J406" s="1">
        <v>973</v>
      </c>
      <c r="K406" s="1">
        <v>0</v>
      </c>
      <c r="L406" s="1">
        <v>13392</v>
      </c>
      <c r="M406" s="1">
        <v>13.122719</v>
      </c>
      <c r="N406" s="1">
        <v>102.020645</v>
      </c>
      <c r="O406" s="1">
        <v>32.450001</v>
      </c>
      <c r="P406" s="1">
        <v>0.73</v>
      </c>
      <c r="Q406" s="1">
        <v>2.83</v>
      </c>
      <c r="R406" s="1">
        <v>6.51</v>
      </c>
      <c r="S406" s="1">
        <v>2.12</v>
      </c>
      <c r="T406" s="1">
        <v>24.84</v>
      </c>
      <c r="U406" s="1">
        <v>4.51</v>
      </c>
      <c r="V406" s="1">
        <v>3.87</v>
      </c>
      <c r="W406" s="1">
        <v>0</v>
      </c>
      <c r="X406" s="1">
        <v>33264.710792999998</v>
      </c>
      <c r="Y406" s="1">
        <v>68564423.813899994</v>
      </c>
      <c r="Z406" t="str">
        <f>VLOOKUP(G406,'Code Pro'!$A$2:$B$9,2,FALSE)</f>
        <v>จ.จันทบุรี</v>
      </c>
      <c r="AA406" s="8">
        <f t="shared" si="55"/>
        <v>2224915621.3254786</v>
      </c>
      <c r="AB406" s="8">
        <f t="shared" si="56"/>
        <v>50052029.384146996</v>
      </c>
      <c r="AC406" s="8">
        <f t="shared" si="57"/>
        <v>194037319.39333698</v>
      </c>
      <c r="AD406" s="8">
        <f t="shared" si="58"/>
        <v>446354399.02848893</v>
      </c>
      <c r="AE406" s="8">
        <f t="shared" si="59"/>
        <v>145356578.485468</v>
      </c>
      <c r="AF406" s="8">
        <f t="shared" si="60"/>
        <v>1703140287.5372758</v>
      </c>
      <c r="AG406" s="8">
        <f t="shared" si="61"/>
        <v>309225551.40068895</v>
      </c>
      <c r="AH406" s="8">
        <f t="shared" si="62"/>
        <v>265344320.15979299</v>
      </c>
      <c r="AI406" s="8">
        <f t="shared" si="63"/>
        <v>0</v>
      </c>
    </row>
    <row r="407" spans="1:35" x14ac:dyDescent="0.55000000000000004">
      <c r="A407" s="1">
        <v>405</v>
      </c>
      <c r="B407" s="1" t="s">
        <v>20</v>
      </c>
      <c r="C407" s="1">
        <v>28</v>
      </c>
      <c r="D407" s="1">
        <v>8</v>
      </c>
      <c r="E407" s="1" t="s">
        <v>73</v>
      </c>
      <c r="F407" s="1" t="s">
        <v>74</v>
      </c>
      <c r="G407" s="1">
        <v>22</v>
      </c>
      <c r="H407" s="1">
        <v>2</v>
      </c>
      <c r="I407" s="1">
        <v>22080000</v>
      </c>
      <c r="J407" s="1">
        <v>974</v>
      </c>
      <c r="K407" s="1">
        <v>0</v>
      </c>
      <c r="L407" s="1">
        <v>13632</v>
      </c>
      <c r="M407" s="1">
        <v>13.284592</v>
      </c>
      <c r="N407" s="1">
        <v>102.020645</v>
      </c>
      <c r="O407" s="1">
        <v>6.81</v>
      </c>
      <c r="P407" s="1">
        <v>0.03</v>
      </c>
      <c r="Q407" s="1">
        <v>6.53</v>
      </c>
      <c r="R407" s="1">
        <v>1.18</v>
      </c>
      <c r="S407" s="1">
        <v>9.5399999999999991</v>
      </c>
      <c r="T407" s="1">
        <v>11.76</v>
      </c>
      <c r="U407" s="1">
        <v>20.98</v>
      </c>
      <c r="V407" s="1">
        <v>0.01</v>
      </c>
      <c r="W407" s="1">
        <v>0.21</v>
      </c>
      <c r="X407" s="1">
        <v>28341.937951</v>
      </c>
      <c r="Y407" s="1">
        <v>38936633.998499997</v>
      </c>
      <c r="Z407" t="str">
        <f>VLOOKUP(G407,'Code Pro'!$A$2:$B$9,2,FALSE)</f>
        <v>จ.จันทบุรี</v>
      </c>
      <c r="AA407" s="8">
        <f t="shared" si="55"/>
        <v>265158477.52978498</v>
      </c>
      <c r="AB407" s="8">
        <f t="shared" si="56"/>
        <v>1168099.0199549999</v>
      </c>
      <c r="AC407" s="8">
        <f t="shared" si="57"/>
        <v>254256220.010205</v>
      </c>
      <c r="AD407" s="8">
        <f t="shared" si="58"/>
        <v>45945228.118229993</v>
      </c>
      <c r="AE407" s="8">
        <f t="shared" si="59"/>
        <v>371455488.34568995</v>
      </c>
      <c r="AF407" s="8">
        <f t="shared" si="60"/>
        <v>457894815.82235998</v>
      </c>
      <c r="AG407" s="8">
        <f t="shared" si="61"/>
        <v>816890581.28852999</v>
      </c>
      <c r="AH407" s="8">
        <f t="shared" si="62"/>
        <v>389366.33998499997</v>
      </c>
      <c r="AI407" s="8">
        <f t="shared" si="63"/>
        <v>8176693.1396849994</v>
      </c>
    </row>
    <row r="408" spans="1:35" x14ac:dyDescent="0.55000000000000004">
      <c r="A408" s="1">
        <v>406</v>
      </c>
      <c r="B408" s="1" t="s">
        <v>20</v>
      </c>
      <c r="C408" s="1">
        <v>28</v>
      </c>
      <c r="D408" s="1">
        <v>8</v>
      </c>
      <c r="E408" s="1" t="s">
        <v>73</v>
      </c>
      <c r="F408" s="1" t="s">
        <v>74</v>
      </c>
      <c r="G408" s="1">
        <v>22</v>
      </c>
      <c r="H408" s="1">
        <v>2</v>
      </c>
      <c r="I408" s="1">
        <v>22080000</v>
      </c>
      <c r="J408" s="1">
        <v>975</v>
      </c>
      <c r="K408" s="1">
        <v>0</v>
      </c>
      <c r="L408" s="1">
        <v>13511</v>
      </c>
      <c r="M408" s="1">
        <v>13.203666999999999</v>
      </c>
      <c r="N408" s="1">
        <v>101.93751</v>
      </c>
      <c r="O408" s="1">
        <v>53.84</v>
      </c>
      <c r="P408" s="1">
        <v>0.16</v>
      </c>
      <c r="Q408" s="1">
        <v>1.47</v>
      </c>
      <c r="R408" s="1">
        <v>4.0999999999999996</v>
      </c>
      <c r="S408" s="1">
        <v>2.42</v>
      </c>
      <c r="T408" s="1">
        <v>32.599997999999999</v>
      </c>
      <c r="U408" s="1">
        <v>5.51</v>
      </c>
      <c r="V408" s="1">
        <v>0</v>
      </c>
      <c r="W408" s="1">
        <v>0.09</v>
      </c>
      <c r="X408" s="1">
        <v>36487.600930000001</v>
      </c>
      <c r="Y408" s="1">
        <v>80468684.548099995</v>
      </c>
      <c r="Z408" t="str">
        <f>VLOOKUP(G408,'Code Pro'!$A$2:$B$9,2,FALSE)</f>
        <v>จ.จันทบุรี</v>
      </c>
      <c r="AA408" s="8">
        <f t="shared" si="55"/>
        <v>4332433976.0697041</v>
      </c>
      <c r="AB408" s="8">
        <f t="shared" si="56"/>
        <v>12874989.527695999</v>
      </c>
      <c r="AC408" s="8">
        <f t="shared" si="57"/>
        <v>118288966.285707</v>
      </c>
      <c r="AD408" s="8">
        <f t="shared" si="58"/>
        <v>329921606.64720994</v>
      </c>
      <c r="AE408" s="8">
        <f t="shared" si="59"/>
        <v>194734216.60640198</v>
      </c>
      <c r="AF408" s="8">
        <f t="shared" si="60"/>
        <v>2623278955.3306909</v>
      </c>
      <c r="AG408" s="8">
        <f t="shared" si="61"/>
        <v>443382451.86003095</v>
      </c>
      <c r="AH408" s="8">
        <f t="shared" si="62"/>
        <v>0</v>
      </c>
      <c r="AI408" s="8">
        <f t="shared" si="63"/>
        <v>7242181.6093289992</v>
      </c>
    </row>
    <row r="409" spans="1:35" x14ac:dyDescent="0.55000000000000004">
      <c r="A409" s="1">
        <v>407</v>
      </c>
      <c r="B409" s="1" t="s">
        <v>20</v>
      </c>
      <c r="C409" s="1">
        <v>28</v>
      </c>
      <c r="D409" s="1">
        <v>8</v>
      </c>
      <c r="E409" s="1" t="s">
        <v>73</v>
      </c>
      <c r="F409" s="1" t="s">
        <v>74</v>
      </c>
      <c r="G409" s="1">
        <v>22</v>
      </c>
      <c r="H409" s="1">
        <v>2</v>
      </c>
      <c r="I409" s="1">
        <v>22080000</v>
      </c>
      <c r="J409" s="1">
        <v>976</v>
      </c>
      <c r="K409" s="1">
        <v>0</v>
      </c>
      <c r="L409" s="1">
        <v>13512</v>
      </c>
      <c r="M409" s="1">
        <v>13.203666999999999</v>
      </c>
      <c r="N409" s="1">
        <v>102.020645</v>
      </c>
      <c r="O409" s="1">
        <v>18.82</v>
      </c>
      <c r="P409" s="1">
        <v>0.95</v>
      </c>
      <c r="Q409" s="1">
        <v>2.11</v>
      </c>
      <c r="R409" s="1">
        <v>11.88</v>
      </c>
      <c r="S409" s="1">
        <v>42.34</v>
      </c>
      <c r="T409" s="1">
        <v>30.379999000000002</v>
      </c>
      <c r="U409" s="1">
        <v>12.91</v>
      </c>
      <c r="V409" s="1">
        <v>0.02</v>
      </c>
      <c r="W409" s="1">
        <v>0.01</v>
      </c>
      <c r="X409" s="1">
        <v>32507.983292000001</v>
      </c>
      <c r="Y409" s="1">
        <v>52465113.769699998</v>
      </c>
      <c r="Z409" t="str">
        <f>VLOOKUP(G409,'Code Pro'!$A$2:$B$9,2,FALSE)</f>
        <v>จ.จันทบุรี</v>
      </c>
      <c r="AA409" s="8">
        <f t="shared" si="55"/>
        <v>987393441.14575398</v>
      </c>
      <c r="AB409" s="8">
        <f t="shared" si="56"/>
        <v>49841858.081214994</v>
      </c>
      <c r="AC409" s="8">
        <f t="shared" si="57"/>
        <v>110701390.05406699</v>
      </c>
      <c r="AD409" s="8">
        <f t="shared" si="58"/>
        <v>623285551.58403599</v>
      </c>
      <c r="AE409" s="8">
        <f t="shared" si="59"/>
        <v>2221372917.0090981</v>
      </c>
      <c r="AF409" s="8">
        <f t="shared" si="60"/>
        <v>1593890103.8583722</v>
      </c>
      <c r="AG409" s="8">
        <f t="shared" si="61"/>
        <v>677324618.76682699</v>
      </c>
      <c r="AH409" s="8">
        <f t="shared" si="62"/>
        <v>1049302.2753939999</v>
      </c>
      <c r="AI409" s="8">
        <f t="shared" si="63"/>
        <v>524651.13769699994</v>
      </c>
    </row>
    <row r="410" spans="1:35" x14ac:dyDescent="0.55000000000000004">
      <c r="A410" s="1">
        <v>408</v>
      </c>
      <c r="B410" s="1" t="s">
        <v>20</v>
      </c>
      <c r="C410" s="1">
        <v>28</v>
      </c>
      <c r="D410" s="1">
        <v>8</v>
      </c>
      <c r="E410" s="1" t="s">
        <v>73</v>
      </c>
      <c r="F410" s="1" t="s">
        <v>74</v>
      </c>
      <c r="G410" s="1">
        <v>22</v>
      </c>
      <c r="H410" s="1">
        <v>2</v>
      </c>
      <c r="I410" s="1">
        <v>22080000</v>
      </c>
      <c r="J410" s="1">
        <v>982</v>
      </c>
      <c r="K410" s="1">
        <v>0</v>
      </c>
      <c r="L410" s="1">
        <v>13752</v>
      </c>
      <c r="M410" s="1">
        <v>13.365479000000001</v>
      </c>
      <c r="N410" s="1">
        <v>102.020645</v>
      </c>
      <c r="O410" s="1">
        <v>1.91</v>
      </c>
      <c r="P410" s="1">
        <v>0.43</v>
      </c>
      <c r="Q410" s="1">
        <v>10.199999999999999</v>
      </c>
      <c r="R410" s="1">
        <v>1.77</v>
      </c>
      <c r="S410" s="1">
        <v>3.01</v>
      </c>
      <c r="T410" s="1">
        <v>8.15</v>
      </c>
      <c r="U410" s="1">
        <v>66.080001999999993</v>
      </c>
      <c r="V410" s="1">
        <v>0.05</v>
      </c>
      <c r="W410" s="1">
        <v>0.1</v>
      </c>
      <c r="X410" s="1">
        <v>4147.8135329999996</v>
      </c>
      <c r="Y410" s="1">
        <v>957327.33930700005</v>
      </c>
      <c r="Z410" t="str">
        <f>VLOOKUP(G410,'Code Pro'!$A$2:$B$9,2,FALSE)</f>
        <v>จ.จันทบุรี</v>
      </c>
      <c r="AA410" s="8">
        <f t="shared" si="55"/>
        <v>1828495.21807637</v>
      </c>
      <c r="AB410" s="8">
        <f t="shared" si="56"/>
        <v>411650.75590201002</v>
      </c>
      <c r="AC410" s="8">
        <f t="shared" si="57"/>
        <v>9764738.8609314002</v>
      </c>
      <c r="AD410" s="8">
        <f t="shared" si="58"/>
        <v>1694469.3905733901</v>
      </c>
      <c r="AE410" s="8">
        <f t="shared" si="59"/>
        <v>2881555.2913140701</v>
      </c>
      <c r="AF410" s="8">
        <f t="shared" si="60"/>
        <v>7802217.8153520506</v>
      </c>
      <c r="AG410" s="8">
        <f t="shared" si="61"/>
        <v>63260192.496061236</v>
      </c>
      <c r="AH410" s="8">
        <f t="shared" si="62"/>
        <v>47866.366965350004</v>
      </c>
      <c r="AI410" s="8">
        <f t="shared" si="63"/>
        <v>95732.733930700007</v>
      </c>
    </row>
    <row r="411" spans="1:35" x14ac:dyDescent="0.55000000000000004">
      <c r="A411" s="1">
        <v>409</v>
      </c>
      <c r="B411" s="1" t="s">
        <v>20</v>
      </c>
      <c r="C411" s="1">
        <v>28</v>
      </c>
      <c r="D411" s="1">
        <v>8</v>
      </c>
      <c r="E411" s="1" t="s">
        <v>73</v>
      </c>
      <c r="F411" s="1" t="s">
        <v>74</v>
      </c>
      <c r="G411" s="1">
        <v>22</v>
      </c>
      <c r="H411" s="1">
        <v>2</v>
      </c>
      <c r="I411" s="1">
        <v>22080000</v>
      </c>
      <c r="J411" s="1">
        <v>983</v>
      </c>
      <c r="K411" s="1">
        <v>0</v>
      </c>
      <c r="L411" s="1">
        <v>13751</v>
      </c>
      <c r="M411" s="1">
        <v>13.365479000000001</v>
      </c>
      <c r="N411" s="1">
        <v>101.93751</v>
      </c>
      <c r="O411" s="1">
        <v>0.75</v>
      </c>
      <c r="P411" s="1">
        <v>0.48</v>
      </c>
      <c r="Q411" s="1">
        <v>0.08</v>
      </c>
      <c r="R411" s="1">
        <v>0.51</v>
      </c>
      <c r="S411" s="1">
        <v>2.91</v>
      </c>
      <c r="T411" s="1">
        <v>5.45</v>
      </c>
      <c r="U411" s="1">
        <v>37.07</v>
      </c>
      <c r="V411" s="1">
        <v>2.42</v>
      </c>
      <c r="W411" s="1">
        <v>0</v>
      </c>
      <c r="X411" s="1">
        <v>3098.6220170000001</v>
      </c>
      <c r="Y411" s="1">
        <v>228928.58618700001</v>
      </c>
      <c r="Z411" t="str">
        <f>VLOOKUP(G411,'Code Pro'!$A$2:$B$9,2,FALSE)</f>
        <v>จ.จันทบุรี</v>
      </c>
      <c r="AA411" s="8">
        <f t="shared" si="55"/>
        <v>171696.43964025</v>
      </c>
      <c r="AB411" s="8">
        <f t="shared" si="56"/>
        <v>109885.72136975999</v>
      </c>
      <c r="AC411" s="8">
        <f t="shared" si="57"/>
        <v>18314.286894960002</v>
      </c>
      <c r="AD411" s="8">
        <f t="shared" si="58"/>
        <v>116753.57895537</v>
      </c>
      <c r="AE411" s="8">
        <f t="shared" si="59"/>
        <v>666182.18580417009</v>
      </c>
      <c r="AF411" s="8">
        <f t="shared" si="60"/>
        <v>1247660.7947191501</v>
      </c>
      <c r="AG411" s="8">
        <f t="shared" si="61"/>
        <v>8486382.6899520904</v>
      </c>
      <c r="AH411" s="8">
        <f t="shared" si="62"/>
        <v>554007.17857254006</v>
      </c>
      <c r="AI411" s="8">
        <f t="shared" si="63"/>
        <v>0</v>
      </c>
    </row>
    <row r="412" spans="1:35" x14ac:dyDescent="0.55000000000000004">
      <c r="A412" s="1">
        <v>410</v>
      </c>
      <c r="B412" s="1" t="s">
        <v>20</v>
      </c>
      <c r="C412" s="1">
        <v>28</v>
      </c>
      <c r="D412" s="1">
        <v>8</v>
      </c>
      <c r="E412" s="1" t="s">
        <v>73</v>
      </c>
      <c r="F412" s="1" t="s">
        <v>74</v>
      </c>
      <c r="G412" s="1">
        <v>22</v>
      </c>
      <c r="H412" s="1">
        <v>2</v>
      </c>
      <c r="I412" s="1">
        <v>22080000</v>
      </c>
      <c r="J412" s="1">
        <v>987</v>
      </c>
      <c r="K412" s="1">
        <v>0</v>
      </c>
      <c r="L412" s="1">
        <v>13631</v>
      </c>
      <c r="M412" s="1">
        <v>13.284592</v>
      </c>
      <c r="N412" s="1">
        <v>101.93751</v>
      </c>
      <c r="O412" s="1">
        <v>10.11</v>
      </c>
      <c r="P412" s="1">
        <v>0.08</v>
      </c>
      <c r="Q412" s="1">
        <v>0.11</v>
      </c>
      <c r="R412" s="1">
        <v>10.49</v>
      </c>
      <c r="S412" s="1">
        <v>0.94</v>
      </c>
      <c r="T412" s="1">
        <v>8.0500000000000007</v>
      </c>
      <c r="U412" s="1">
        <v>17.239999999999998</v>
      </c>
      <c r="V412" s="1">
        <v>0.01</v>
      </c>
      <c r="W412" s="1">
        <v>0.04</v>
      </c>
      <c r="X412" s="1">
        <v>35027.174468999998</v>
      </c>
      <c r="Y412" s="1">
        <v>52571658.4274</v>
      </c>
      <c r="Z412" t="str">
        <f>VLOOKUP(G412,'Code Pro'!$A$2:$B$9,2,FALSE)</f>
        <v>จ.จันทบุรี</v>
      </c>
      <c r="AA412" s="8">
        <f t="shared" si="55"/>
        <v>531499466.70101398</v>
      </c>
      <c r="AB412" s="8">
        <f t="shared" si="56"/>
        <v>4205732.6741920002</v>
      </c>
      <c r="AC412" s="8">
        <f t="shared" si="57"/>
        <v>5782882.4270139998</v>
      </c>
      <c r="AD412" s="8">
        <f t="shared" si="58"/>
        <v>551476696.90342605</v>
      </c>
      <c r="AE412" s="8">
        <f t="shared" si="59"/>
        <v>49417358.921755999</v>
      </c>
      <c r="AF412" s="8">
        <f t="shared" si="60"/>
        <v>423201850.34057003</v>
      </c>
      <c r="AG412" s="8">
        <f t="shared" si="61"/>
        <v>906335391.28837597</v>
      </c>
      <c r="AH412" s="8">
        <f t="shared" si="62"/>
        <v>525716.58427400002</v>
      </c>
      <c r="AI412" s="8">
        <f t="shared" si="63"/>
        <v>2102866.3370960001</v>
      </c>
    </row>
    <row r="413" spans="1:35" x14ac:dyDescent="0.55000000000000004">
      <c r="A413" s="1">
        <v>411</v>
      </c>
      <c r="B413" s="1" t="s">
        <v>20</v>
      </c>
      <c r="C413" s="1">
        <v>29</v>
      </c>
      <c r="D413" s="1">
        <v>9</v>
      </c>
      <c r="E413" s="1" t="s">
        <v>75</v>
      </c>
      <c r="F413" s="1" t="s">
        <v>76</v>
      </c>
      <c r="G413" s="1">
        <v>22</v>
      </c>
      <c r="H413" s="1">
        <v>2</v>
      </c>
      <c r="I413" s="1">
        <v>22090000</v>
      </c>
      <c r="J413" s="1">
        <v>298</v>
      </c>
      <c r="K413" s="1">
        <v>0</v>
      </c>
      <c r="L413" s="1">
        <v>12789</v>
      </c>
      <c r="M413" s="1">
        <v>12.717560000000001</v>
      </c>
      <c r="N413" s="1">
        <v>101.77124000000001</v>
      </c>
      <c r="O413" s="1">
        <v>0.03</v>
      </c>
      <c r="P413" s="1">
        <v>0.11</v>
      </c>
      <c r="Q413" s="1">
        <v>3.72</v>
      </c>
      <c r="R413" s="1">
        <v>23.68</v>
      </c>
      <c r="S413" s="1">
        <v>1.04</v>
      </c>
      <c r="T413" s="1">
        <v>6.28</v>
      </c>
      <c r="U413" s="1">
        <v>16.579999999999998</v>
      </c>
      <c r="V413" s="1">
        <v>0.37</v>
      </c>
      <c r="W413" s="1">
        <v>9.36</v>
      </c>
      <c r="X413" s="1">
        <v>22335.751562000001</v>
      </c>
      <c r="Y413" s="1">
        <v>15269057.5118</v>
      </c>
      <c r="Z413" t="str">
        <f>VLOOKUP(G413,'Code Pro'!$A$2:$B$9,2,FALSE)</f>
        <v>จ.จันทบุรี</v>
      </c>
      <c r="AA413" s="8">
        <f t="shared" si="55"/>
        <v>458071.72535399999</v>
      </c>
      <c r="AB413" s="8">
        <f t="shared" si="56"/>
        <v>1679596.3262980001</v>
      </c>
      <c r="AC413" s="8">
        <f t="shared" si="57"/>
        <v>56800893.943896003</v>
      </c>
      <c r="AD413" s="8">
        <f t="shared" si="58"/>
        <v>361571281.87942404</v>
      </c>
      <c r="AE413" s="8">
        <f t="shared" si="59"/>
        <v>15879819.812272001</v>
      </c>
      <c r="AF413" s="8">
        <f t="shared" si="60"/>
        <v>95889681.174104005</v>
      </c>
      <c r="AG413" s="8">
        <f t="shared" si="61"/>
        <v>253160973.54564399</v>
      </c>
      <c r="AH413" s="8">
        <f t="shared" si="62"/>
        <v>5649551.2793660006</v>
      </c>
      <c r="AI413" s="8">
        <f t="shared" si="63"/>
        <v>142918378.31044799</v>
      </c>
    </row>
    <row r="414" spans="1:35" x14ac:dyDescent="0.55000000000000004">
      <c r="A414" s="1">
        <v>412</v>
      </c>
      <c r="B414" s="1" t="s">
        <v>20</v>
      </c>
      <c r="C414" s="1">
        <v>29</v>
      </c>
      <c r="D414" s="1">
        <v>9</v>
      </c>
      <c r="E414" s="1" t="s">
        <v>75</v>
      </c>
      <c r="F414" s="1" t="s">
        <v>76</v>
      </c>
      <c r="G414" s="1">
        <v>22</v>
      </c>
      <c r="H414" s="1">
        <v>2</v>
      </c>
      <c r="I414" s="1">
        <v>22090000</v>
      </c>
      <c r="J414" s="1">
        <v>491</v>
      </c>
      <c r="K414" s="1">
        <v>0</v>
      </c>
      <c r="L414" s="1">
        <v>12670</v>
      </c>
      <c r="M414" s="1">
        <v>12.636443999999999</v>
      </c>
      <c r="N414" s="1">
        <v>101.85438000000001</v>
      </c>
      <c r="O414" s="1">
        <v>0</v>
      </c>
      <c r="P414" s="1">
        <v>0.56999999999999995</v>
      </c>
      <c r="Q414" s="1">
        <v>0.32</v>
      </c>
      <c r="R414" s="1">
        <v>0.47</v>
      </c>
      <c r="S414" s="1">
        <v>1.27</v>
      </c>
      <c r="T414" s="1">
        <v>5.76</v>
      </c>
      <c r="U414" s="1">
        <v>14.1</v>
      </c>
      <c r="V414" s="1">
        <v>5.51</v>
      </c>
      <c r="W414" s="1">
        <v>0.73</v>
      </c>
      <c r="X414" s="1">
        <v>31705.187837000001</v>
      </c>
      <c r="Y414" s="1">
        <v>36446791.568000004</v>
      </c>
      <c r="Z414" t="str">
        <f>VLOOKUP(G414,'Code Pro'!$A$2:$B$9,2,FALSE)</f>
        <v>จ.จันทบุรี</v>
      </c>
      <c r="AA414" s="8">
        <f t="shared" si="55"/>
        <v>0</v>
      </c>
      <c r="AB414" s="8">
        <f t="shared" si="56"/>
        <v>20774671.19376</v>
      </c>
      <c r="AC414" s="8">
        <f t="shared" si="57"/>
        <v>11662973.301760001</v>
      </c>
      <c r="AD414" s="8">
        <f t="shared" si="58"/>
        <v>17129992.036960002</v>
      </c>
      <c r="AE414" s="8">
        <f t="shared" si="59"/>
        <v>46287425.291360006</v>
      </c>
      <c r="AF414" s="8">
        <f t="shared" si="60"/>
        <v>209933519.43168002</v>
      </c>
      <c r="AG414" s="8">
        <f t="shared" si="61"/>
        <v>513899761.10880005</v>
      </c>
      <c r="AH414" s="8">
        <f t="shared" si="62"/>
        <v>200821821.53968</v>
      </c>
      <c r="AI414" s="8">
        <f t="shared" si="63"/>
        <v>26606157.844640002</v>
      </c>
    </row>
    <row r="415" spans="1:35" x14ac:dyDescent="0.55000000000000004">
      <c r="A415" s="1">
        <v>413</v>
      </c>
      <c r="B415" s="1" t="s">
        <v>20</v>
      </c>
      <c r="C415" s="1">
        <v>29</v>
      </c>
      <c r="D415" s="1">
        <v>9</v>
      </c>
      <c r="E415" s="1" t="s">
        <v>75</v>
      </c>
      <c r="F415" s="1" t="s">
        <v>76</v>
      </c>
      <c r="G415" s="1">
        <v>22</v>
      </c>
      <c r="H415" s="1">
        <v>2</v>
      </c>
      <c r="I415" s="1">
        <v>22090000</v>
      </c>
      <c r="J415" s="1">
        <v>492</v>
      </c>
      <c r="K415" s="1">
        <v>0</v>
      </c>
      <c r="L415" s="1">
        <v>12550</v>
      </c>
      <c r="M415" s="1">
        <v>12.555313</v>
      </c>
      <c r="N415" s="1">
        <v>101.85438000000001</v>
      </c>
      <c r="O415" s="1">
        <v>0.01</v>
      </c>
      <c r="P415" s="1">
        <v>0.7</v>
      </c>
      <c r="Q415" s="1">
        <v>0.28999999999999998</v>
      </c>
      <c r="R415" s="1">
        <v>0.56000000000000005</v>
      </c>
      <c r="S415" s="1">
        <v>2.1</v>
      </c>
      <c r="T415" s="1">
        <v>7.39</v>
      </c>
      <c r="U415" s="1">
        <v>10.29</v>
      </c>
      <c r="V415" s="1">
        <v>1.85</v>
      </c>
      <c r="W415" s="1">
        <v>4.7</v>
      </c>
      <c r="X415" s="1">
        <v>2948.815231</v>
      </c>
      <c r="Y415" s="1">
        <v>310524.78620099998</v>
      </c>
      <c r="Z415" t="str">
        <f>VLOOKUP(G415,'Code Pro'!$A$2:$B$9,2,FALSE)</f>
        <v>จ.จันทบุรี</v>
      </c>
      <c r="AA415" s="8">
        <f t="shared" si="55"/>
        <v>3105.2478620100001</v>
      </c>
      <c r="AB415" s="8">
        <f t="shared" si="56"/>
        <v>217367.35034069998</v>
      </c>
      <c r="AC415" s="8">
        <f t="shared" si="57"/>
        <v>90052.187998289985</v>
      </c>
      <c r="AD415" s="8">
        <f t="shared" si="58"/>
        <v>173893.88027256</v>
      </c>
      <c r="AE415" s="8">
        <f t="shared" si="59"/>
        <v>652102.05102210003</v>
      </c>
      <c r="AF415" s="8">
        <f t="shared" si="60"/>
        <v>2294778.1700253896</v>
      </c>
      <c r="AG415" s="8">
        <f t="shared" si="61"/>
        <v>3195300.0500082895</v>
      </c>
      <c r="AH415" s="8">
        <f t="shared" si="62"/>
        <v>574470.85447184998</v>
      </c>
      <c r="AI415" s="8">
        <f t="shared" si="63"/>
        <v>1459466.4951446999</v>
      </c>
    </row>
    <row r="416" spans="1:35" x14ac:dyDescent="0.55000000000000004">
      <c r="A416" s="1">
        <v>414</v>
      </c>
      <c r="B416" s="1" t="s">
        <v>20</v>
      </c>
      <c r="C416" s="1">
        <v>29</v>
      </c>
      <c r="D416" s="1">
        <v>9</v>
      </c>
      <c r="E416" s="1" t="s">
        <v>75</v>
      </c>
      <c r="F416" s="1" t="s">
        <v>76</v>
      </c>
      <c r="G416" s="1">
        <v>22</v>
      </c>
      <c r="H416" s="1">
        <v>2</v>
      </c>
      <c r="I416" s="1">
        <v>22090000</v>
      </c>
      <c r="J416" s="1">
        <v>494</v>
      </c>
      <c r="K416" s="1">
        <v>0</v>
      </c>
      <c r="L416" s="1">
        <v>12671</v>
      </c>
      <c r="M416" s="1">
        <v>12.636443999999999</v>
      </c>
      <c r="N416" s="1">
        <v>101.93751</v>
      </c>
      <c r="O416" s="1">
        <v>0</v>
      </c>
      <c r="P416" s="1">
        <v>1.1499999999999999</v>
      </c>
      <c r="Q416" s="1">
        <v>0.57999999999999996</v>
      </c>
      <c r="R416" s="1">
        <v>7.0000000000000007E-2</v>
      </c>
      <c r="S416" s="1">
        <v>0.32</v>
      </c>
      <c r="T416" s="1">
        <v>0.92</v>
      </c>
      <c r="U416" s="1">
        <v>14.7</v>
      </c>
      <c r="V416" s="1">
        <v>13.03</v>
      </c>
      <c r="W416" s="1">
        <v>2.2999999999999998</v>
      </c>
      <c r="X416" s="1">
        <v>25894.266925</v>
      </c>
      <c r="Y416" s="1">
        <v>10150963.274800001</v>
      </c>
      <c r="Z416" t="str">
        <f>VLOOKUP(G416,'Code Pro'!$A$2:$B$9,2,FALSE)</f>
        <v>จ.จันทบุรี</v>
      </c>
      <c r="AA416" s="8">
        <f t="shared" si="55"/>
        <v>0</v>
      </c>
      <c r="AB416" s="8">
        <f t="shared" si="56"/>
        <v>11673607.76602</v>
      </c>
      <c r="AC416" s="8">
        <f t="shared" si="57"/>
        <v>5887558.6993840002</v>
      </c>
      <c r="AD416" s="8">
        <f t="shared" si="58"/>
        <v>710567.42923600017</v>
      </c>
      <c r="AE416" s="8">
        <f t="shared" si="59"/>
        <v>3248308.2479360001</v>
      </c>
      <c r="AF416" s="8">
        <f t="shared" si="60"/>
        <v>9338886.2128160018</v>
      </c>
      <c r="AG416" s="8">
        <f t="shared" si="61"/>
        <v>149219160.13956001</v>
      </c>
      <c r="AH416" s="8">
        <f t="shared" si="62"/>
        <v>132267051.470644</v>
      </c>
      <c r="AI416" s="8">
        <f t="shared" si="63"/>
        <v>23347215.53204</v>
      </c>
    </row>
    <row r="417" spans="1:35" x14ac:dyDescent="0.55000000000000004">
      <c r="A417" s="1">
        <v>415</v>
      </c>
      <c r="B417" s="1" t="s">
        <v>20</v>
      </c>
      <c r="C417" s="1">
        <v>29</v>
      </c>
      <c r="D417" s="1">
        <v>9</v>
      </c>
      <c r="E417" s="1" t="s">
        <v>75</v>
      </c>
      <c r="F417" s="1" t="s">
        <v>76</v>
      </c>
      <c r="G417" s="1">
        <v>22</v>
      </c>
      <c r="H417" s="1">
        <v>2</v>
      </c>
      <c r="I417" s="1">
        <v>22090000</v>
      </c>
      <c r="J417" s="1">
        <v>526</v>
      </c>
      <c r="K417" s="1">
        <v>0</v>
      </c>
      <c r="L417" s="1">
        <v>12790</v>
      </c>
      <c r="M417" s="1">
        <v>12.717560000000001</v>
      </c>
      <c r="N417" s="1">
        <v>101.85438000000001</v>
      </c>
      <c r="O417" s="1">
        <v>1.83</v>
      </c>
      <c r="P417" s="1">
        <v>0.06</v>
      </c>
      <c r="Q417" s="1">
        <v>2.12</v>
      </c>
      <c r="R417" s="1">
        <v>2.09</v>
      </c>
      <c r="S417" s="1">
        <v>1.32</v>
      </c>
      <c r="T417" s="1">
        <v>10.36</v>
      </c>
      <c r="U417" s="1">
        <v>59.040000999999997</v>
      </c>
      <c r="V417" s="1">
        <v>1.53</v>
      </c>
      <c r="W417" s="1">
        <v>17.260000000000002</v>
      </c>
      <c r="X417" s="1">
        <v>35760.266575000001</v>
      </c>
      <c r="Y417" s="1">
        <v>79659577.940699995</v>
      </c>
      <c r="Z417" t="str">
        <f>VLOOKUP(G417,'Code Pro'!$A$2:$B$9,2,FALSE)</f>
        <v>จ.จันทบุรี</v>
      </c>
      <c r="AA417" s="8">
        <f t="shared" si="55"/>
        <v>145777027.63148099</v>
      </c>
      <c r="AB417" s="8">
        <f t="shared" si="56"/>
        <v>4779574.6764419992</v>
      </c>
      <c r="AC417" s="8">
        <f t="shared" si="57"/>
        <v>168878305.23428398</v>
      </c>
      <c r="AD417" s="8">
        <f t="shared" si="58"/>
        <v>166488517.89606297</v>
      </c>
      <c r="AE417" s="8">
        <f t="shared" si="59"/>
        <v>105150642.881724</v>
      </c>
      <c r="AF417" s="8">
        <f t="shared" si="60"/>
        <v>825273227.46565187</v>
      </c>
      <c r="AG417" s="8">
        <f t="shared" si="61"/>
        <v>4703101561.2785053</v>
      </c>
      <c r="AH417" s="8">
        <f t="shared" si="62"/>
        <v>121879154.24927099</v>
      </c>
      <c r="AI417" s="8">
        <f t="shared" si="63"/>
        <v>1374924315.2564821</v>
      </c>
    </row>
    <row r="418" spans="1:35" x14ac:dyDescent="0.55000000000000004">
      <c r="A418" s="1">
        <v>416</v>
      </c>
      <c r="B418" s="1" t="s">
        <v>20</v>
      </c>
      <c r="C418" s="1">
        <v>29</v>
      </c>
      <c r="D418" s="1">
        <v>9</v>
      </c>
      <c r="E418" s="1" t="s">
        <v>75</v>
      </c>
      <c r="F418" s="1" t="s">
        <v>76</v>
      </c>
      <c r="G418" s="1">
        <v>22</v>
      </c>
      <c r="H418" s="1">
        <v>2</v>
      </c>
      <c r="I418" s="1">
        <v>22090000</v>
      </c>
      <c r="J418" s="1">
        <v>527</v>
      </c>
      <c r="K418" s="1">
        <v>0</v>
      </c>
      <c r="L418" s="1">
        <v>12791</v>
      </c>
      <c r="M418" s="1">
        <v>12.717560000000001</v>
      </c>
      <c r="N418" s="1">
        <v>101.93751</v>
      </c>
      <c r="O418" s="1">
        <v>4.5199999999999996</v>
      </c>
      <c r="P418" s="1">
        <v>0.09</v>
      </c>
      <c r="Q418" s="1">
        <v>0.84</v>
      </c>
      <c r="R418" s="1">
        <v>0.1</v>
      </c>
      <c r="S418" s="1">
        <v>1.0900000000000001</v>
      </c>
      <c r="T418" s="1">
        <v>3.61</v>
      </c>
      <c r="U418" s="1">
        <v>50.950001</v>
      </c>
      <c r="V418" s="1">
        <v>8.73</v>
      </c>
      <c r="W418" s="1">
        <v>5.43</v>
      </c>
      <c r="X418" s="1">
        <v>33707.202368999999</v>
      </c>
      <c r="Y418" s="1">
        <v>40591021.082900003</v>
      </c>
      <c r="Z418" t="str">
        <f>VLOOKUP(G418,'Code Pro'!$A$2:$B$9,2,FALSE)</f>
        <v>จ.จันทบุรี</v>
      </c>
      <c r="AA418" s="8">
        <f t="shared" si="55"/>
        <v>183471415.29470798</v>
      </c>
      <c r="AB418" s="8">
        <f t="shared" si="56"/>
        <v>3653191.8974609999</v>
      </c>
      <c r="AC418" s="8">
        <f t="shared" si="57"/>
        <v>34096457.709636003</v>
      </c>
      <c r="AD418" s="8">
        <f t="shared" si="58"/>
        <v>4059102.1082900004</v>
      </c>
      <c r="AE418" s="8">
        <f t="shared" si="59"/>
        <v>44244212.980361007</v>
      </c>
      <c r="AF418" s="8">
        <f t="shared" si="60"/>
        <v>146533586.10926899</v>
      </c>
      <c r="AG418" s="8">
        <f t="shared" si="61"/>
        <v>2068112564.7647762</v>
      </c>
      <c r="AH418" s="8">
        <f t="shared" si="62"/>
        <v>354359614.05371702</v>
      </c>
      <c r="AI418" s="8">
        <f t="shared" si="63"/>
        <v>220409244.480147</v>
      </c>
    </row>
    <row r="419" spans="1:35" x14ac:dyDescent="0.55000000000000004">
      <c r="A419" s="1">
        <v>417</v>
      </c>
      <c r="B419" s="1" t="s">
        <v>20</v>
      </c>
      <c r="C419" s="1">
        <v>29</v>
      </c>
      <c r="D419" s="1">
        <v>9</v>
      </c>
      <c r="E419" s="1" t="s">
        <v>75</v>
      </c>
      <c r="F419" s="1" t="s">
        <v>76</v>
      </c>
      <c r="G419" s="1">
        <v>22</v>
      </c>
      <c r="H419" s="1">
        <v>2</v>
      </c>
      <c r="I419" s="1">
        <v>22090000</v>
      </c>
      <c r="J419" s="1">
        <v>528</v>
      </c>
      <c r="K419" s="1">
        <v>0</v>
      </c>
      <c r="L419" s="1">
        <v>12910</v>
      </c>
      <c r="M419" s="1">
        <v>12.798636999999999</v>
      </c>
      <c r="N419" s="1">
        <v>101.85438000000001</v>
      </c>
      <c r="O419" s="1">
        <v>2.0499999999999998</v>
      </c>
      <c r="P419" s="1">
        <v>0.02</v>
      </c>
      <c r="Q419" s="1">
        <v>6.4</v>
      </c>
      <c r="R419" s="1">
        <v>0.52</v>
      </c>
      <c r="S419" s="1">
        <v>0.75</v>
      </c>
      <c r="T419" s="1">
        <v>4.1500000000000004</v>
      </c>
      <c r="U419" s="1">
        <v>14.66</v>
      </c>
      <c r="V419" s="1">
        <v>3.73</v>
      </c>
      <c r="W419" s="1">
        <v>0.67</v>
      </c>
      <c r="X419" s="1">
        <v>38077.155937000003</v>
      </c>
      <c r="Y419" s="1">
        <v>69721402.852899998</v>
      </c>
      <c r="Z419" t="str">
        <f>VLOOKUP(G419,'Code Pro'!$A$2:$B$9,2,FALSE)</f>
        <v>จ.จันทบุรี</v>
      </c>
      <c r="AA419" s="8">
        <f t="shared" si="55"/>
        <v>142928875.848445</v>
      </c>
      <c r="AB419" s="8">
        <f t="shared" si="56"/>
        <v>1394428.057058</v>
      </c>
      <c r="AC419" s="8">
        <f t="shared" si="57"/>
        <v>446216978.25856</v>
      </c>
      <c r="AD419" s="8">
        <f t="shared" si="58"/>
        <v>36255129.483507998</v>
      </c>
      <c r="AE419" s="8">
        <f t="shared" si="59"/>
        <v>52291052.139674999</v>
      </c>
      <c r="AF419" s="8">
        <f t="shared" si="60"/>
        <v>289343821.839535</v>
      </c>
      <c r="AG419" s="8">
        <f t="shared" si="61"/>
        <v>1022115765.823514</v>
      </c>
      <c r="AH419" s="8">
        <f t="shared" si="62"/>
        <v>260060832.64131698</v>
      </c>
      <c r="AI419" s="8">
        <f t="shared" si="63"/>
        <v>46713339.911443003</v>
      </c>
    </row>
    <row r="420" spans="1:35" x14ac:dyDescent="0.55000000000000004">
      <c r="A420" s="1">
        <v>418</v>
      </c>
      <c r="B420" s="1" t="s">
        <v>20</v>
      </c>
      <c r="C420" s="1">
        <v>29</v>
      </c>
      <c r="D420" s="1">
        <v>9</v>
      </c>
      <c r="E420" s="1" t="s">
        <v>75</v>
      </c>
      <c r="F420" s="1" t="s">
        <v>76</v>
      </c>
      <c r="G420" s="1">
        <v>22</v>
      </c>
      <c r="H420" s="1">
        <v>2</v>
      </c>
      <c r="I420" s="1">
        <v>22090000</v>
      </c>
      <c r="J420" s="1">
        <v>529</v>
      </c>
      <c r="K420" s="1">
        <v>0</v>
      </c>
      <c r="L420" s="1">
        <v>13031</v>
      </c>
      <c r="M420" s="1">
        <v>12.8797</v>
      </c>
      <c r="N420" s="1">
        <v>101.93751</v>
      </c>
      <c r="O420" s="1">
        <v>4.88</v>
      </c>
      <c r="P420" s="1">
        <v>0.28000000000000003</v>
      </c>
      <c r="Q420" s="1">
        <v>0.21</v>
      </c>
      <c r="R420" s="1">
        <v>18.280000999999999</v>
      </c>
      <c r="S420" s="1">
        <v>6.22</v>
      </c>
      <c r="T420" s="1">
        <v>8.4</v>
      </c>
      <c r="U420" s="1">
        <v>20.690000999999999</v>
      </c>
      <c r="V420" s="1">
        <v>4.8</v>
      </c>
      <c r="W420" s="1">
        <v>2.16</v>
      </c>
      <c r="X420" s="1">
        <v>2430.412922</v>
      </c>
      <c r="Y420" s="1">
        <v>259345.12216100001</v>
      </c>
      <c r="Z420" t="str">
        <f>VLOOKUP(G420,'Code Pro'!$A$2:$B$9,2,FALSE)</f>
        <v>จ.จันทบุรี</v>
      </c>
      <c r="AA420" s="8">
        <f t="shared" si="55"/>
        <v>1265604.19614568</v>
      </c>
      <c r="AB420" s="8">
        <f t="shared" si="56"/>
        <v>72616.634205080016</v>
      </c>
      <c r="AC420" s="8">
        <f t="shared" si="57"/>
        <v>54462.475653809997</v>
      </c>
      <c r="AD420" s="8">
        <f t="shared" si="58"/>
        <v>4740829.092448202</v>
      </c>
      <c r="AE420" s="8">
        <f t="shared" si="59"/>
        <v>1613126.6598414199</v>
      </c>
      <c r="AF420" s="8">
        <f t="shared" si="60"/>
        <v>2178499.0261524003</v>
      </c>
      <c r="AG420" s="8">
        <f t="shared" si="61"/>
        <v>5365850.8368562115</v>
      </c>
      <c r="AH420" s="8">
        <f t="shared" si="62"/>
        <v>1244856.5863727999</v>
      </c>
      <c r="AI420" s="8">
        <f t="shared" si="63"/>
        <v>560185.46386776003</v>
      </c>
    </row>
    <row r="421" spans="1:35" x14ac:dyDescent="0.55000000000000004">
      <c r="A421" s="1">
        <v>419</v>
      </c>
      <c r="B421" s="1" t="s">
        <v>20</v>
      </c>
      <c r="C421" s="1">
        <v>29</v>
      </c>
      <c r="D421" s="1">
        <v>9</v>
      </c>
      <c r="E421" s="1" t="s">
        <v>75</v>
      </c>
      <c r="F421" s="1" t="s">
        <v>76</v>
      </c>
      <c r="G421" s="1">
        <v>22</v>
      </c>
      <c r="H421" s="1">
        <v>2</v>
      </c>
      <c r="I421" s="1">
        <v>22090000</v>
      </c>
      <c r="J421" s="1">
        <v>530</v>
      </c>
      <c r="K421" s="1">
        <v>0</v>
      </c>
      <c r="L421" s="1">
        <v>13030</v>
      </c>
      <c r="M421" s="1">
        <v>12.8797</v>
      </c>
      <c r="N421" s="1">
        <v>101.85438000000001</v>
      </c>
      <c r="O421" s="1">
        <v>12.93</v>
      </c>
      <c r="P421" s="1">
        <v>0</v>
      </c>
      <c r="Q421" s="1">
        <v>1.68</v>
      </c>
      <c r="R421" s="1">
        <v>3.16</v>
      </c>
      <c r="S421" s="1">
        <v>16.399999999999999</v>
      </c>
      <c r="T421" s="1">
        <v>7.56</v>
      </c>
      <c r="U421" s="1">
        <v>7.14</v>
      </c>
      <c r="V421" s="1">
        <v>2.63</v>
      </c>
      <c r="W421" s="1">
        <v>1.61</v>
      </c>
      <c r="X421" s="1">
        <v>25310.478497</v>
      </c>
      <c r="Y421" s="1">
        <v>18346702.981400002</v>
      </c>
      <c r="Z421" t="str">
        <f>VLOOKUP(G421,'Code Pro'!$A$2:$B$9,2,FALSE)</f>
        <v>จ.จันทบุรี</v>
      </c>
      <c r="AA421" s="8">
        <f t="shared" si="55"/>
        <v>237222869.54950202</v>
      </c>
      <c r="AB421" s="8">
        <f t="shared" si="56"/>
        <v>0</v>
      </c>
      <c r="AC421" s="8">
        <f t="shared" si="57"/>
        <v>30822461.008752003</v>
      </c>
      <c r="AD421" s="8">
        <f t="shared" si="58"/>
        <v>57975581.421224006</v>
      </c>
      <c r="AE421" s="8">
        <f t="shared" si="59"/>
        <v>300885928.89495999</v>
      </c>
      <c r="AF421" s="8">
        <f t="shared" si="60"/>
        <v>138701074.53938401</v>
      </c>
      <c r="AG421" s="8">
        <f t="shared" si="61"/>
        <v>130995459.28719601</v>
      </c>
      <c r="AH421" s="8">
        <f t="shared" si="62"/>
        <v>48251828.841081999</v>
      </c>
      <c r="AI421" s="8">
        <f t="shared" si="63"/>
        <v>29538191.800054006</v>
      </c>
    </row>
    <row r="422" spans="1:35" x14ac:dyDescent="0.55000000000000004">
      <c r="A422" s="1">
        <v>420</v>
      </c>
      <c r="B422" s="1" t="s">
        <v>20</v>
      </c>
      <c r="C422" s="1">
        <v>29</v>
      </c>
      <c r="D422" s="1">
        <v>9</v>
      </c>
      <c r="E422" s="1" t="s">
        <v>75</v>
      </c>
      <c r="F422" s="1" t="s">
        <v>76</v>
      </c>
      <c r="G422" s="1">
        <v>22</v>
      </c>
      <c r="H422" s="1">
        <v>2</v>
      </c>
      <c r="I422" s="1">
        <v>22090000</v>
      </c>
      <c r="J422" s="1">
        <v>531</v>
      </c>
      <c r="K422" s="1">
        <v>0</v>
      </c>
      <c r="L422" s="1">
        <v>12911</v>
      </c>
      <c r="M422" s="1">
        <v>12.798636999999999</v>
      </c>
      <c r="N422" s="1">
        <v>101.93751</v>
      </c>
      <c r="O422" s="1">
        <v>4.22</v>
      </c>
      <c r="P422" s="1">
        <v>0.03</v>
      </c>
      <c r="Q422" s="1">
        <v>0.87</v>
      </c>
      <c r="R422" s="1">
        <v>0.99</v>
      </c>
      <c r="S422" s="1">
        <v>12.38</v>
      </c>
      <c r="T422" s="1">
        <v>16.290001</v>
      </c>
      <c r="U422" s="1">
        <v>26.01</v>
      </c>
      <c r="V422" s="1">
        <v>17.510000000000002</v>
      </c>
      <c r="W422" s="1">
        <v>7.22</v>
      </c>
      <c r="X422" s="1">
        <v>27223.017205</v>
      </c>
      <c r="Y422" s="1">
        <v>15358625.025599999</v>
      </c>
      <c r="Z422" t="str">
        <f>VLOOKUP(G422,'Code Pro'!$A$2:$B$9,2,FALSE)</f>
        <v>จ.จันทบุรี</v>
      </c>
      <c r="AA422" s="8">
        <f t="shared" si="55"/>
        <v>64813397.608031996</v>
      </c>
      <c r="AB422" s="8">
        <f t="shared" si="56"/>
        <v>460758.75076799997</v>
      </c>
      <c r="AC422" s="8">
        <f t="shared" si="57"/>
        <v>13362003.772272</v>
      </c>
      <c r="AD422" s="8">
        <f t="shared" si="58"/>
        <v>15205038.775343999</v>
      </c>
      <c r="AE422" s="8">
        <f t="shared" si="59"/>
        <v>190139777.816928</v>
      </c>
      <c r="AF422" s="8">
        <f t="shared" si="60"/>
        <v>250192017.02564901</v>
      </c>
      <c r="AG422" s="8">
        <f t="shared" si="61"/>
        <v>399477836.915856</v>
      </c>
      <c r="AH422" s="8">
        <f t="shared" si="62"/>
        <v>268929524.19825602</v>
      </c>
      <c r="AI422" s="8">
        <f t="shared" si="63"/>
        <v>110889272.68483199</v>
      </c>
    </row>
    <row r="423" spans="1:35" x14ac:dyDescent="0.55000000000000004">
      <c r="A423" s="1">
        <v>421</v>
      </c>
      <c r="B423" s="1" t="s">
        <v>20</v>
      </c>
      <c r="C423" s="1">
        <v>30</v>
      </c>
      <c r="D423" s="1">
        <v>10</v>
      </c>
      <c r="E423" s="1" t="s">
        <v>77</v>
      </c>
      <c r="F423" s="1" t="s">
        <v>78</v>
      </c>
      <c r="G423" s="1">
        <v>22</v>
      </c>
      <c r="H423" s="1">
        <v>2</v>
      </c>
      <c r="I423" s="1">
        <v>22100000</v>
      </c>
      <c r="J423" s="1">
        <v>529</v>
      </c>
      <c r="K423" s="1">
        <v>0</v>
      </c>
      <c r="L423" s="1">
        <v>13031</v>
      </c>
      <c r="M423" s="1">
        <v>12.8797</v>
      </c>
      <c r="N423" s="1">
        <v>101.93751</v>
      </c>
      <c r="O423" s="1">
        <v>4.88</v>
      </c>
      <c r="P423" s="1">
        <v>0.28000000000000003</v>
      </c>
      <c r="Q423" s="1">
        <v>0.21</v>
      </c>
      <c r="R423" s="1">
        <v>18.280000999999999</v>
      </c>
      <c r="S423" s="1">
        <v>6.22</v>
      </c>
      <c r="T423" s="1">
        <v>8.4</v>
      </c>
      <c r="U423" s="1">
        <v>20.690000999999999</v>
      </c>
      <c r="V423" s="1">
        <v>4.8</v>
      </c>
      <c r="W423" s="1">
        <v>2.16</v>
      </c>
      <c r="X423" s="1">
        <v>7273.4131299999999</v>
      </c>
      <c r="Y423" s="1">
        <v>2206046.2971199998</v>
      </c>
      <c r="Z423" t="str">
        <f>VLOOKUP(G423,'Code Pro'!$A$2:$B$9,2,FALSE)</f>
        <v>จ.จันทบุรี</v>
      </c>
      <c r="AA423" s="8">
        <f t="shared" si="55"/>
        <v>10765505.929945599</v>
      </c>
      <c r="AB423" s="8">
        <f t="shared" si="56"/>
        <v>617692.96319359995</v>
      </c>
      <c r="AC423" s="8">
        <f t="shared" si="57"/>
        <v>463269.72239519993</v>
      </c>
      <c r="AD423" s="8">
        <f t="shared" si="58"/>
        <v>40326528.517399892</v>
      </c>
      <c r="AE423" s="8">
        <f t="shared" si="59"/>
        <v>13721607.968086397</v>
      </c>
      <c r="AF423" s="8">
        <f t="shared" si="60"/>
        <v>18530788.895808</v>
      </c>
      <c r="AG423" s="8">
        <f t="shared" si="61"/>
        <v>45643100.093459092</v>
      </c>
      <c r="AH423" s="8">
        <f t="shared" si="62"/>
        <v>10589022.226175999</v>
      </c>
      <c r="AI423" s="8">
        <f t="shared" si="63"/>
        <v>4765060.0017791996</v>
      </c>
    </row>
    <row r="424" spans="1:35" x14ac:dyDescent="0.55000000000000004">
      <c r="A424" s="1">
        <v>422</v>
      </c>
      <c r="B424" s="1" t="s">
        <v>20</v>
      </c>
      <c r="C424" s="1">
        <v>30</v>
      </c>
      <c r="D424" s="1">
        <v>10</v>
      </c>
      <c r="E424" s="1" t="s">
        <v>77</v>
      </c>
      <c r="F424" s="1" t="s">
        <v>78</v>
      </c>
      <c r="G424" s="1">
        <v>22</v>
      </c>
      <c r="H424" s="1">
        <v>2</v>
      </c>
      <c r="I424" s="1">
        <v>22100000</v>
      </c>
      <c r="J424" s="1">
        <v>532</v>
      </c>
      <c r="K424" s="1">
        <v>0</v>
      </c>
      <c r="L424" s="1">
        <v>13151</v>
      </c>
      <c r="M424" s="1">
        <v>12.960724000000001</v>
      </c>
      <c r="N424" s="1">
        <v>101.93751</v>
      </c>
      <c r="O424" s="1">
        <v>2.78</v>
      </c>
      <c r="P424" s="1">
        <v>0.1</v>
      </c>
      <c r="Q424" s="1">
        <v>0.03</v>
      </c>
      <c r="R424" s="1">
        <v>0.99</v>
      </c>
      <c r="S424" s="1">
        <v>8.31</v>
      </c>
      <c r="T424" s="1">
        <v>10.87</v>
      </c>
      <c r="U424" s="1">
        <v>31.02</v>
      </c>
      <c r="V424" s="1">
        <v>12.54</v>
      </c>
      <c r="W424" s="1">
        <v>0.53</v>
      </c>
      <c r="X424" s="1">
        <v>19284.161098</v>
      </c>
      <c r="Y424" s="1">
        <v>10168706.0538</v>
      </c>
      <c r="Z424" t="str">
        <f>VLOOKUP(G424,'Code Pro'!$A$2:$B$9,2,FALSE)</f>
        <v>จ.จันทบุรี</v>
      </c>
      <c r="AA424" s="8">
        <f t="shared" si="55"/>
        <v>28269002.829563998</v>
      </c>
      <c r="AB424" s="8">
        <f t="shared" si="56"/>
        <v>1016870.6053800001</v>
      </c>
      <c r="AC424" s="8">
        <f t="shared" si="57"/>
        <v>305061.181614</v>
      </c>
      <c r="AD424" s="8">
        <f t="shared" si="58"/>
        <v>10067018.993262</v>
      </c>
      <c r="AE424" s="8">
        <f t="shared" si="59"/>
        <v>84501947.307078004</v>
      </c>
      <c r="AF424" s="8">
        <f t="shared" si="60"/>
        <v>110533834.80480599</v>
      </c>
      <c r="AG424" s="8">
        <f t="shared" si="61"/>
        <v>315433261.788876</v>
      </c>
      <c r="AH424" s="8">
        <f t="shared" si="62"/>
        <v>127515573.91465199</v>
      </c>
      <c r="AI424" s="8">
        <f t="shared" si="63"/>
        <v>5389414.2085140003</v>
      </c>
    </row>
    <row r="425" spans="1:35" x14ac:dyDescent="0.55000000000000004">
      <c r="A425" s="1">
        <v>423</v>
      </c>
      <c r="B425" s="1" t="s">
        <v>20</v>
      </c>
      <c r="C425" s="1">
        <v>30</v>
      </c>
      <c r="D425" s="1">
        <v>10</v>
      </c>
      <c r="E425" s="1" t="s">
        <v>77</v>
      </c>
      <c r="F425" s="1" t="s">
        <v>78</v>
      </c>
      <c r="G425" s="1">
        <v>22</v>
      </c>
      <c r="H425" s="1">
        <v>2</v>
      </c>
      <c r="I425" s="1">
        <v>22100000</v>
      </c>
      <c r="J425" s="1">
        <v>537</v>
      </c>
      <c r="K425" s="1">
        <v>0</v>
      </c>
      <c r="L425" s="1">
        <v>12912</v>
      </c>
      <c r="M425" s="1">
        <v>12.798636999999999</v>
      </c>
      <c r="N425" s="1">
        <v>102.020645</v>
      </c>
      <c r="O425" s="1">
        <v>18.739999999999998</v>
      </c>
      <c r="P425" s="1">
        <v>0</v>
      </c>
      <c r="Q425" s="1">
        <v>0.13</v>
      </c>
      <c r="R425" s="1">
        <v>2.2999999999999998</v>
      </c>
      <c r="S425" s="1">
        <v>2.15</v>
      </c>
      <c r="T425" s="1">
        <v>3.68</v>
      </c>
      <c r="U425" s="1">
        <v>17.959999</v>
      </c>
      <c r="V425" s="1">
        <v>0.03</v>
      </c>
      <c r="W425" s="1">
        <v>9.61</v>
      </c>
      <c r="X425" s="1">
        <v>25497.507418000001</v>
      </c>
      <c r="Y425" s="1">
        <v>19300548.703200001</v>
      </c>
      <c r="Z425" t="str">
        <f>VLOOKUP(G425,'Code Pro'!$A$2:$B$9,2,FALSE)</f>
        <v>จ.จันทบุรี</v>
      </c>
      <c r="AA425" s="8">
        <f t="shared" si="55"/>
        <v>361692282.69796801</v>
      </c>
      <c r="AB425" s="8">
        <f t="shared" si="56"/>
        <v>0</v>
      </c>
      <c r="AC425" s="8">
        <f t="shared" si="57"/>
        <v>2509071.3314160001</v>
      </c>
      <c r="AD425" s="8">
        <f t="shared" si="58"/>
        <v>44391262.017360002</v>
      </c>
      <c r="AE425" s="8">
        <f t="shared" si="59"/>
        <v>41496179.711879998</v>
      </c>
      <c r="AF425" s="8">
        <f t="shared" si="60"/>
        <v>71026019.227776006</v>
      </c>
      <c r="AG425" s="8">
        <f t="shared" si="61"/>
        <v>346637835.40892333</v>
      </c>
      <c r="AH425" s="8">
        <f t="shared" si="62"/>
        <v>579016.46109600004</v>
      </c>
      <c r="AI425" s="8">
        <f t="shared" si="63"/>
        <v>185478273.037752</v>
      </c>
    </row>
    <row r="426" spans="1:35" x14ac:dyDescent="0.55000000000000004">
      <c r="A426" s="1">
        <v>424</v>
      </c>
      <c r="B426" s="1" t="s">
        <v>20</v>
      </c>
      <c r="C426" s="1">
        <v>30</v>
      </c>
      <c r="D426" s="1">
        <v>10</v>
      </c>
      <c r="E426" s="1" t="s">
        <v>77</v>
      </c>
      <c r="F426" s="1" t="s">
        <v>78</v>
      </c>
      <c r="G426" s="1">
        <v>22</v>
      </c>
      <c r="H426" s="1">
        <v>2</v>
      </c>
      <c r="I426" s="1">
        <v>22100000</v>
      </c>
      <c r="J426" s="1">
        <v>538</v>
      </c>
      <c r="K426" s="1">
        <v>0</v>
      </c>
      <c r="L426" s="1">
        <v>12793</v>
      </c>
      <c r="M426" s="1">
        <v>12.717560000000001</v>
      </c>
      <c r="N426" s="1">
        <v>102.10378</v>
      </c>
      <c r="O426" s="1">
        <v>23.540001</v>
      </c>
      <c r="P426" s="1">
        <v>0.01</v>
      </c>
      <c r="Q426" s="1">
        <v>0.01</v>
      </c>
      <c r="R426" s="1">
        <v>2.27</v>
      </c>
      <c r="S426" s="1">
        <v>0.73</v>
      </c>
      <c r="T426" s="1">
        <v>7.64</v>
      </c>
      <c r="U426" s="1">
        <v>4.29</v>
      </c>
      <c r="V426" s="1">
        <v>0.47</v>
      </c>
      <c r="W426" s="1">
        <v>4.49</v>
      </c>
      <c r="X426" s="1">
        <v>16144.879851</v>
      </c>
      <c r="Y426" s="1">
        <v>9249938.5123399999</v>
      </c>
      <c r="Z426" t="str">
        <f>VLOOKUP(G426,'Code Pro'!$A$2:$B$9,2,FALSE)</f>
        <v>จ.จันทบุรี</v>
      </c>
      <c r="AA426" s="8">
        <f t="shared" si="55"/>
        <v>217743561.8304221</v>
      </c>
      <c r="AB426" s="8">
        <f t="shared" si="56"/>
        <v>92499.385123400003</v>
      </c>
      <c r="AC426" s="8">
        <f t="shared" si="57"/>
        <v>92499.385123400003</v>
      </c>
      <c r="AD426" s="8">
        <f t="shared" si="58"/>
        <v>20997360.423011798</v>
      </c>
      <c r="AE426" s="8">
        <f t="shared" si="59"/>
        <v>6752455.1140081994</v>
      </c>
      <c r="AF426" s="8">
        <f t="shared" si="60"/>
        <v>70669530.234277591</v>
      </c>
      <c r="AG426" s="8">
        <f t="shared" si="61"/>
        <v>39682236.217938602</v>
      </c>
      <c r="AH426" s="8">
        <f t="shared" si="62"/>
        <v>4347471.1007997999</v>
      </c>
      <c r="AI426" s="8">
        <f t="shared" si="63"/>
        <v>41532223.920406602</v>
      </c>
    </row>
    <row r="427" spans="1:35" x14ac:dyDescent="0.55000000000000004">
      <c r="A427" s="1">
        <v>425</v>
      </c>
      <c r="B427" s="1" t="s">
        <v>20</v>
      </c>
      <c r="C427" s="1">
        <v>30</v>
      </c>
      <c r="D427" s="1">
        <v>10</v>
      </c>
      <c r="E427" s="1" t="s">
        <v>77</v>
      </c>
      <c r="F427" s="1" t="s">
        <v>78</v>
      </c>
      <c r="G427" s="1">
        <v>22</v>
      </c>
      <c r="H427" s="1">
        <v>2</v>
      </c>
      <c r="I427" s="1">
        <v>22100000</v>
      </c>
      <c r="J427" s="1">
        <v>539</v>
      </c>
      <c r="K427" s="1">
        <v>0</v>
      </c>
      <c r="L427" s="1">
        <v>12913</v>
      </c>
      <c r="M427" s="1">
        <v>12.798636999999999</v>
      </c>
      <c r="N427" s="1">
        <v>102.10378</v>
      </c>
      <c r="O427" s="1">
        <v>75.379997000000003</v>
      </c>
      <c r="P427" s="1">
        <v>0.02</v>
      </c>
      <c r="Q427" s="1">
        <v>0.08</v>
      </c>
      <c r="R427" s="1">
        <v>0.06</v>
      </c>
      <c r="S427" s="1">
        <v>18.940000999999999</v>
      </c>
      <c r="T427" s="1">
        <v>4.8</v>
      </c>
      <c r="U427" s="1">
        <v>6.71</v>
      </c>
      <c r="V427" s="1">
        <v>2.0299999999999998</v>
      </c>
      <c r="W427" s="1">
        <v>4.7300000000000004</v>
      </c>
      <c r="X427" s="1">
        <v>38414.498392000001</v>
      </c>
      <c r="Y427" s="1">
        <v>71945183.194700003</v>
      </c>
      <c r="Z427" t="str">
        <f>VLOOKUP(G427,'Code Pro'!$A$2:$B$9,2,FALSE)</f>
        <v>จ.จันทบุรี</v>
      </c>
      <c r="AA427" s="8">
        <f t="shared" si="55"/>
        <v>5423227693.3809366</v>
      </c>
      <c r="AB427" s="8">
        <f t="shared" si="56"/>
        <v>1438903.663894</v>
      </c>
      <c r="AC427" s="8">
        <f t="shared" si="57"/>
        <v>5755614.655576</v>
      </c>
      <c r="AD427" s="8">
        <f t="shared" si="58"/>
        <v>4316710.9916820005</v>
      </c>
      <c r="AE427" s="8">
        <f t="shared" si="59"/>
        <v>1362641841.652801</v>
      </c>
      <c r="AF427" s="8">
        <f t="shared" si="60"/>
        <v>345336879.33455998</v>
      </c>
      <c r="AG427" s="8">
        <f t="shared" si="61"/>
        <v>482752179.23643702</v>
      </c>
      <c r="AH427" s="8">
        <f t="shared" si="62"/>
        <v>146048721.885241</v>
      </c>
      <c r="AI427" s="8">
        <f t="shared" si="63"/>
        <v>340300716.51093102</v>
      </c>
    </row>
    <row r="428" spans="1:35" x14ac:dyDescent="0.55000000000000004">
      <c r="A428" s="1">
        <v>426</v>
      </c>
      <c r="B428" s="1" t="s">
        <v>20</v>
      </c>
      <c r="C428" s="1">
        <v>30</v>
      </c>
      <c r="D428" s="1">
        <v>10</v>
      </c>
      <c r="E428" s="1" t="s">
        <v>77</v>
      </c>
      <c r="F428" s="1" t="s">
        <v>78</v>
      </c>
      <c r="G428" s="1">
        <v>22</v>
      </c>
      <c r="H428" s="1">
        <v>2</v>
      </c>
      <c r="I428" s="1">
        <v>22100000</v>
      </c>
      <c r="J428" s="1">
        <v>541</v>
      </c>
      <c r="K428" s="1">
        <v>0</v>
      </c>
      <c r="L428" s="1">
        <v>13032</v>
      </c>
      <c r="M428" s="1">
        <v>12.8797</v>
      </c>
      <c r="N428" s="1">
        <v>102.020645</v>
      </c>
      <c r="O428" s="1">
        <v>5.07</v>
      </c>
      <c r="P428" s="1">
        <v>0.16</v>
      </c>
      <c r="Q428" s="1">
        <v>0.04</v>
      </c>
      <c r="R428" s="1">
        <v>10.94</v>
      </c>
      <c r="S428" s="1">
        <v>8.61</v>
      </c>
      <c r="T428" s="1">
        <v>30.18</v>
      </c>
      <c r="U428" s="1">
        <v>32.630001</v>
      </c>
      <c r="V428" s="1">
        <v>6.16</v>
      </c>
      <c r="W428" s="1">
        <v>1.35</v>
      </c>
      <c r="X428" s="1">
        <v>36671.610983999999</v>
      </c>
      <c r="Y428" s="1">
        <v>49982981.3891</v>
      </c>
      <c r="Z428" t="str">
        <f>VLOOKUP(G428,'Code Pro'!$A$2:$B$9,2,FALSE)</f>
        <v>จ.จันทบุรี</v>
      </c>
      <c r="AA428" s="8">
        <f t="shared" si="55"/>
        <v>253413715.642737</v>
      </c>
      <c r="AB428" s="8">
        <f t="shared" si="56"/>
        <v>7997277.022256</v>
      </c>
      <c r="AC428" s="8">
        <f t="shared" si="57"/>
        <v>1999319.255564</v>
      </c>
      <c r="AD428" s="8">
        <f t="shared" si="58"/>
        <v>546813816.39675403</v>
      </c>
      <c r="AE428" s="8">
        <f t="shared" si="59"/>
        <v>430353469.76015097</v>
      </c>
      <c r="AF428" s="8">
        <f t="shared" si="60"/>
        <v>1508486378.3230381</v>
      </c>
      <c r="AG428" s="8">
        <f t="shared" si="61"/>
        <v>1630944732.7093143</v>
      </c>
      <c r="AH428" s="8">
        <f t="shared" si="62"/>
        <v>307895165.35685599</v>
      </c>
      <c r="AI428" s="8">
        <f t="shared" si="63"/>
        <v>67477024.875285</v>
      </c>
    </row>
    <row r="429" spans="1:35" x14ac:dyDescent="0.55000000000000004">
      <c r="A429" s="1">
        <v>427</v>
      </c>
      <c r="B429" s="1" t="s">
        <v>20</v>
      </c>
      <c r="C429" s="1">
        <v>30</v>
      </c>
      <c r="D429" s="1">
        <v>10</v>
      </c>
      <c r="E429" s="1" t="s">
        <v>77</v>
      </c>
      <c r="F429" s="1" t="s">
        <v>78</v>
      </c>
      <c r="G429" s="1">
        <v>22</v>
      </c>
      <c r="H429" s="1">
        <v>2</v>
      </c>
      <c r="I429" s="1">
        <v>22100000</v>
      </c>
      <c r="J429" s="1">
        <v>542</v>
      </c>
      <c r="K429" s="1">
        <v>0</v>
      </c>
      <c r="L429" s="1">
        <v>13153</v>
      </c>
      <c r="M429" s="1">
        <v>12.960724000000001</v>
      </c>
      <c r="N429" s="1">
        <v>102.10378</v>
      </c>
      <c r="O429" s="1">
        <v>51.150002000000001</v>
      </c>
      <c r="P429" s="1">
        <v>0.79</v>
      </c>
      <c r="Q429" s="1">
        <v>7.0000000000000007E-2</v>
      </c>
      <c r="R429" s="1">
        <v>2.3199999999999998</v>
      </c>
      <c r="S429" s="1">
        <v>0.46</v>
      </c>
      <c r="T429" s="1">
        <v>50.57</v>
      </c>
      <c r="U429" s="1">
        <v>14.53</v>
      </c>
      <c r="V429" s="1">
        <v>2.1800000000000002</v>
      </c>
      <c r="W429" s="1">
        <v>2.65</v>
      </c>
      <c r="X429" s="1">
        <v>36002.961111999997</v>
      </c>
      <c r="Y429" s="1">
        <v>81012490.533999994</v>
      </c>
      <c r="Z429" t="str">
        <f>VLOOKUP(G429,'Code Pro'!$A$2:$B$9,2,FALSE)</f>
        <v>จ.จันทบุรี</v>
      </c>
      <c r="AA429" s="8">
        <f t="shared" si="55"/>
        <v>4143789052.8390808</v>
      </c>
      <c r="AB429" s="8">
        <f t="shared" si="56"/>
        <v>63999867.521859996</v>
      </c>
      <c r="AC429" s="8">
        <f t="shared" si="57"/>
        <v>5670874.3373800004</v>
      </c>
      <c r="AD429" s="8">
        <f t="shared" si="58"/>
        <v>187948978.03887996</v>
      </c>
      <c r="AE429" s="8">
        <f t="shared" si="59"/>
        <v>37265745.645640001</v>
      </c>
      <c r="AF429" s="8">
        <f t="shared" si="60"/>
        <v>4096801646.3043799</v>
      </c>
      <c r="AG429" s="8">
        <f t="shared" si="61"/>
        <v>1177111487.4590199</v>
      </c>
      <c r="AH429" s="8">
        <f t="shared" si="62"/>
        <v>176607229.36412001</v>
      </c>
      <c r="AI429" s="8">
        <f t="shared" si="63"/>
        <v>214683099.91509998</v>
      </c>
    </row>
    <row r="430" spans="1:35" x14ac:dyDescent="0.55000000000000004">
      <c r="A430" s="1">
        <v>428</v>
      </c>
      <c r="B430" s="1" t="s">
        <v>20</v>
      </c>
      <c r="C430" s="1">
        <v>30</v>
      </c>
      <c r="D430" s="1">
        <v>10</v>
      </c>
      <c r="E430" s="1" t="s">
        <v>77</v>
      </c>
      <c r="F430" s="1" t="s">
        <v>78</v>
      </c>
      <c r="G430" s="1">
        <v>22</v>
      </c>
      <c r="H430" s="1">
        <v>2</v>
      </c>
      <c r="I430" s="1">
        <v>22100000</v>
      </c>
      <c r="J430" s="1">
        <v>543</v>
      </c>
      <c r="K430" s="1">
        <v>0</v>
      </c>
      <c r="L430" s="1">
        <v>13152</v>
      </c>
      <c r="M430" s="1">
        <v>12.960724000000001</v>
      </c>
      <c r="N430" s="1">
        <v>102.020645</v>
      </c>
      <c r="O430" s="1">
        <v>20.99</v>
      </c>
      <c r="P430" s="1">
        <v>0.1</v>
      </c>
      <c r="Q430" s="1">
        <v>0.25</v>
      </c>
      <c r="R430" s="1">
        <v>4.74</v>
      </c>
      <c r="S430" s="1">
        <v>11.07</v>
      </c>
      <c r="T430" s="1">
        <v>12.76</v>
      </c>
      <c r="U430" s="1">
        <v>29.83</v>
      </c>
      <c r="V430" s="1">
        <v>0.27</v>
      </c>
      <c r="W430" s="1">
        <v>4.87</v>
      </c>
      <c r="X430" s="1">
        <v>37445.681692999999</v>
      </c>
      <c r="Y430" s="1">
        <v>74223128.052499995</v>
      </c>
      <c r="Z430" t="str">
        <f>VLOOKUP(G430,'Code Pro'!$A$2:$B$9,2,FALSE)</f>
        <v>จ.จันทบุรี</v>
      </c>
      <c r="AA430" s="8">
        <f t="shared" si="55"/>
        <v>1557943457.8219748</v>
      </c>
      <c r="AB430" s="8">
        <f t="shared" si="56"/>
        <v>7422312.8052500002</v>
      </c>
      <c r="AC430" s="8">
        <f t="shared" si="57"/>
        <v>18555782.013124999</v>
      </c>
      <c r="AD430" s="8">
        <f t="shared" si="58"/>
        <v>351817626.96885002</v>
      </c>
      <c r="AE430" s="8">
        <f t="shared" si="59"/>
        <v>821650027.54117501</v>
      </c>
      <c r="AF430" s="8">
        <f t="shared" si="60"/>
        <v>947087113.94989991</v>
      </c>
      <c r="AG430" s="8">
        <f t="shared" si="61"/>
        <v>2214075909.8060746</v>
      </c>
      <c r="AH430" s="8">
        <f t="shared" si="62"/>
        <v>20040244.574175</v>
      </c>
      <c r="AI430" s="8">
        <f t="shared" si="63"/>
        <v>361466633.61567497</v>
      </c>
    </row>
    <row r="431" spans="1:35" x14ac:dyDescent="0.55000000000000004">
      <c r="A431" s="1">
        <v>429</v>
      </c>
      <c r="B431" s="1" t="s">
        <v>20</v>
      </c>
      <c r="C431" s="1">
        <v>30</v>
      </c>
      <c r="D431" s="1">
        <v>10</v>
      </c>
      <c r="E431" s="1" t="s">
        <v>77</v>
      </c>
      <c r="F431" s="1" t="s">
        <v>78</v>
      </c>
      <c r="G431" s="1">
        <v>22</v>
      </c>
      <c r="H431" s="1">
        <v>2</v>
      </c>
      <c r="I431" s="1">
        <v>22100000</v>
      </c>
      <c r="J431" s="1">
        <v>544</v>
      </c>
      <c r="K431" s="1">
        <v>0</v>
      </c>
      <c r="L431" s="1">
        <v>13033</v>
      </c>
      <c r="M431" s="1">
        <v>12.8797</v>
      </c>
      <c r="N431" s="1">
        <v>102.10378</v>
      </c>
      <c r="O431" s="1">
        <v>26.620000999999998</v>
      </c>
      <c r="P431" s="1">
        <v>7.0000000000000007E-2</v>
      </c>
      <c r="Q431" s="1">
        <v>0.04</v>
      </c>
      <c r="R431" s="1">
        <v>3.13</v>
      </c>
      <c r="S431" s="1">
        <v>5.91</v>
      </c>
      <c r="T431" s="1">
        <v>57.080002</v>
      </c>
      <c r="U431" s="1">
        <v>18.84</v>
      </c>
      <c r="V431" s="1">
        <v>4.24</v>
      </c>
      <c r="W431" s="1">
        <v>5.03</v>
      </c>
      <c r="X431" s="1">
        <v>36014.685656000001</v>
      </c>
      <c r="Y431" s="1">
        <v>81065264.595200002</v>
      </c>
      <c r="Z431" t="str">
        <f>VLOOKUP(G431,'Code Pro'!$A$2:$B$9,2,FALSE)</f>
        <v>จ.จันทบุรี</v>
      </c>
      <c r="AA431" s="8">
        <f t="shared" si="55"/>
        <v>2157957424.5894885</v>
      </c>
      <c r="AB431" s="8">
        <f t="shared" si="56"/>
        <v>5674568.521664001</v>
      </c>
      <c r="AC431" s="8">
        <f t="shared" si="57"/>
        <v>3242610.5838080002</v>
      </c>
      <c r="AD431" s="8">
        <f t="shared" si="58"/>
        <v>253734278.18297601</v>
      </c>
      <c r="AE431" s="8">
        <f t="shared" si="59"/>
        <v>479095713.75763202</v>
      </c>
      <c r="AF431" s="8">
        <f t="shared" si="60"/>
        <v>4627205465.2245455</v>
      </c>
      <c r="AG431" s="8">
        <f t="shared" si="61"/>
        <v>1527269584.973568</v>
      </c>
      <c r="AH431" s="8">
        <f t="shared" si="62"/>
        <v>343716721.88364804</v>
      </c>
      <c r="AI431" s="8">
        <f t="shared" si="63"/>
        <v>407758280.91385603</v>
      </c>
    </row>
    <row r="432" spans="1:35" x14ac:dyDescent="0.55000000000000004">
      <c r="A432" s="1">
        <v>430</v>
      </c>
      <c r="B432" s="1" t="s">
        <v>20</v>
      </c>
      <c r="C432" s="1">
        <v>30</v>
      </c>
      <c r="D432" s="1">
        <v>10</v>
      </c>
      <c r="E432" s="1" t="s">
        <v>77</v>
      </c>
      <c r="F432" s="1" t="s">
        <v>78</v>
      </c>
      <c r="G432" s="1">
        <v>22</v>
      </c>
      <c r="H432" s="1">
        <v>2</v>
      </c>
      <c r="I432" s="1">
        <v>22100000</v>
      </c>
      <c r="J432" s="1">
        <v>545</v>
      </c>
      <c r="K432" s="1">
        <v>0</v>
      </c>
      <c r="L432" s="1">
        <v>12914</v>
      </c>
      <c r="M432" s="1">
        <v>12.798636999999999</v>
      </c>
      <c r="N432" s="1">
        <v>102.18692</v>
      </c>
      <c r="O432" s="1">
        <v>32.5</v>
      </c>
      <c r="P432" s="1">
        <v>0.41</v>
      </c>
      <c r="Q432" s="1">
        <v>0.22</v>
      </c>
      <c r="R432" s="1">
        <v>0.19</v>
      </c>
      <c r="S432" s="1">
        <v>39.840000000000003</v>
      </c>
      <c r="T432" s="1">
        <v>12.78</v>
      </c>
      <c r="U432" s="1">
        <v>1.88</v>
      </c>
      <c r="V432" s="1">
        <v>0.03</v>
      </c>
      <c r="W432" s="1">
        <v>1.53</v>
      </c>
      <c r="X432" s="1">
        <v>20540.793313999999</v>
      </c>
      <c r="Y432" s="1">
        <v>23468093.728799999</v>
      </c>
      <c r="Z432" t="str">
        <f>VLOOKUP(G432,'Code Pro'!$A$2:$B$9,2,FALSE)</f>
        <v>จ.จันทบุรี</v>
      </c>
      <c r="AA432" s="8">
        <f t="shared" si="55"/>
        <v>762713046.18599999</v>
      </c>
      <c r="AB432" s="8">
        <f t="shared" si="56"/>
        <v>9621918.4288079981</v>
      </c>
      <c r="AC432" s="8">
        <f t="shared" si="57"/>
        <v>5162980.6203359999</v>
      </c>
      <c r="AD432" s="8">
        <f t="shared" si="58"/>
        <v>4458937.8084720001</v>
      </c>
      <c r="AE432" s="8">
        <f t="shared" si="59"/>
        <v>934968854.15539205</v>
      </c>
      <c r="AF432" s="8">
        <f t="shared" si="60"/>
        <v>299922237.85406399</v>
      </c>
      <c r="AG432" s="8">
        <f t="shared" si="61"/>
        <v>44120016.210143998</v>
      </c>
      <c r="AH432" s="8">
        <f t="shared" si="62"/>
        <v>704042.81186399993</v>
      </c>
      <c r="AI432" s="8">
        <f t="shared" si="63"/>
        <v>35906183.405064002</v>
      </c>
    </row>
    <row r="433" spans="1:35" x14ac:dyDescent="0.55000000000000004">
      <c r="A433" s="1">
        <v>431</v>
      </c>
      <c r="B433" s="1" t="s">
        <v>20</v>
      </c>
      <c r="C433" s="1">
        <v>30</v>
      </c>
      <c r="D433" s="1">
        <v>10</v>
      </c>
      <c r="E433" s="1" t="s">
        <v>77</v>
      </c>
      <c r="F433" s="1" t="s">
        <v>78</v>
      </c>
      <c r="G433" s="1">
        <v>22</v>
      </c>
      <c r="H433" s="1">
        <v>2</v>
      </c>
      <c r="I433" s="1">
        <v>22100000</v>
      </c>
      <c r="J433" s="1">
        <v>546</v>
      </c>
      <c r="K433" s="1">
        <v>0</v>
      </c>
      <c r="L433" s="1">
        <v>13273</v>
      </c>
      <c r="M433" s="1">
        <v>13.041733000000001</v>
      </c>
      <c r="N433" s="1">
        <v>102.10378</v>
      </c>
      <c r="O433" s="1">
        <v>37.580002</v>
      </c>
      <c r="P433" s="1">
        <v>0.37</v>
      </c>
      <c r="Q433" s="1">
        <v>0.38</v>
      </c>
      <c r="R433" s="1">
        <v>0.68</v>
      </c>
      <c r="S433" s="1">
        <v>9.94</v>
      </c>
      <c r="T433" s="1">
        <v>44.639999000000003</v>
      </c>
      <c r="U433" s="1">
        <v>10.130000000000001</v>
      </c>
      <c r="V433" s="1">
        <v>4.0999999999999996</v>
      </c>
      <c r="W433" s="1">
        <v>0.03</v>
      </c>
      <c r="X433" s="1">
        <v>35992.974558000002</v>
      </c>
      <c r="Y433" s="1">
        <v>80967578.792699993</v>
      </c>
      <c r="Z433" t="str">
        <f>VLOOKUP(G433,'Code Pro'!$A$2:$B$9,2,FALSE)</f>
        <v>จ.จันทบุรี</v>
      </c>
      <c r="AA433" s="8">
        <f t="shared" si="55"/>
        <v>3042761772.9648232</v>
      </c>
      <c r="AB433" s="8">
        <f t="shared" si="56"/>
        <v>29958004.153298996</v>
      </c>
      <c r="AC433" s="8">
        <f t="shared" si="57"/>
        <v>30767679.941225998</v>
      </c>
      <c r="AD433" s="8">
        <f t="shared" si="58"/>
        <v>55057953.579035997</v>
      </c>
      <c r="AE433" s="8">
        <f t="shared" si="59"/>
        <v>804817733.19943786</v>
      </c>
      <c r="AF433" s="8">
        <f t="shared" si="60"/>
        <v>3614392636.3385491</v>
      </c>
      <c r="AG433" s="8">
        <f t="shared" si="61"/>
        <v>820201573.17005098</v>
      </c>
      <c r="AH433" s="8">
        <f t="shared" si="62"/>
        <v>331967073.05006993</v>
      </c>
      <c r="AI433" s="8">
        <f t="shared" si="63"/>
        <v>2429027.3637809996</v>
      </c>
    </row>
    <row r="434" spans="1:35" x14ac:dyDescent="0.55000000000000004">
      <c r="A434" s="1">
        <v>432</v>
      </c>
      <c r="B434" s="1" t="s">
        <v>20</v>
      </c>
      <c r="C434" s="1">
        <v>30</v>
      </c>
      <c r="D434" s="1">
        <v>10</v>
      </c>
      <c r="E434" s="1" t="s">
        <v>77</v>
      </c>
      <c r="F434" s="1" t="s">
        <v>78</v>
      </c>
      <c r="G434" s="1">
        <v>22</v>
      </c>
      <c r="H434" s="1">
        <v>2</v>
      </c>
      <c r="I434" s="1">
        <v>22100000</v>
      </c>
      <c r="J434" s="1">
        <v>547</v>
      </c>
      <c r="K434" s="1">
        <v>0</v>
      </c>
      <c r="L434" s="1">
        <v>13272</v>
      </c>
      <c r="M434" s="1">
        <v>13.041733000000001</v>
      </c>
      <c r="N434" s="1">
        <v>102.020645</v>
      </c>
      <c r="O434" s="1">
        <v>8.4</v>
      </c>
      <c r="P434" s="1">
        <v>0.3</v>
      </c>
      <c r="Q434" s="1">
        <v>0.24</v>
      </c>
      <c r="R434" s="1">
        <v>0.55000000000000004</v>
      </c>
      <c r="S434" s="1">
        <v>6.39</v>
      </c>
      <c r="T434" s="1">
        <v>35</v>
      </c>
      <c r="U434" s="1">
        <v>14.49</v>
      </c>
      <c r="V434" s="1">
        <v>2.86</v>
      </c>
      <c r="W434" s="1">
        <v>1.39</v>
      </c>
      <c r="X434" s="1">
        <v>31178.214488000001</v>
      </c>
      <c r="Y434" s="1">
        <v>42765581.227700002</v>
      </c>
      <c r="Z434" t="str">
        <f>VLOOKUP(G434,'Code Pro'!$A$2:$B$9,2,FALSE)</f>
        <v>จ.จันทบุรี</v>
      </c>
      <c r="AA434" s="8">
        <f t="shared" si="55"/>
        <v>359230882.31268007</v>
      </c>
      <c r="AB434" s="8">
        <f t="shared" si="56"/>
        <v>12829674.368310001</v>
      </c>
      <c r="AC434" s="8">
        <f t="shared" si="57"/>
        <v>10263739.494648</v>
      </c>
      <c r="AD434" s="8">
        <f t="shared" si="58"/>
        <v>23521069.675235003</v>
      </c>
      <c r="AE434" s="8">
        <f t="shared" si="59"/>
        <v>273272064.045003</v>
      </c>
      <c r="AF434" s="8">
        <f t="shared" si="60"/>
        <v>1496795342.9695001</v>
      </c>
      <c r="AG434" s="8">
        <f t="shared" si="61"/>
        <v>619673271.98937309</v>
      </c>
      <c r="AH434" s="8">
        <f t="shared" si="62"/>
        <v>122309562.311222</v>
      </c>
      <c r="AI434" s="8">
        <f t="shared" si="63"/>
        <v>59444157.906502999</v>
      </c>
    </row>
    <row r="435" spans="1:35" x14ac:dyDescent="0.55000000000000004">
      <c r="A435" s="1">
        <v>433</v>
      </c>
      <c r="B435" s="1" t="s">
        <v>20</v>
      </c>
      <c r="C435" s="1">
        <v>30</v>
      </c>
      <c r="D435" s="1">
        <v>10</v>
      </c>
      <c r="E435" s="1" t="s">
        <v>77</v>
      </c>
      <c r="F435" s="1" t="s">
        <v>78</v>
      </c>
      <c r="G435" s="1">
        <v>22</v>
      </c>
      <c r="H435" s="1">
        <v>2</v>
      </c>
      <c r="I435" s="1">
        <v>22100000</v>
      </c>
      <c r="J435" s="1">
        <v>549</v>
      </c>
      <c r="K435" s="1">
        <v>0</v>
      </c>
      <c r="L435" s="1">
        <v>13035</v>
      </c>
      <c r="M435" s="1">
        <v>12.8797</v>
      </c>
      <c r="N435" s="1">
        <v>102.27006</v>
      </c>
      <c r="O435" s="1">
        <v>0.81</v>
      </c>
      <c r="P435" s="1">
        <v>1.24</v>
      </c>
      <c r="Q435" s="1">
        <v>0.99</v>
      </c>
      <c r="R435" s="1">
        <v>1.3</v>
      </c>
      <c r="S435" s="1">
        <v>71.360000999999997</v>
      </c>
      <c r="T435" s="1">
        <v>6.36</v>
      </c>
      <c r="U435" s="1">
        <v>5.38</v>
      </c>
      <c r="V435" s="1">
        <v>7.0000000000000007E-2</v>
      </c>
      <c r="W435" s="1">
        <v>7.0000000000000007E-2</v>
      </c>
      <c r="X435" s="1">
        <v>5262.4676479999998</v>
      </c>
      <c r="Y435" s="1">
        <v>821935.32951700001</v>
      </c>
      <c r="Z435" t="str">
        <f>VLOOKUP(G435,'Code Pro'!$A$2:$B$9,2,FALSE)</f>
        <v>จ.จันทบุรี</v>
      </c>
      <c r="AA435" s="8">
        <f t="shared" si="55"/>
        <v>665767.61690877005</v>
      </c>
      <c r="AB435" s="8">
        <f t="shared" si="56"/>
        <v>1019199.80860108</v>
      </c>
      <c r="AC435" s="8">
        <f t="shared" si="57"/>
        <v>813715.97622183</v>
      </c>
      <c r="AD435" s="8">
        <f t="shared" si="58"/>
        <v>1068515.9283721</v>
      </c>
      <c r="AE435" s="8">
        <f t="shared" si="59"/>
        <v>58653305.936268449</v>
      </c>
      <c r="AF435" s="8">
        <f t="shared" si="60"/>
        <v>5227508.6957281204</v>
      </c>
      <c r="AG435" s="8">
        <f t="shared" si="61"/>
        <v>4422012.0728014596</v>
      </c>
      <c r="AH435" s="8">
        <f t="shared" si="62"/>
        <v>57535.473066190003</v>
      </c>
      <c r="AI435" s="8">
        <f t="shared" si="63"/>
        <v>57535.473066190003</v>
      </c>
    </row>
    <row r="436" spans="1:35" x14ac:dyDescent="0.55000000000000004">
      <c r="A436" s="1">
        <v>434</v>
      </c>
      <c r="B436" s="1" t="s">
        <v>20</v>
      </c>
      <c r="C436" s="1">
        <v>30</v>
      </c>
      <c r="D436" s="1">
        <v>10</v>
      </c>
      <c r="E436" s="1" t="s">
        <v>77</v>
      </c>
      <c r="F436" s="1" t="s">
        <v>78</v>
      </c>
      <c r="G436" s="1">
        <v>22</v>
      </c>
      <c r="H436" s="1">
        <v>2</v>
      </c>
      <c r="I436" s="1">
        <v>22100000</v>
      </c>
      <c r="J436" s="1">
        <v>550</v>
      </c>
      <c r="K436" s="1">
        <v>0</v>
      </c>
      <c r="L436" s="1">
        <v>13034</v>
      </c>
      <c r="M436" s="1">
        <v>12.8797</v>
      </c>
      <c r="N436" s="1">
        <v>102.18692</v>
      </c>
      <c r="O436" s="1">
        <v>3.97</v>
      </c>
      <c r="P436" s="1">
        <v>0.87</v>
      </c>
      <c r="Q436" s="1">
        <v>0.89</v>
      </c>
      <c r="R436" s="1">
        <v>1.5</v>
      </c>
      <c r="S436" s="1">
        <v>8.24</v>
      </c>
      <c r="T436" s="1">
        <v>11.89</v>
      </c>
      <c r="U436" s="1">
        <v>8.85</v>
      </c>
      <c r="V436" s="1">
        <v>0.01</v>
      </c>
      <c r="W436" s="1">
        <v>0</v>
      </c>
      <c r="X436" s="1">
        <v>33722.026625999999</v>
      </c>
      <c r="Y436" s="1">
        <v>64415082.213</v>
      </c>
      <c r="Z436" t="str">
        <f>VLOOKUP(G436,'Code Pro'!$A$2:$B$9,2,FALSE)</f>
        <v>จ.จันทบุรี</v>
      </c>
      <c r="AA436" s="8">
        <f t="shared" si="55"/>
        <v>255727876.38561001</v>
      </c>
      <c r="AB436" s="8">
        <f t="shared" si="56"/>
        <v>56041121.525310002</v>
      </c>
      <c r="AC436" s="8">
        <f t="shared" si="57"/>
        <v>57329423.169569999</v>
      </c>
      <c r="AD436" s="8">
        <f t="shared" si="58"/>
        <v>96622623.319499999</v>
      </c>
      <c r="AE436" s="8">
        <f t="shared" si="59"/>
        <v>530780277.43511999</v>
      </c>
      <c r="AF436" s="8">
        <f t="shared" si="60"/>
        <v>765895327.51257002</v>
      </c>
      <c r="AG436" s="8">
        <f t="shared" si="61"/>
        <v>570073477.58504999</v>
      </c>
      <c r="AH436" s="8">
        <f t="shared" si="62"/>
        <v>644150.82212999999</v>
      </c>
      <c r="AI436" s="8">
        <f t="shared" si="63"/>
        <v>0</v>
      </c>
    </row>
    <row r="437" spans="1:35" x14ac:dyDescent="0.55000000000000004">
      <c r="A437" s="1">
        <v>435</v>
      </c>
      <c r="B437" s="1" t="s">
        <v>20</v>
      </c>
      <c r="C437" s="1">
        <v>30</v>
      </c>
      <c r="D437" s="1">
        <v>10</v>
      </c>
      <c r="E437" s="1" t="s">
        <v>77</v>
      </c>
      <c r="F437" s="1" t="s">
        <v>78</v>
      </c>
      <c r="G437" s="1">
        <v>22</v>
      </c>
      <c r="H437" s="1">
        <v>2</v>
      </c>
      <c r="I437" s="1">
        <v>22100000</v>
      </c>
      <c r="J437" s="1">
        <v>554</v>
      </c>
      <c r="K437" s="1">
        <v>0</v>
      </c>
      <c r="L437" s="1">
        <v>13154</v>
      </c>
      <c r="M437" s="1">
        <v>12.960724000000001</v>
      </c>
      <c r="N437" s="1">
        <v>102.18692</v>
      </c>
      <c r="O437" s="1">
        <v>29.07</v>
      </c>
      <c r="P437" s="1">
        <v>0.36</v>
      </c>
      <c r="Q437" s="1">
        <v>1.88</v>
      </c>
      <c r="R437" s="1">
        <v>12.74</v>
      </c>
      <c r="S437" s="1">
        <v>16.209999</v>
      </c>
      <c r="T437" s="1">
        <v>8.4499999999999993</v>
      </c>
      <c r="U437" s="1">
        <v>15.15</v>
      </c>
      <c r="V437" s="1">
        <v>0.65</v>
      </c>
      <c r="W437" s="1">
        <v>0.06</v>
      </c>
      <c r="X437" s="1">
        <v>31352.038070999999</v>
      </c>
      <c r="Y437" s="1">
        <v>40153020.676899999</v>
      </c>
      <c r="Z437" t="str">
        <f>VLOOKUP(G437,'Code Pro'!$A$2:$B$9,2,FALSE)</f>
        <v>จ.จันทบุรี</v>
      </c>
      <c r="AA437" s="8">
        <f t="shared" si="55"/>
        <v>1167248311.0774829</v>
      </c>
      <c r="AB437" s="8">
        <f t="shared" si="56"/>
        <v>14455087.443683999</v>
      </c>
      <c r="AC437" s="8">
        <f t="shared" si="57"/>
        <v>75487678.87257199</v>
      </c>
      <c r="AD437" s="8">
        <f t="shared" si="58"/>
        <v>511549483.423706</v>
      </c>
      <c r="AE437" s="8">
        <f t="shared" si="59"/>
        <v>650880425.01952827</v>
      </c>
      <c r="AF437" s="8">
        <f t="shared" si="60"/>
        <v>339293024.71980494</v>
      </c>
      <c r="AG437" s="8">
        <f t="shared" si="61"/>
        <v>608318263.25503504</v>
      </c>
      <c r="AH437" s="8">
        <f t="shared" si="62"/>
        <v>26099463.439985</v>
      </c>
      <c r="AI437" s="8">
        <f t="shared" si="63"/>
        <v>2409181.2406139998</v>
      </c>
    </row>
    <row r="438" spans="1:35" x14ac:dyDescent="0.55000000000000004">
      <c r="A438" s="1">
        <v>436</v>
      </c>
      <c r="B438" s="1" t="s">
        <v>20</v>
      </c>
      <c r="C438" s="1">
        <v>30</v>
      </c>
      <c r="D438" s="1">
        <v>10</v>
      </c>
      <c r="E438" s="1" t="s">
        <v>77</v>
      </c>
      <c r="F438" s="1" t="s">
        <v>78</v>
      </c>
      <c r="G438" s="1">
        <v>22</v>
      </c>
      <c r="H438" s="1">
        <v>2</v>
      </c>
      <c r="I438" s="1">
        <v>22100000</v>
      </c>
      <c r="J438" s="1">
        <v>557</v>
      </c>
      <c r="K438" s="1">
        <v>0</v>
      </c>
      <c r="L438" s="1">
        <v>13274</v>
      </c>
      <c r="M438" s="1">
        <v>13.041733000000001</v>
      </c>
      <c r="N438" s="1">
        <v>102.18692</v>
      </c>
      <c r="O438" s="1">
        <v>8.1300000000000008</v>
      </c>
      <c r="P438" s="1">
        <v>1.0900000000000001</v>
      </c>
      <c r="Q438" s="1">
        <v>0.05</v>
      </c>
      <c r="R438" s="1">
        <v>0.33</v>
      </c>
      <c r="S438" s="1">
        <v>29.030000999999999</v>
      </c>
      <c r="T438" s="1">
        <v>28.51</v>
      </c>
      <c r="U438" s="1">
        <v>42.150002000000001</v>
      </c>
      <c r="V438" s="1">
        <v>7.27</v>
      </c>
      <c r="W438" s="1">
        <v>0.23</v>
      </c>
      <c r="X438" s="1">
        <v>23743.227585000001</v>
      </c>
      <c r="Y438" s="1">
        <v>17549742.0656</v>
      </c>
      <c r="Z438" t="str">
        <f>VLOOKUP(G438,'Code Pro'!$A$2:$B$9,2,FALSE)</f>
        <v>จ.จันทบุรี</v>
      </c>
      <c r="AA438" s="8">
        <f t="shared" si="55"/>
        <v>142679402.99332801</v>
      </c>
      <c r="AB438" s="8">
        <f t="shared" si="56"/>
        <v>19129218.851504002</v>
      </c>
      <c r="AC438" s="8">
        <f t="shared" si="57"/>
        <v>877487.10328000004</v>
      </c>
      <c r="AD438" s="8">
        <f t="shared" si="58"/>
        <v>5791414.8816480003</v>
      </c>
      <c r="AE438" s="8">
        <f t="shared" si="59"/>
        <v>509469029.71411008</v>
      </c>
      <c r="AF438" s="8">
        <f t="shared" si="60"/>
        <v>500343146.29025602</v>
      </c>
      <c r="AG438" s="8">
        <f t="shared" si="61"/>
        <v>739721663.1645242</v>
      </c>
      <c r="AH438" s="8">
        <f t="shared" si="62"/>
        <v>127586624.816912</v>
      </c>
      <c r="AI438" s="8">
        <f t="shared" si="63"/>
        <v>4036440.675088</v>
      </c>
    </row>
    <row r="439" spans="1:35" x14ac:dyDescent="0.55000000000000004">
      <c r="A439" s="1">
        <v>437</v>
      </c>
      <c r="B439" s="1" t="s">
        <v>20</v>
      </c>
      <c r="C439" s="1">
        <v>30</v>
      </c>
      <c r="D439" s="1">
        <v>10</v>
      </c>
      <c r="E439" s="1" t="s">
        <v>77</v>
      </c>
      <c r="F439" s="1" t="s">
        <v>78</v>
      </c>
      <c r="G439" s="1">
        <v>22</v>
      </c>
      <c r="H439" s="1">
        <v>2</v>
      </c>
      <c r="I439" s="1">
        <v>22100000</v>
      </c>
      <c r="J439" s="1">
        <v>973</v>
      </c>
      <c r="K439" s="1">
        <v>0</v>
      </c>
      <c r="L439" s="1">
        <v>13392</v>
      </c>
      <c r="M439" s="1">
        <v>13.122719</v>
      </c>
      <c r="N439" s="1">
        <v>102.020645</v>
      </c>
      <c r="O439" s="1">
        <v>32.450001</v>
      </c>
      <c r="P439" s="1">
        <v>0.73</v>
      </c>
      <c r="Q439" s="1">
        <v>2.83</v>
      </c>
      <c r="R439" s="1">
        <v>6.51</v>
      </c>
      <c r="S439" s="1">
        <v>2.12</v>
      </c>
      <c r="T439" s="1">
        <v>24.84</v>
      </c>
      <c r="U439" s="1">
        <v>4.51</v>
      </c>
      <c r="V439" s="1">
        <v>3.87</v>
      </c>
      <c r="W439" s="1">
        <v>0</v>
      </c>
      <c r="X439" s="1">
        <v>25042.837030999999</v>
      </c>
      <c r="Y439" s="1">
        <v>11978681.460200001</v>
      </c>
      <c r="Z439" t="str">
        <f>VLOOKUP(G439,'Code Pro'!$A$2:$B$9,2,FALSE)</f>
        <v>จ.จันทบุรี</v>
      </c>
      <c r="AA439" s="8">
        <f t="shared" si="55"/>
        <v>388708225.36217147</v>
      </c>
      <c r="AB439" s="8">
        <f t="shared" si="56"/>
        <v>8744437.4659460001</v>
      </c>
      <c r="AC439" s="8">
        <f t="shared" si="57"/>
        <v>33899668.532366</v>
      </c>
      <c r="AD439" s="8">
        <f t="shared" si="58"/>
        <v>77981216.305902004</v>
      </c>
      <c r="AE439" s="8">
        <f t="shared" si="59"/>
        <v>25394804.695624001</v>
      </c>
      <c r="AF439" s="8">
        <f t="shared" si="60"/>
        <v>297550447.47136801</v>
      </c>
      <c r="AG439" s="8">
        <f t="shared" si="61"/>
        <v>54023853.385502003</v>
      </c>
      <c r="AH439" s="8">
        <f t="shared" si="62"/>
        <v>46357497.250974007</v>
      </c>
      <c r="AI439" s="8">
        <f t="shared" si="63"/>
        <v>0</v>
      </c>
    </row>
    <row r="440" spans="1:35" x14ac:dyDescent="0.55000000000000004">
      <c r="A440" s="1">
        <v>438</v>
      </c>
      <c r="B440" s="1" t="s">
        <v>20</v>
      </c>
      <c r="C440" s="1">
        <v>30</v>
      </c>
      <c r="D440" s="1">
        <v>10</v>
      </c>
      <c r="E440" s="1" t="s">
        <v>77</v>
      </c>
      <c r="F440" s="1" t="s">
        <v>78</v>
      </c>
      <c r="G440" s="1">
        <v>22</v>
      </c>
      <c r="H440" s="1">
        <v>2</v>
      </c>
      <c r="I440" s="1">
        <v>22100000</v>
      </c>
      <c r="J440" s="1">
        <v>976</v>
      </c>
      <c r="K440" s="1">
        <v>0</v>
      </c>
      <c r="L440" s="1">
        <v>13512</v>
      </c>
      <c r="M440" s="1">
        <v>13.203666999999999</v>
      </c>
      <c r="N440" s="1">
        <v>102.020645</v>
      </c>
      <c r="O440" s="1">
        <v>18.82</v>
      </c>
      <c r="P440" s="1">
        <v>0.95</v>
      </c>
      <c r="Q440" s="1">
        <v>2.11</v>
      </c>
      <c r="R440" s="1">
        <v>11.88</v>
      </c>
      <c r="S440" s="1">
        <v>42.34</v>
      </c>
      <c r="T440" s="1">
        <v>30.379999000000002</v>
      </c>
      <c r="U440" s="1">
        <v>12.91</v>
      </c>
      <c r="V440" s="1">
        <v>0.02</v>
      </c>
      <c r="W440" s="1">
        <v>0.01</v>
      </c>
      <c r="X440" s="1">
        <v>4871.1163399999996</v>
      </c>
      <c r="Y440" s="1">
        <v>1416617.5997500001</v>
      </c>
      <c r="Z440" t="str">
        <f>VLOOKUP(G440,'Code Pro'!$A$2:$B$9,2,FALSE)</f>
        <v>จ.จันทบุรี</v>
      </c>
      <c r="AA440" s="8">
        <f t="shared" si="55"/>
        <v>26660743.227295</v>
      </c>
      <c r="AB440" s="8">
        <f t="shared" si="56"/>
        <v>1345786.7197624999</v>
      </c>
      <c r="AC440" s="8">
        <f t="shared" si="57"/>
        <v>2989063.1354724998</v>
      </c>
      <c r="AD440" s="8">
        <f t="shared" si="58"/>
        <v>16829417.085030001</v>
      </c>
      <c r="AE440" s="8">
        <f t="shared" si="59"/>
        <v>59979589.173415005</v>
      </c>
      <c r="AF440" s="8">
        <f t="shared" si="60"/>
        <v>43036841.263787404</v>
      </c>
      <c r="AG440" s="8">
        <f t="shared" si="61"/>
        <v>18288533.2127725</v>
      </c>
      <c r="AH440" s="8">
        <f t="shared" si="62"/>
        <v>28332.351995000001</v>
      </c>
      <c r="AI440" s="8">
        <f t="shared" si="63"/>
        <v>14166.1759975</v>
      </c>
    </row>
    <row r="441" spans="1:35" x14ac:dyDescent="0.55000000000000004">
      <c r="A441" s="1">
        <v>439</v>
      </c>
      <c r="B441" s="1" t="s">
        <v>20</v>
      </c>
      <c r="C441" s="1">
        <v>30</v>
      </c>
      <c r="D441" s="1">
        <v>10</v>
      </c>
      <c r="E441" s="1" t="s">
        <v>77</v>
      </c>
      <c r="F441" s="1" t="s">
        <v>78</v>
      </c>
      <c r="G441" s="1">
        <v>22</v>
      </c>
      <c r="H441" s="1">
        <v>2</v>
      </c>
      <c r="I441" s="1">
        <v>22100000</v>
      </c>
      <c r="J441" s="1">
        <v>977</v>
      </c>
      <c r="K441" s="1">
        <v>0</v>
      </c>
      <c r="L441" s="1">
        <v>13393</v>
      </c>
      <c r="M441" s="1">
        <v>13.122719</v>
      </c>
      <c r="N441" s="1">
        <v>102.10378</v>
      </c>
      <c r="O441" s="1">
        <v>6.24</v>
      </c>
      <c r="P441" s="1">
        <v>0.79</v>
      </c>
      <c r="Q441" s="1">
        <v>0.17</v>
      </c>
      <c r="R441" s="1">
        <v>7.01</v>
      </c>
      <c r="S441" s="1">
        <v>14.65</v>
      </c>
      <c r="T441" s="1">
        <v>8.4499999999999993</v>
      </c>
      <c r="U441" s="1">
        <v>6.72</v>
      </c>
      <c r="V441" s="1">
        <v>12.45</v>
      </c>
      <c r="W441" s="1">
        <v>0</v>
      </c>
      <c r="X441" s="1">
        <v>41241.711610999999</v>
      </c>
      <c r="Y441" s="1">
        <v>70949555.160099998</v>
      </c>
      <c r="Z441" t="str">
        <f>VLOOKUP(G441,'Code Pro'!$A$2:$B$9,2,FALSE)</f>
        <v>จ.จันทบุรี</v>
      </c>
      <c r="AA441" s="8">
        <f t="shared" si="55"/>
        <v>442725224.19902402</v>
      </c>
      <c r="AB441" s="8">
        <f t="shared" si="56"/>
        <v>56050148.576479003</v>
      </c>
      <c r="AC441" s="8">
        <f t="shared" si="57"/>
        <v>12061424.377217</v>
      </c>
      <c r="AD441" s="8">
        <f t="shared" si="58"/>
        <v>497356381.67230099</v>
      </c>
      <c r="AE441" s="8">
        <f t="shared" si="59"/>
        <v>1039410983.0954649</v>
      </c>
      <c r="AF441" s="8">
        <f t="shared" si="60"/>
        <v>599523741.10284495</v>
      </c>
      <c r="AG441" s="8">
        <f t="shared" si="61"/>
        <v>476781010.67587197</v>
      </c>
      <c r="AH441" s="8">
        <f t="shared" si="62"/>
        <v>883321961.74324489</v>
      </c>
      <c r="AI441" s="8">
        <f t="shared" si="63"/>
        <v>0</v>
      </c>
    </row>
    <row r="442" spans="1:35" x14ac:dyDescent="0.55000000000000004">
      <c r="A442" s="1">
        <v>440</v>
      </c>
      <c r="B442" s="1" t="s">
        <v>20</v>
      </c>
      <c r="C442" s="1">
        <v>30</v>
      </c>
      <c r="D442" s="1">
        <v>10</v>
      </c>
      <c r="E442" s="1" t="s">
        <v>77</v>
      </c>
      <c r="F442" s="1" t="s">
        <v>78</v>
      </c>
      <c r="G442" s="1">
        <v>22</v>
      </c>
      <c r="H442" s="1">
        <v>2</v>
      </c>
      <c r="I442" s="1">
        <v>22100000</v>
      </c>
      <c r="J442" s="1">
        <v>979</v>
      </c>
      <c r="K442" s="1">
        <v>0</v>
      </c>
      <c r="L442" s="1">
        <v>13394</v>
      </c>
      <c r="M442" s="1">
        <v>13.122719</v>
      </c>
      <c r="N442" s="1">
        <v>102.18692</v>
      </c>
      <c r="O442" s="1">
        <v>0.48</v>
      </c>
      <c r="P442" s="1">
        <v>4.17</v>
      </c>
      <c r="Q442" s="1">
        <v>0</v>
      </c>
      <c r="R442" s="1">
        <v>0.59</v>
      </c>
      <c r="S442" s="1">
        <v>6.95</v>
      </c>
      <c r="T442" s="1">
        <v>8.07</v>
      </c>
      <c r="U442" s="1">
        <v>15.8</v>
      </c>
      <c r="V442" s="1">
        <v>37.080002</v>
      </c>
      <c r="W442" s="1">
        <v>0.06</v>
      </c>
      <c r="X442" s="1">
        <v>10610.996708000001</v>
      </c>
      <c r="Y442" s="1">
        <v>1970597.0805599999</v>
      </c>
      <c r="Z442" t="str">
        <f>VLOOKUP(G442,'Code Pro'!$A$2:$B$9,2,FALSE)</f>
        <v>จ.จันทบุรี</v>
      </c>
      <c r="AA442" s="8">
        <f t="shared" si="55"/>
        <v>945886.59866879997</v>
      </c>
      <c r="AB442" s="8">
        <f t="shared" si="56"/>
        <v>8217389.8259351999</v>
      </c>
      <c r="AC442" s="8">
        <f t="shared" si="57"/>
        <v>0</v>
      </c>
      <c r="AD442" s="8">
        <f t="shared" si="58"/>
        <v>1162652.2775303998</v>
      </c>
      <c r="AE442" s="8">
        <f t="shared" si="59"/>
        <v>13695649.709891999</v>
      </c>
      <c r="AF442" s="8">
        <f t="shared" si="60"/>
        <v>15902718.440119199</v>
      </c>
      <c r="AG442" s="8">
        <f t="shared" si="61"/>
        <v>31135433.872848</v>
      </c>
      <c r="AH442" s="8">
        <f t="shared" si="62"/>
        <v>73069743.688358963</v>
      </c>
      <c r="AI442" s="8">
        <f t="shared" si="63"/>
        <v>118235.8248336</v>
      </c>
    </row>
    <row r="443" spans="1:35" x14ac:dyDescent="0.55000000000000004">
      <c r="A443" s="1">
        <v>441</v>
      </c>
      <c r="B443" s="1" t="s">
        <v>20</v>
      </c>
      <c r="C443" s="1">
        <v>30</v>
      </c>
      <c r="D443" s="1">
        <v>10</v>
      </c>
      <c r="E443" s="1" t="s">
        <v>77</v>
      </c>
      <c r="F443" s="1" t="s">
        <v>78</v>
      </c>
      <c r="G443" s="1">
        <v>22</v>
      </c>
      <c r="H443" s="1">
        <v>2</v>
      </c>
      <c r="I443" s="1">
        <v>22100000</v>
      </c>
      <c r="J443" s="1">
        <v>980</v>
      </c>
      <c r="K443" s="1">
        <v>0</v>
      </c>
      <c r="L443" s="1">
        <v>13513</v>
      </c>
      <c r="M443" s="1">
        <v>13.203666999999999</v>
      </c>
      <c r="N443" s="1">
        <v>102.10378</v>
      </c>
      <c r="O443" s="1">
        <v>11.68</v>
      </c>
      <c r="P443" s="1">
        <v>0.09</v>
      </c>
      <c r="Q443" s="1">
        <v>0.06</v>
      </c>
      <c r="R443" s="1">
        <v>21.67</v>
      </c>
      <c r="S443" s="1">
        <v>62.639999000000003</v>
      </c>
      <c r="T443" s="1">
        <v>8.43</v>
      </c>
      <c r="U443" s="1">
        <v>9.08</v>
      </c>
      <c r="V443" s="1">
        <v>0.7</v>
      </c>
      <c r="W443" s="1">
        <v>0.09</v>
      </c>
      <c r="X443" s="1">
        <v>22714.688165</v>
      </c>
      <c r="Y443" s="1">
        <v>24972642.973499998</v>
      </c>
      <c r="Z443" t="str">
        <f>VLOOKUP(G443,'Code Pro'!$A$2:$B$9,2,FALSE)</f>
        <v>จ.จันทบุรี</v>
      </c>
      <c r="AA443" s="8">
        <f t="shared" si="55"/>
        <v>291680469.93048</v>
      </c>
      <c r="AB443" s="8">
        <f t="shared" si="56"/>
        <v>2247537.8676149999</v>
      </c>
      <c r="AC443" s="8">
        <f t="shared" si="57"/>
        <v>1498358.5784099998</v>
      </c>
      <c r="AD443" s="8">
        <f t="shared" si="58"/>
        <v>541157173.23574495</v>
      </c>
      <c r="AE443" s="8">
        <f t="shared" si="59"/>
        <v>1564286330.8873971</v>
      </c>
      <c r="AF443" s="8">
        <f t="shared" si="60"/>
        <v>210519380.26660499</v>
      </c>
      <c r="AG443" s="8">
        <f t="shared" si="61"/>
        <v>226751598.19937998</v>
      </c>
      <c r="AH443" s="8">
        <f t="shared" si="62"/>
        <v>17480850.081449997</v>
      </c>
      <c r="AI443" s="8">
        <f t="shared" si="63"/>
        <v>2247537.8676149999</v>
      </c>
    </row>
    <row r="444" spans="1:35" x14ac:dyDescent="0.55000000000000004">
      <c r="A444" s="1">
        <v>442</v>
      </c>
      <c r="B444" s="1" t="s">
        <v>20</v>
      </c>
      <c r="C444" s="1">
        <v>31</v>
      </c>
      <c r="D444" s="1">
        <v>1</v>
      </c>
      <c r="E444" s="1" t="s">
        <v>79</v>
      </c>
      <c r="F444" s="1" t="s">
        <v>80</v>
      </c>
      <c r="G444" s="1">
        <v>23</v>
      </c>
      <c r="H444" s="1">
        <v>2</v>
      </c>
      <c r="I444" s="1">
        <v>23010000</v>
      </c>
      <c r="J444" s="1">
        <v>385</v>
      </c>
      <c r="K444" s="1">
        <v>0</v>
      </c>
      <c r="L444" s="1">
        <v>11838</v>
      </c>
      <c r="M444" s="1">
        <v>12.067970000000001</v>
      </c>
      <c r="N444" s="1">
        <v>102.51946</v>
      </c>
      <c r="O444" s="1">
        <v>0</v>
      </c>
      <c r="P444" s="1">
        <v>0.01</v>
      </c>
      <c r="Q444" s="1">
        <v>0</v>
      </c>
      <c r="R444" s="1">
        <v>0.41</v>
      </c>
      <c r="S444" s="1">
        <v>0.21</v>
      </c>
      <c r="T444" s="1">
        <v>0</v>
      </c>
      <c r="U444" s="1">
        <v>7.93</v>
      </c>
      <c r="V444" s="1">
        <v>8.4700000000000006</v>
      </c>
      <c r="W444" s="1">
        <v>5.07</v>
      </c>
      <c r="X444" s="1">
        <v>17152.978649000001</v>
      </c>
      <c r="Y444" s="1">
        <v>8658371.0207400005</v>
      </c>
      <c r="Z444" t="str">
        <f>VLOOKUP(G444,'Code Pro'!$A$2:$B$9,2,FALSE)</f>
        <v>จ.ตราด</v>
      </c>
      <c r="AA444" s="8">
        <f t="shared" si="55"/>
        <v>0</v>
      </c>
      <c r="AB444" s="8">
        <f t="shared" si="56"/>
        <v>86583.710207400014</v>
      </c>
      <c r="AC444" s="8">
        <f t="shared" si="57"/>
        <v>0</v>
      </c>
      <c r="AD444" s="8">
        <f t="shared" si="58"/>
        <v>3549932.1185034001</v>
      </c>
      <c r="AE444" s="8">
        <f t="shared" si="59"/>
        <v>1818257.9143554</v>
      </c>
      <c r="AF444" s="8">
        <f t="shared" si="60"/>
        <v>0</v>
      </c>
      <c r="AG444" s="8">
        <f t="shared" si="61"/>
        <v>68660882.1944682</v>
      </c>
      <c r="AH444" s="8">
        <f t="shared" si="62"/>
        <v>73336402.545667812</v>
      </c>
      <c r="AI444" s="8">
        <f t="shared" si="63"/>
        <v>43897941.075151809</v>
      </c>
    </row>
    <row r="445" spans="1:35" x14ac:dyDescent="0.55000000000000004">
      <c r="A445" s="1">
        <v>443</v>
      </c>
      <c r="B445" s="1" t="s">
        <v>20</v>
      </c>
      <c r="C445" s="1">
        <v>31</v>
      </c>
      <c r="D445" s="1">
        <v>1</v>
      </c>
      <c r="E445" s="1" t="s">
        <v>79</v>
      </c>
      <c r="F445" s="1" t="s">
        <v>80</v>
      </c>
      <c r="G445" s="1">
        <v>23</v>
      </c>
      <c r="H445" s="1">
        <v>2</v>
      </c>
      <c r="I445" s="1">
        <v>23010000</v>
      </c>
      <c r="J445" s="1">
        <v>388</v>
      </c>
      <c r="K445" s="1">
        <v>0</v>
      </c>
      <c r="L445" s="1">
        <v>12079</v>
      </c>
      <c r="M445" s="1">
        <v>12.230515</v>
      </c>
      <c r="N445" s="1">
        <v>102.6026</v>
      </c>
      <c r="O445" s="1">
        <v>0</v>
      </c>
      <c r="P445" s="1">
        <v>0.28999999999999998</v>
      </c>
      <c r="Q445" s="1">
        <v>0.03</v>
      </c>
      <c r="R445" s="1">
        <v>0.13</v>
      </c>
      <c r="S445" s="1">
        <v>1.5</v>
      </c>
      <c r="T445" s="1">
        <v>1.77</v>
      </c>
      <c r="U445" s="1">
        <v>10.11</v>
      </c>
      <c r="V445" s="1">
        <v>23.559999000000001</v>
      </c>
      <c r="W445" s="1">
        <v>6.83</v>
      </c>
      <c r="X445" s="1">
        <v>39844.368977999999</v>
      </c>
      <c r="Y445" s="1">
        <v>72984185.027400002</v>
      </c>
      <c r="Z445" t="str">
        <f>VLOOKUP(G445,'Code Pro'!$A$2:$B$9,2,FALSE)</f>
        <v>จ.ตราด</v>
      </c>
      <c r="AA445" s="8">
        <f t="shared" si="55"/>
        <v>0</v>
      </c>
      <c r="AB445" s="8">
        <f t="shared" si="56"/>
        <v>21165413.657945998</v>
      </c>
      <c r="AC445" s="8">
        <f t="shared" si="57"/>
        <v>2189525.550822</v>
      </c>
      <c r="AD445" s="8">
        <f t="shared" si="58"/>
        <v>9487944.0535620004</v>
      </c>
      <c r="AE445" s="8">
        <f t="shared" si="59"/>
        <v>109476277.5411</v>
      </c>
      <c r="AF445" s="8">
        <f t="shared" si="60"/>
        <v>129182007.49849801</v>
      </c>
      <c r="AG445" s="8">
        <f t="shared" si="61"/>
        <v>737870110.62701392</v>
      </c>
      <c r="AH445" s="8">
        <f t="shared" si="62"/>
        <v>1719507326.2613592</v>
      </c>
      <c r="AI445" s="8">
        <f t="shared" si="63"/>
        <v>498481983.73714203</v>
      </c>
    </row>
    <row r="446" spans="1:35" x14ac:dyDescent="0.55000000000000004">
      <c r="A446" s="1">
        <v>444</v>
      </c>
      <c r="B446" s="1" t="s">
        <v>20</v>
      </c>
      <c r="C446" s="1">
        <v>31</v>
      </c>
      <c r="D446" s="1">
        <v>1</v>
      </c>
      <c r="E446" s="1" t="s">
        <v>79</v>
      </c>
      <c r="F446" s="1" t="s">
        <v>80</v>
      </c>
      <c r="G446" s="1">
        <v>23</v>
      </c>
      <c r="H446" s="1">
        <v>2</v>
      </c>
      <c r="I446" s="1">
        <v>23010000</v>
      </c>
      <c r="J446" s="1">
        <v>389</v>
      </c>
      <c r="K446" s="1">
        <v>0</v>
      </c>
      <c r="L446" s="1">
        <v>12077</v>
      </c>
      <c r="M446" s="1">
        <v>12.230515</v>
      </c>
      <c r="N446" s="1">
        <v>102.436325</v>
      </c>
      <c r="O446" s="1">
        <v>1.21</v>
      </c>
      <c r="P446" s="1">
        <v>0.01</v>
      </c>
      <c r="Q446" s="1">
        <v>0.04</v>
      </c>
      <c r="R446" s="1">
        <v>0</v>
      </c>
      <c r="S446" s="1">
        <v>0</v>
      </c>
      <c r="T446" s="1">
        <v>8.19</v>
      </c>
      <c r="U446" s="1">
        <v>7.06</v>
      </c>
      <c r="V446" s="1">
        <v>9.57</v>
      </c>
      <c r="W446" s="1">
        <v>34.560001</v>
      </c>
      <c r="X446" s="1">
        <v>32148.027221</v>
      </c>
      <c r="Y446" s="1">
        <v>49071784.037699997</v>
      </c>
      <c r="Z446" t="str">
        <f>VLOOKUP(G446,'Code Pro'!$A$2:$B$9,2,FALSE)</f>
        <v>จ.ตราด</v>
      </c>
      <c r="AA446" s="8">
        <f t="shared" si="55"/>
        <v>59376858.685616992</v>
      </c>
      <c r="AB446" s="8">
        <f t="shared" si="56"/>
        <v>490717.84037699999</v>
      </c>
      <c r="AC446" s="8">
        <f t="shared" si="57"/>
        <v>1962871.3615079999</v>
      </c>
      <c r="AD446" s="8">
        <f t="shared" si="58"/>
        <v>0</v>
      </c>
      <c r="AE446" s="8">
        <f t="shared" si="59"/>
        <v>0</v>
      </c>
      <c r="AF446" s="8">
        <f t="shared" si="60"/>
        <v>401897911.26876295</v>
      </c>
      <c r="AG446" s="8">
        <f t="shared" si="61"/>
        <v>346446795.30616194</v>
      </c>
      <c r="AH446" s="8">
        <f t="shared" si="62"/>
        <v>469616973.240789</v>
      </c>
      <c r="AI446" s="8">
        <f t="shared" si="63"/>
        <v>1695920905.414696</v>
      </c>
    </row>
    <row r="447" spans="1:35" x14ac:dyDescent="0.55000000000000004">
      <c r="A447" s="1">
        <v>445</v>
      </c>
      <c r="B447" s="1" t="s">
        <v>20</v>
      </c>
      <c r="C447" s="1">
        <v>31</v>
      </c>
      <c r="D447" s="1">
        <v>1</v>
      </c>
      <c r="E447" s="1" t="s">
        <v>79</v>
      </c>
      <c r="F447" s="1" t="s">
        <v>80</v>
      </c>
      <c r="G447" s="1">
        <v>23</v>
      </c>
      <c r="H447" s="1">
        <v>2</v>
      </c>
      <c r="I447" s="1">
        <v>23010000</v>
      </c>
      <c r="J447" s="1">
        <v>390</v>
      </c>
      <c r="K447" s="1">
        <v>0</v>
      </c>
      <c r="L447" s="1">
        <v>11957</v>
      </c>
      <c r="M447" s="1">
        <v>12.149254000000001</v>
      </c>
      <c r="N447" s="1">
        <v>102.436325</v>
      </c>
      <c r="O447" s="1">
        <v>0.01</v>
      </c>
      <c r="P447" s="1">
        <v>0.05</v>
      </c>
      <c r="Q447" s="1">
        <v>0.11</v>
      </c>
      <c r="R447" s="1">
        <v>0.26</v>
      </c>
      <c r="S447" s="1">
        <v>0.06</v>
      </c>
      <c r="T447" s="1">
        <v>0.55000000000000004</v>
      </c>
      <c r="U447" s="1">
        <v>10.73</v>
      </c>
      <c r="V447" s="1">
        <v>5.59</v>
      </c>
      <c r="W447" s="1">
        <v>8.5500000000000007</v>
      </c>
      <c r="X447" s="1">
        <v>14184.486257</v>
      </c>
      <c r="Y447" s="1">
        <v>4786934.7160299998</v>
      </c>
      <c r="Z447" t="str">
        <f>VLOOKUP(G447,'Code Pro'!$A$2:$B$9,2,FALSE)</f>
        <v>จ.ตราด</v>
      </c>
      <c r="AA447" s="8">
        <f t="shared" si="55"/>
        <v>47869.3471603</v>
      </c>
      <c r="AB447" s="8">
        <f t="shared" si="56"/>
        <v>239346.73580150001</v>
      </c>
      <c r="AC447" s="8">
        <f t="shared" si="57"/>
        <v>526562.81876329996</v>
      </c>
      <c r="AD447" s="8">
        <f t="shared" si="58"/>
        <v>1244603.0261678</v>
      </c>
      <c r="AE447" s="8">
        <f t="shared" si="59"/>
        <v>287216.08296179998</v>
      </c>
      <c r="AF447" s="8">
        <f t="shared" si="60"/>
        <v>2632814.0938165002</v>
      </c>
      <c r="AG447" s="8">
        <f t="shared" si="61"/>
        <v>51363809.503001899</v>
      </c>
      <c r="AH447" s="8">
        <f t="shared" si="62"/>
        <v>26758965.062607698</v>
      </c>
      <c r="AI447" s="8">
        <f t="shared" si="63"/>
        <v>40928291.822056502</v>
      </c>
    </row>
    <row r="448" spans="1:35" x14ac:dyDescent="0.55000000000000004">
      <c r="A448" s="1">
        <v>446</v>
      </c>
      <c r="B448" s="1" t="s">
        <v>20</v>
      </c>
      <c r="C448" s="1">
        <v>31</v>
      </c>
      <c r="D448" s="1">
        <v>1</v>
      </c>
      <c r="E448" s="1" t="s">
        <v>79</v>
      </c>
      <c r="F448" s="1" t="s">
        <v>80</v>
      </c>
      <c r="G448" s="1">
        <v>23</v>
      </c>
      <c r="H448" s="1">
        <v>2</v>
      </c>
      <c r="I448" s="1">
        <v>23010000</v>
      </c>
      <c r="J448" s="1">
        <v>392</v>
      </c>
      <c r="K448" s="1">
        <v>0</v>
      </c>
      <c r="L448" s="1">
        <v>12078</v>
      </c>
      <c r="M448" s="1">
        <v>12.230515</v>
      </c>
      <c r="N448" s="1">
        <v>102.51946</v>
      </c>
      <c r="O448" s="1">
        <v>4.09</v>
      </c>
      <c r="P448" s="1">
        <v>8.9700000000000006</v>
      </c>
      <c r="Q448" s="1">
        <v>0</v>
      </c>
      <c r="R448" s="1">
        <v>0.28000000000000003</v>
      </c>
      <c r="S448" s="1">
        <v>2.31</v>
      </c>
      <c r="T448" s="1">
        <v>0.12</v>
      </c>
      <c r="U448" s="1">
        <v>10.31</v>
      </c>
      <c r="V448" s="1">
        <v>4.68</v>
      </c>
      <c r="W448" s="1">
        <v>12.95</v>
      </c>
      <c r="X448" s="1">
        <v>38863.543822</v>
      </c>
      <c r="Y448" s="1">
        <v>81146122.989899993</v>
      </c>
      <c r="Z448" t="str">
        <f>VLOOKUP(G448,'Code Pro'!$A$2:$B$9,2,FALSE)</f>
        <v>จ.ตราด</v>
      </c>
      <c r="AA448" s="8">
        <f t="shared" si="55"/>
        <v>331887643.02869093</v>
      </c>
      <c r="AB448" s="8">
        <f t="shared" si="56"/>
        <v>727880723.21940303</v>
      </c>
      <c r="AC448" s="8">
        <f t="shared" si="57"/>
        <v>0</v>
      </c>
      <c r="AD448" s="8">
        <f t="shared" si="58"/>
        <v>22720914.437171999</v>
      </c>
      <c r="AE448" s="8">
        <f t="shared" si="59"/>
        <v>187447544.10666898</v>
      </c>
      <c r="AF448" s="8">
        <f t="shared" si="60"/>
        <v>9737534.7587879989</v>
      </c>
      <c r="AG448" s="8">
        <f t="shared" si="61"/>
        <v>836616528.02586901</v>
      </c>
      <c r="AH448" s="8">
        <f t="shared" si="62"/>
        <v>379763855.59273195</v>
      </c>
      <c r="AI448" s="8">
        <f t="shared" si="63"/>
        <v>1050842292.7192049</v>
      </c>
    </row>
    <row r="449" spans="1:35" x14ac:dyDescent="0.55000000000000004">
      <c r="A449" s="1">
        <v>447</v>
      </c>
      <c r="B449" s="1" t="s">
        <v>20</v>
      </c>
      <c r="C449" s="1">
        <v>31</v>
      </c>
      <c r="D449" s="1">
        <v>1</v>
      </c>
      <c r="E449" s="1" t="s">
        <v>79</v>
      </c>
      <c r="F449" s="1" t="s">
        <v>80</v>
      </c>
      <c r="G449" s="1">
        <v>23</v>
      </c>
      <c r="H449" s="1">
        <v>2</v>
      </c>
      <c r="I449" s="1">
        <v>23010000</v>
      </c>
      <c r="J449" s="1">
        <v>393</v>
      </c>
      <c r="K449" s="1">
        <v>0</v>
      </c>
      <c r="L449" s="1">
        <v>11958</v>
      </c>
      <c r="M449" s="1">
        <v>12.149254000000001</v>
      </c>
      <c r="N449" s="1">
        <v>102.51946</v>
      </c>
      <c r="O449" s="1">
        <v>0</v>
      </c>
      <c r="P449" s="1">
        <v>1.22</v>
      </c>
      <c r="Q449" s="1">
        <v>0.01</v>
      </c>
      <c r="R449" s="1">
        <v>0.28000000000000003</v>
      </c>
      <c r="S449" s="1">
        <v>0.31</v>
      </c>
      <c r="T449" s="1">
        <v>0.6</v>
      </c>
      <c r="U449" s="1">
        <v>21.34</v>
      </c>
      <c r="V449" s="1">
        <v>5.33</v>
      </c>
      <c r="W449" s="1">
        <v>15.72</v>
      </c>
      <c r="X449" s="1">
        <v>35932.673557000002</v>
      </c>
      <c r="Y449" s="1">
        <v>67247578.410500005</v>
      </c>
      <c r="Z449" t="str">
        <f>VLOOKUP(G449,'Code Pro'!$A$2:$B$9,2,FALSE)</f>
        <v>จ.ตราด</v>
      </c>
      <c r="AA449" s="8">
        <f t="shared" si="55"/>
        <v>0</v>
      </c>
      <c r="AB449" s="8">
        <f t="shared" si="56"/>
        <v>82042045.660810009</v>
      </c>
      <c r="AC449" s="8">
        <f t="shared" si="57"/>
        <v>672475.78410500009</v>
      </c>
      <c r="AD449" s="8">
        <f t="shared" si="58"/>
        <v>18829321.954940002</v>
      </c>
      <c r="AE449" s="8">
        <f t="shared" si="59"/>
        <v>20846749.307255</v>
      </c>
      <c r="AF449" s="8">
        <f t="shared" si="60"/>
        <v>40348547.046300001</v>
      </c>
      <c r="AG449" s="8">
        <f t="shared" si="61"/>
        <v>1435063323.2800701</v>
      </c>
      <c r="AH449" s="8">
        <f t="shared" si="62"/>
        <v>358429592.92796504</v>
      </c>
      <c r="AI449" s="8">
        <f t="shared" si="63"/>
        <v>1057131932.6130601</v>
      </c>
    </row>
    <row r="450" spans="1:35" x14ac:dyDescent="0.55000000000000004">
      <c r="A450" s="1">
        <v>448</v>
      </c>
      <c r="B450" s="1" t="s">
        <v>20</v>
      </c>
      <c r="C450" s="1">
        <v>31</v>
      </c>
      <c r="D450" s="1">
        <v>1</v>
      </c>
      <c r="E450" s="1" t="s">
        <v>79</v>
      </c>
      <c r="F450" s="1" t="s">
        <v>80</v>
      </c>
      <c r="G450" s="1">
        <v>23</v>
      </c>
      <c r="H450" s="1">
        <v>2</v>
      </c>
      <c r="I450" s="1">
        <v>23010000</v>
      </c>
      <c r="J450" s="1">
        <v>441</v>
      </c>
      <c r="K450" s="1">
        <v>0</v>
      </c>
      <c r="L450" s="1">
        <v>11840</v>
      </c>
      <c r="M450" s="1">
        <v>12.067970000000001</v>
      </c>
      <c r="N450" s="1">
        <v>102.68574</v>
      </c>
      <c r="O450" s="1">
        <v>0</v>
      </c>
      <c r="P450" s="1">
        <v>1.1100000000000001</v>
      </c>
      <c r="Q450" s="1">
        <v>0.03</v>
      </c>
      <c r="R450" s="1">
        <v>0.48</v>
      </c>
      <c r="S450" s="1">
        <v>0.5</v>
      </c>
      <c r="T450" s="1">
        <v>43.799999</v>
      </c>
      <c r="U450" s="1">
        <v>17.84</v>
      </c>
      <c r="V450" s="1">
        <v>3.62</v>
      </c>
      <c r="W450" s="1">
        <v>13.2</v>
      </c>
      <c r="X450" s="1">
        <v>17669.977965999999</v>
      </c>
      <c r="Y450" s="1">
        <v>12760078.227299999</v>
      </c>
      <c r="Z450" t="str">
        <f>VLOOKUP(G450,'Code Pro'!$A$2:$B$9,2,FALSE)</f>
        <v>จ.ตราด</v>
      </c>
      <c r="AA450" s="8">
        <f t="shared" si="55"/>
        <v>0</v>
      </c>
      <c r="AB450" s="8">
        <f t="shared" si="56"/>
        <v>14163686.832303001</v>
      </c>
      <c r="AC450" s="8">
        <f t="shared" si="57"/>
        <v>382802.34681899997</v>
      </c>
      <c r="AD450" s="8">
        <f t="shared" si="58"/>
        <v>6124837.5491039995</v>
      </c>
      <c r="AE450" s="8">
        <f t="shared" si="59"/>
        <v>6380039.1136499997</v>
      </c>
      <c r="AF450" s="8">
        <f t="shared" si="60"/>
        <v>558891413.59566176</v>
      </c>
      <c r="AG450" s="8">
        <f t="shared" si="61"/>
        <v>227639795.575032</v>
      </c>
      <c r="AH450" s="8">
        <f t="shared" si="62"/>
        <v>46191483.182825997</v>
      </c>
      <c r="AI450" s="8">
        <f t="shared" si="63"/>
        <v>168433032.60035998</v>
      </c>
    </row>
    <row r="451" spans="1:35" x14ac:dyDescent="0.55000000000000004">
      <c r="A451" s="1">
        <v>449</v>
      </c>
      <c r="B451" s="1" t="s">
        <v>20</v>
      </c>
      <c r="C451" s="1">
        <v>31</v>
      </c>
      <c r="D451" s="1">
        <v>1</v>
      </c>
      <c r="E451" s="1" t="s">
        <v>79</v>
      </c>
      <c r="F451" s="1" t="s">
        <v>80</v>
      </c>
      <c r="G451" s="1">
        <v>23</v>
      </c>
      <c r="H451" s="1">
        <v>2</v>
      </c>
      <c r="I451" s="1">
        <v>23010000</v>
      </c>
      <c r="J451" s="1">
        <v>444</v>
      </c>
      <c r="K451" s="1">
        <v>0</v>
      </c>
      <c r="L451" s="1">
        <v>12080</v>
      </c>
      <c r="M451" s="1">
        <v>12.230515</v>
      </c>
      <c r="N451" s="1">
        <v>102.68574</v>
      </c>
      <c r="O451" s="1">
        <v>0.31</v>
      </c>
      <c r="P451" s="1">
        <v>0.25</v>
      </c>
      <c r="Q451" s="1">
        <v>0</v>
      </c>
      <c r="R451" s="1">
        <v>0.36</v>
      </c>
      <c r="S451" s="1">
        <v>4.05</v>
      </c>
      <c r="T451" s="1">
        <v>0.68</v>
      </c>
      <c r="U451" s="1">
        <v>8.89</v>
      </c>
      <c r="V451" s="1">
        <v>21.309999000000001</v>
      </c>
      <c r="W451" s="1">
        <v>26.17</v>
      </c>
      <c r="X451" s="1">
        <v>34291.030307000001</v>
      </c>
      <c r="Y451" s="1">
        <v>68968581.596300006</v>
      </c>
      <c r="Z451" t="str">
        <f>VLOOKUP(G451,'Code Pro'!$A$2:$B$9,2,FALSE)</f>
        <v>จ.ตราด</v>
      </c>
      <c r="AA451" s="8">
        <f t="shared" ref="AA451:AA514" si="64">+O451*$Y451</f>
        <v>21380260.294853002</v>
      </c>
      <c r="AB451" s="8">
        <f t="shared" ref="AB451:AB514" si="65">+P451*$Y451</f>
        <v>17242145.399075001</v>
      </c>
      <c r="AC451" s="8">
        <f t="shared" ref="AC451:AC514" si="66">+Q451*$Y451</f>
        <v>0</v>
      </c>
      <c r="AD451" s="8">
        <f t="shared" ref="AD451:AD514" si="67">+R451*$Y451</f>
        <v>24828689.374668002</v>
      </c>
      <c r="AE451" s="8">
        <f t="shared" ref="AE451:AE514" si="68">+S451*$Y451</f>
        <v>279322755.46501499</v>
      </c>
      <c r="AF451" s="8">
        <f t="shared" ref="AF451:AF514" si="69">+T451*$Y451</f>
        <v>46898635.485484004</v>
      </c>
      <c r="AG451" s="8">
        <f t="shared" ref="AG451:AG514" si="70">+U451*$Y451</f>
        <v>613130690.39110708</v>
      </c>
      <c r="AH451" s="8">
        <f t="shared" ref="AH451:AH514" si="71">+V451*$Y451</f>
        <v>1469720404.8485715</v>
      </c>
      <c r="AI451" s="8">
        <f t="shared" ref="AI451:AI514" si="72">+W451*$Y451</f>
        <v>1804907780.3751712</v>
      </c>
    </row>
    <row r="452" spans="1:35" x14ac:dyDescent="0.55000000000000004">
      <c r="A452" s="1">
        <v>450</v>
      </c>
      <c r="B452" s="1" t="s">
        <v>20</v>
      </c>
      <c r="C452" s="1">
        <v>31</v>
      </c>
      <c r="D452" s="1">
        <v>1</v>
      </c>
      <c r="E452" s="1" t="s">
        <v>79</v>
      </c>
      <c r="F452" s="1" t="s">
        <v>80</v>
      </c>
      <c r="G452" s="1">
        <v>23</v>
      </c>
      <c r="H452" s="1">
        <v>2</v>
      </c>
      <c r="I452" s="1">
        <v>23010000</v>
      </c>
      <c r="J452" s="1">
        <v>445</v>
      </c>
      <c r="K452" s="1">
        <v>0</v>
      </c>
      <c r="L452" s="1">
        <v>11959</v>
      </c>
      <c r="M452" s="1">
        <v>12.149254000000001</v>
      </c>
      <c r="N452" s="1">
        <v>102.6026</v>
      </c>
      <c r="O452" s="1">
        <v>0</v>
      </c>
      <c r="P452" s="1">
        <v>6.49</v>
      </c>
      <c r="Q452" s="1">
        <v>0.11</v>
      </c>
      <c r="R452" s="1">
        <v>0</v>
      </c>
      <c r="S452" s="1">
        <v>0.21</v>
      </c>
      <c r="T452" s="1">
        <v>0.67</v>
      </c>
      <c r="U452" s="1">
        <v>7.67</v>
      </c>
      <c r="V452" s="1">
        <v>4.91</v>
      </c>
      <c r="W452" s="1">
        <v>5.14</v>
      </c>
      <c r="X452" s="1">
        <v>26719.863823</v>
      </c>
      <c r="Y452" s="1">
        <v>6491042.5072699999</v>
      </c>
      <c r="Z452" t="str">
        <f>VLOOKUP(G452,'Code Pro'!$A$2:$B$9,2,FALSE)</f>
        <v>จ.ตราด</v>
      </c>
      <c r="AA452" s="8">
        <f t="shared" si="64"/>
        <v>0</v>
      </c>
      <c r="AB452" s="8">
        <f t="shared" si="65"/>
        <v>42126865.872182302</v>
      </c>
      <c r="AC452" s="8">
        <f t="shared" si="66"/>
        <v>714014.67579969997</v>
      </c>
      <c r="AD452" s="8">
        <f t="shared" si="67"/>
        <v>0</v>
      </c>
      <c r="AE452" s="8">
        <f t="shared" si="68"/>
        <v>1363118.9265266999</v>
      </c>
      <c r="AF452" s="8">
        <f t="shared" si="69"/>
        <v>4348998.4798709005</v>
      </c>
      <c r="AG452" s="8">
        <f t="shared" si="70"/>
        <v>49786296.030760899</v>
      </c>
      <c r="AH452" s="8">
        <f t="shared" si="71"/>
        <v>31871018.710695699</v>
      </c>
      <c r="AI452" s="8">
        <f t="shared" si="72"/>
        <v>33363958.487367798</v>
      </c>
    </row>
    <row r="453" spans="1:35" x14ac:dyDescent="0.55000000000000004">
      <c r="A453" s="1">
        <v>451</v>
      </c>
      <c r="B453" s="1" t="s">
        <v>20</v>
      </c>
      <c r="C453" s="1">
        <v>31</v>
      </c>
      <c r="D453" s="1">
        <v>1</v>
      </c>
      <c r="E453" s="1" t="s">
        <v>79</v>
      </c>
      <c r="F453" s="1" t="s">
        <v>80</v>
      </c>
      <c r="G453" s="1">
        <v>23</v>
      </c>
      <c r="H453" s="1">
        <v>2</v>
      </c>
      <c r="I453" s="1">
        <v>23010000</v>
      </c>
      <c r="J453" s="1">
        <v>446</v>
      </c>
      <c r="K453" s="1">
        <v>0</v>
      </c>
      <c r="L453" s="1">
        <v>11839</v>
      </c>
      <c r="M453" s="1">
        <v>12.067970000000001</v>
      </c>
      <c r="N453" s="1">
        <v>102.6026</v>
      </c>
      <c r="O453" s="1">
        <v>0</v>
      </c>
      <c r="P453" s="1">
        <v>2.4</v>
      </c>
      <c r="Q453" s="1">
        <v>0.31</v>
      </c>
      <c r="R453" s="1">
        <v>0.01</v>
      </c>
      <c r="S453" s="1">
        <v>0</v>
      </c>
      <c r="T453" s="1">
        <v>2.64</v>
      </c>
      <c r="U453" s="1">
        <v>3.13</v>
      </c>
      <c r="V453" s="1">
        <v>1.42</v>
      </c>
      <c r="W453" s="1">
        <v>5.42</v>
      </c>
      <c r="X453" s="1">
        <v>15634.731051000001</v>
      </c>
      <c r="Y453" s="1">
        <v>9468142.4773999993</v>
      </c>
      <c r="Z453" t="str">
        <f>VLOOKUP(G453,'Code Pro'!$A$2:$B$9,2,FALSE)</f>
        <v>จ.ตราด</v>
      </c>
      <c r="AA453" s="8">
        <f t="shared" si="64"/>
        <v>0</v>
      </c>
      <c r="AB453" s="8">
        <f t="shared" si="65"/>
        <v>22723541.945759997</v>
      </c>
      <c r="AC453" s="8">
        <f t="shared" si="66"/>
        <v>2935124.1679939996</v>
      </c>
      <c r="AD453" s="8">
        <f t="shared" si="67"/>
        <v>94681.424773999999</v>
      </c>
      <c r="AE453" s="8">
        <f t="shared" si="68"/>
        <v>0</v>
      </c>
      <c r="AF453" s="8">
        <f t="shared" si="69"/>
        <v>24995896.140335999</v>
      </c>
      <c r="AG453" s="8">
        <f t="shared" si="70"/>
        <v>29635285.954261996</v>
      </c>
      <c r="AH453" s="8">
        <f t="shared" si="71"/>
        <v>13444762.317907998</v>
      </c>
      <c r="AI453" s="8">
        <f t="shared" si="72"/>
        <v>51317332.227507994</v>
      </c>
    </row>
    <row r="454" spans="1:35" x14ac:dyDescent="0.55000000000000004">
      <c r="A454" s="1">
        <v>452</v>
      </c>
      <c r="B454" s="1" t="s">
        <v>20</v>
      </c>
      <c r="C454" s="1">
        <v>31</v>
      </c>
      <c r="D454" s="1">
        <v>1</v>
      </c>
      <c r="E454" s="1" t="s">
        <v>79</v>
      </c>
      <c r="F454" s="1" t="s">
        <v>80</v>
      </c>
      <c r="G454" s="1">
        <v>23</v>
      </c>
      <c r="H454" s="1">
        <v>2</v>
      </c>
      <c r="I454" s="1">
        <v>23010000</v>
      </c>
      <c r="J454" s="1">
        <v>448</v>
      </c>
      <c r="K454" s="1">
        <v>0</v>
      </c>
      <c r="L454" s="1">
        <v>11960</v>
      </c>
      <c r="M454" s="1">
        <v>12.149254000000001</v>
      </c>
      <c r="N454" s="1">
        <v>102.68574</v>
      </c>
      <c r="O454" s="1">
        <v>1.21</v>
      </c>
      <c r="P454" s="1">
        <v>0.05</v>
      </c>
      <c r="Q454" s="1">
        <v>0.03</v>
      </c>
      <c r="R454" s="1">
        <v>0</v>
      </c>
      <c r="S454" s="1">
        <v>3</v>
      </c>
      <c r="T454" s="1">
        <v>1.1100000000000001</v>
      </c>
      <c r="U454" s="1">
        <v>36.299999</v>
      </c>
      <c r="V454" s="1">
        <v>9.1300000000000008</v>
      </c>
      <c r="W454" s="1">
        <v>17.75</v>
      </c>
      <c r="X454" s="1">
        <v>34597.156973999998</v>
      </c>
      <c r="Y454" s="1">
        <v>63653262.221199997</v>
      </c>
      <c r="Z454" t="str">
        <f>VLOOKUP(G454,'Code Pro'!$A$2:$B$9,2,FALSE)</f>
        <v>จ.ตราด</v>
      </c>
      <c r="AA454" s="8">
        <f t="shared" si="64"/>
        <v>77020447.287652001</v>
      </c>
      <c r="AB454" s="8">
        <f t="shared" si="65"/>
        <v>3182663.11106</v>
      </c>
      <c r="AC454" s="8">
        <f t="shared" si="66"/>
        <v>1909597.8666359999</v>
      </c>
      <c r="AD454" s="8">
        <f t="shared" si="67"/>
        <v>0</v>
      </c>
      <c r="AE454" s="8">
        <f t="shared" si="68"/>
        <v>190959786.6636</v>
      </c>
      <c r="AF454" s="8">
        <f t="shared" si="69"/>
        <v>70655121.065531999</v>
      </c>
      <c r="AG454" s="8">
        <f t="shared" si="70"/>
        <v>2310613354.9762979</v>
      </c>
      <c r="AH454" s="8">
        <f t="shared" si="71"/>
        <v>581154284.07955599</v>
      </c>
      <c r="AI454" s="8">
        <f t="shared" si="72"/>
        <v>1129845404.4263</v>
      </c>
    </row>
    <row r="455" spans="1:35" x14ac:dyDescent="0.55000000000000004">
      <c r="A455" s="1">
        <v>453</v>
      </c>
      <c r="B455" s="1" t="s">
        <v>20</v>
      </c>
      <c r="C455" s="1">
        <v>31</v>
      </c>
      <c r="D455" s="1">
        <v>1</v>
      </c>
      <c r="E455" s="1" t="s">
        <v>79</v>
      </c>
      <c r="F455" s="1" t="s">
        <v>80</v>
      </c>
      <c r="G455" s="1">
        <v>23</v>
      </c>
      <c r="H455" s="1">
        <v>2</v>
      </c>
      <c r="I455" s="1">
        <v>23010000</v>
      </c>
      <c r="J455" s="1">
        <v>452</v>
      </c>
      <c r="K455" s="1">
        <v>0</v>
      </c>
      <c r="L455" s="1">
        <v>11721</v>
      </c>
      <c r="M455" s="1">
        <v>11.986656</v>
      </c>
      <c r="N455" s="1">
        <v>102.76887000000001</v>
      </c>
      <c r="O455" s="1">
        <v>0.45</v>
      </c>
      <c r="P455" s="1">
        <v>1.22</v>
      </c>
      <c r="Q455" s="1">
        <v>7.0000000000000007E-2</v>
      </c>
      <c r="R455" s="1">
        <v>0</v>
      </c>
      <c r="S455" s="1">
        <v>0.01</v>
      </c>
      <c r="T455" s="1">
        <v>0.75</v>
      </c>
      <c r="U455" s="1">
        <v>16</v>
      </c>
      <c r="V455" s="1">
        <v>36.700001</v>
      </c>
      <c r="W455" s="1">
        <v>12.85</v>
      </c>
      <c r="X455" s="1">
        <v>15664.204666</v>
      </c>
      <c r="Y455" s="1">
        <v>6846575.1327400003</v>
      </c>
      <c r="Z455" t="str">
        <f>VLOOKUP(G455,'Code Pro'!$A$2:$B$9,2,FALSE)</f>
        <v>จ.ตราด</v>
      </c>
      <c r="AA455" s="8">
        <f t="shared" si="64"/>
        <v>3080958.8097330001</v>
      </c>
      <c r="AB455" s="8">
        <f t="shared" si="65"/>
        <v>8352821.6619428005</v>
      </c>
      <c r="AC455" s="8">
        <f t="shared" si="66"/>
        <v>479260.25929180009</v>
      </c>
      <c r="AD455" s="8">
        <f t="shared" si="67"/>
        <v>0</v>
      </c>
      <c r="AE455" s="8">
        <f t="shared" si="68"/>
        <v>68465.751327400008</v>
      </c>
      <c r="AF455" s="8">
        <f t="shared" si="69"/>
        <v>5134931.3495550007</v>
      </c>
      <c r="AG455" s="8">
        <f t="shared" si="70"/>
        <v>109545202.12384</v>
      </c>
      <c r="AH455" s="8">
        <f t="shared" si="71"/>
        <v>251269314.21813315</v>
      </c>
      <c r="AI455" s="8">
        <f t="shared" si="72"/>
        <v>87978490.455708995</v>
      </c>
    </row>
    <row r="456" spans="1:35" x14ac:dyDescent="0.55000000000000004">
      <c r="A456" s="1">
        <v>454</v>
      </c>
      <c r="B456" s="1" t="s">
        <v>20</v>
      </c>
      <c r="C456" s="1">
        <v>31</v>
      </c>
      <c r="D456" s="1">
        <v>1</v>
      </c>
      <c r="E456" s="1" t="s">
        <v>79</v>
      </c>
      <c r="F456" s="1" t="s">
        <v>80</v>
      </c>
      <c r="G456" s="1">
        <v>23</v>
      </c>
      <c r="H456" s="1">
        <v>2</v>
      </c>
      <c r="I456" s="1">
        <v>23010000</v>
      </c>
      <c r="J456" s="1">
        <v>455</v>
      </c>
      <c r="K456" s="1">
        <v>0</v>
      </c>
      <c r="L456" s="1">
        <v>11961</v>
      </c>
      <c r="M456" s="1">
        <v>12.149254000000001</v>
      </c>
      <c r="N456" s="1">
        <v>102.76887000000001</v>
      </c>
      <c r="O456" s="1">
        <v>7.94</v>
      </c>
      <c r="P456" s="1">
        <v>0.23</v>
      </c>
      <c r="Q456" s="1">
        <v>0</v>
      </c>
      <c r="R456" s="1">
        <v>0.42</v>
      </c>
      <c r="S456" s="1">
        <v>5.61</v>
      </c>
      <c r="T456" s="1">
        <v>2.36</v>
      </c>
      <c r="U456" s="1">
        <v>82.510002</v>
      </c>
      <c r="V456" s="1">
        <v>18.52</v>
      </c>
      <c r="W456" s="1">
        <v>25.32</v>
      </c>
      <c r="X456" s="1">
        <v>6236.8113469999998</v>
      </c>
      <c r="Y456" s="1">
        <v>1445173.14334</v>
      </c>
      <c r="Z456" t="str">
        <f>VLOOKUP(G456,'Code Pro'!$A$2:$B$9,2,FALSE)</f>
        <v>จ.ตราด</v>
      </c>
      <c r="AA456" s="8">
        <f t="shared" si="64"/>
        <v>11474674.7581196</v>
      </c>
      <c r="AB456" s="8">
        <f t="shared" si="65"/>
        <v>332389.82296820002</v>
      </c>
      <c r="AC456" s="8">
        <f t="shared" si="66"/>
        <v>0</v>
      </c>
      <c r="AD456" s="8">
        <f t="shared" si="67"/>
        <v>606972.7202028</v>
      </c>
      <c r="AE456" s="8">
        <f t="shared" si="68"/>
        <v>8107421.3341374006</v>
      </c>
      <c r="AF456" s="8">
        <f t="shared" si="69"/>
        <v>3410608.6182823996</v>
      </c>
      <c r="AG456" s="8">
        <f t="shared" si="70"/>
        <v>119241238.94732969</v>
      </c>
      <c r="AH456" s="8">
        <f t="shared" si="71"/>
        <v>26764606.614656799</v>
      </c>
      <c r="AI456" s="8">
        <f t="shared" si="72"/>
        <v>36591783.989368796</v>
      </c>
    </row>
    <row r="457" spans="1:35" x14ac:dyDescent="0.55000000000000004">
      <c r="A457" s="1">
        <v>455</v>
      </c>
      <c r="B457" s="1" t="s">
        <v>20</v>
      </c>
      <c r="C457" s="1">
        <v>31</v>
      </c>
      <c r="D457" s="1">
        <v>1</v>
      </c>
      <c r="E457" s="1" t="s">
        <v>79</v>
      </c>
      <c r="F457" s="1" t="s">
        <v>80</v>
      </c>
      <c r="G457" s="1">
        <v>23</v>
      </c>
      <c r="H457" s="1">
        <v>2</v>
      </c>
      <c r="I457" s="1">
        <v>23010000</v>
      </c>
      <c r="J457" s="1">
        <v>456</v>
      </c>
      <c r="K457" s="1">
        <v>0</v>
      </c>
      <c r="L457" s="1">
        <v>11841</v>
      </c>
      <c r="M457" s="1">
        <v>12.067970000000001</v>
      </c>
      <c r="N457" s="1">
        <v>102.76887000000001</v>
      </c>
      <c r="O457" s="1">
        <v>3.44</v>
      </c>
      <c r="P457" s="1">
        <v>0.93</v>
      </c>
      <c r="Q457" s="1">
        <v>0.12</v>
      </c>
      <c r="R457" s="1">
        <v>1</v>
      </c>
      <c r="S457" s="1">
        <v>1.43</v>
      </c>
      <c r="T457" s="1">
        <v>3.79</v>
      </c>
      <c r="U457" s="1">
        <v>60.02</v>
      </c>
      <c r="V457" s="1">
        <v>41.73</v>
      </c>
      <c r="W457" s="1">
        <v>22.059999000000001</v>
      </c>
      <c r="X457" s="1">
        <v>24258.707299000002</v>
      </c>
      <c r="Y457" s="1">
        <v>26213749.953899998</v>
      </c>
      <c r="Z457" t="str">
        <f>VLOOKUP(G457,'Code Pro'!$A$2:$B$9,2,FALSE)</f>
        <v>จ.ตราด</v>
      </c>
      <c r="AA457" s="8">
        <f t="shared" si="64"/>
        <v>90175299.841415986</v>
      </c>
      <c r="AB457" s="8">
        <f t="shared" si="65"/>
        <v>24378787.457127001</v>
      </c>
      <c r="AC457" s="8">
        <f t="shared" si="66"/>
        <v>3145649.9944679998</v>
      </c>
      <c r="AD457" s="8">
        <f t="shared" si="67"/>
        <v>26213749.953899998</v>
      </c>
      <c r="AE457" s="8">
        <f t="shared" si="68"/>
        <v>37485662.434076995</v>
      </c>
      <c r="AF457" s="8">
        <f t="shared" si="69"/>
        <v>99350112.325280994</v>
      </c>
      <c r="AG457" s="8">
        <f t="shared" si="70"/>
        <v>1573349272.233078</v>
      </c>
      <c r="AH457" s="8">
        <f t="shared" si="71"/>
        <v>1093899785.5762467</v>
      </c>
      <c r="AI457" s="8">
        <f t="shared" si="72"/>
        <v>578275297.76928401</v>
      </c>
    </row>
    <row r="458" spans="1:35" x14ac:dyDescent="0.55000000000000004">
      <c r="A458" s="1">
        <v>456</v>
      </c>
      <c r="B458" s="1" t="s">
        <v>20</v>
      </c>
      <c r="C458" s="1">
        <v>31</v>
      </c>
      <c r="D458" s="1">
        <v>1</v>
      </c>
      <c r="E458" s="1" t="s">
        <v>79</v>
      </c>
      <c r="F458" s="1" t="s">
        <v>80</v>
      </c>
      <c r="G458" s="1">
        <v>23</v>
      </c>
      <c r="H458" s="1">
        <v>2</v>
      </c>
      <c r="I458" s="1">
        <v>23010000</v>
      </c>
      <c r="J458" s="1">
        <v>516</v>
      </c>
      <c r="K458" s="1">
        <v>0</v>
      </c>
      <c r="L458" s="1">
        <v>12197</v>
      </c>
      <c r="M458" s="1">
        <v>12.311752</v>
      </c>
      <c r="N458" s="1">
        <v>102.436325</v>
      </c>
      <c r="O458" s="1">
        <v>4.76</v>
      </c>
      <c r="P458" s="1">
        <v>0.02</v>
      </c>
      <c r="Q458" s="1">
        <v>0.05</v>
      </c>
      <c r="R458" s="1">
        <v>0.11</v>
      </c>
      <c r="S458" s="1">
        <v>1.07</v>
      </c>
      <c r="T458" s="1">
        <v>6.47</v>
      </c>
      <c r="U458" s="1">
        <v>5.94</v>
      </c>
      <c r="V458" s="1">
        <v>6.09</v>
      </c>
      <c r="W458" s="1">
        <v>55.970001000000003</v>
      </c>
      <c r="X458" s="1">
        <v>27931.971576</v>
      </c>
      <c r="Y458" s="1">
        <v>26475333.813099999</v>
      </c>
      <c r="Z458" t="str">
        <f>VLOOKUP(G458,'Code Pro'!$A$2:$B$9,2,FALSE)</f>
        <v>จ.ตราด</v>
      </c>
      <c r="AA458" s="8">
        <f t="shared" si="64"/>
        <v>126022588.95035599</v>
      </c>
      <c r="AB458" s="8">
        <f t="shared" si="65"/>
        <v>529506.67626199999</v>
      </c>
      <c r="AC458" s="8">
        <f t="shared" si="66"/>
        <v>1323766.690655</v>
      </c>
      <c r="AD458" s="8">
        <f t="shared" si="67"/>
        <v>2912286.7194409999</v>
      </c>
      <c r="AE458" s="8">
        <f t="shared" si="68"/>
        <v>28328607.180017002</v>
      </c>
      <c r="AF458" s="8">
        <f t="shared" si="69"/>
        <v>171295409.77075699</v>
      </c>
      <c r="AG458" s="8">
        <f t="shared" si="70"/>
        <v>157263482.849814</v>
      </c>
      <c r="AH458" s="8">
        <f t="shared" si="71"/>
        <v>161234782.92177898</v>
      </c>
      <c r="AI458" s="8">
        <f t="shared" si="72"/>
        <v>1481824459.9945409</v>
      </c>
    </row>
    <row r="459" spans="1:35" x14ac:dyDescent="0.55000000000000004">
      <c r="A459" s="1">
        <v>457</v>
      </c>
      <c r="B459" s="1" t="s">
        <v>20</v>
      </c>
      <c r="C459" s="1">
        <v>31</v>
      </c>
      <c r="D459" s="1">
        <v>1</v>
      </c>
      <c r="E459" s="1" t="s">
        <v>79</v>
      </c>
      <c r="F459" s="1" t="s">
        <v>80</v>
      </c>
      <c r="G459" s="1">
        <v>23</v>
      </c>
      <c r="H459" s="1">
        <v>2</v>
      </c>
      <c r="I459" s="1">
        <v>23010000</v>
      </c>
      <c r="J459" s="1">
        <v>517</v>
      </c>
      <c r="K459" s="1">
        <v>0</v>
      </c>
      <c r="L459" s="1">
        <v>12198</v>
      </c>
      <c r="M459" s="1">
        <v>12.311752</v>
      </c>
      <c r="N459" s="1">
        <v>102.51946</v>
      </c>
      <c r="O459" s="1">
        <v>5.34</v>
      </c>
      <c r="P459" s="1">
        <v>14.82</v>
      </c>
      <c r="Q459" s="1">
        <v>0.08</v>
      </c>
      <c r="R459" s="1">
        <v>1.31</v>
      </c>
      <c r="S459" s="1">
        <v>11.16</v>
      </c>
      <c r="T459" s="1">
        <v>4.1900000000000004</v>
      </c>
      <c r="U459" s="1">
        <v>7.72</v>
      </c>
      <c r="V459" s="1">
        <v>6.84</v>
      </c>
      <c r="W459" s="1">
        <v>33.869999</v>
      </c>
      <c r="X459" s="1">
        <v>37605.518789000002</v>
      </c>
      <c r="Y459" s="1">
        <v>76255782.512700006</v>
      </c>
      <c r="Z459" t="str">
        <f>VLOOKUP(G459,'Code Pro'!$A$2:$B$9,2,FALSE)</f>
        <v>จ.ตราด</v>
      </c>
      <c r="AA459" s="8">
        <f t="shared" si="64"/>
        <v>407205878.617818</v>
      </c>
      <c r="AB459" s="8">
        <f t="shared" si="65"/>
        <v>1130110696.8382142</v>
      </c>
      <c r="AC459" s="8">
        <f t="shared" si="66"/>
        <v>6100462.6010160008</v>
      </c>
      <c r="AD459" s="8">
        <f t="shared" si="67"/>
        <v>99895075.091637015</v>
      </c>
      <c r="AE459" s="8">
        <f t="shared" si="68"/>
        <v>851014532.84173203</v>
      </c>
      <c r="AF459" s="8">
        <f t="shared" si="69"/>
        <v>319511728.72821307</v>
      </c>
      <c r="AG459" s="8">
        <f t="shared" si="70"/>
        <v>588694640.99804401</v>
      </c>
      <c r="AH459" s="8">
        <f t="shared" si="71"/>
        <v>521589552.38686806</v>
      </c>
      <c r="AI459" s="8">
        <f t="shared" si="72"/>
        <v>2582783277.4493666</v>
      </c>
    </row>
    <row r="460" spans="1:35" x14ac:dyDescent="0.55000000000000004">
      <c r="A460" s="1">
        <v>458</v>
      </c>
      <c r="B460" s="1" t="s">
        <v>20</v>
      </c>
      <c r="C460" s="1">
        <v>31</v>
      </c>
      <c r="D460" s="1">
        <v>1</v>
      </c>
      <c r="E460" s="1" t="s">
        <v>79</v>
      </c>
      <c r="F460" s="1" t="s">
        <v>80</v>
      </c>
      <c r="G460" s="1">
        <v>23</v>
      </c>
      <c r="H460" s="1">
        <v>2</v>
      </c>
      <c r="I460" s="1">
        <v>23010000</v>
      </c>
      <c r="J460" s="1">
        <v>518</v>
      </c>
      <c r="K460" s="1">
        <v>0</v>
      </c>
      <c r="L460" s="1">
        <v>12438</v>
      </c>
      <c r="M460" s="1">
        <v>12.474159</v>
      </c>
      <c r="N460" s="1">
        <v>102.51946</v>
      </c>
      <c r="O460" s="1">
        <v>40.169998</v>
      </c>
      <c r="P460" s="1">
        <v>0.09</v>
      </c>
      <c r="Q460" s="1">
        <v>0.05</v>
      </c>
      <c r="R460" s="1">
        <v>0.04</v>
      </c>
      <c r="S460" s="1">
        <v>0.55000000000000004</v>
      </c>
      <c r="T460" s="1">
        <v>0.4</v>
      </c>
      <c r="U460" s="1">
        <v>9.89</v>
      </c>
      <c r="V460" s="1">
        <v>1.67</v>
      </c>
      <c r="W460" s="1">
        <v>23.709999</v>
      </c>
      <c r="X460" s="1">
        <v>16879.926851</v>
      </c>
      <c r="Y460" s="1">
        <v>8712702.2483300008</v>
      </c>
      <c r="Z460" t="str">
        <f>VLOOKUP(G460,'Code Pro'!$A$2:$B$9,2,FALSE)</f>
        <v>จ.ตราด</v>
      </c>
      <c r="AA460" s="8">
        <f t="shared" si="64"/>
        <v>349989231.89001161</v>
      </c>
      <c r="AB460" s="8">
        <f t="shared" si="65"/>
        <v>784143.20234970003</v>
      </c>
      <c r="AC460" s="8">
        <f t="shared" si="66"/>
        <v>435635.11241650005</v>
      </c>
      <c r="AD460" s="8">
        <f t="shared" si="67"/>
        <v>348508.08993320004</v>
      </c>
      <c r="AE460" s="8">
        <f t="shared" si="68"/>
        <v>4791986.2365815006</v>
      </c>
      <c r="AF460" s="8">
        <f t="shared" si="69"/>
        <v>3485080.8993320004</v>
      </c>
      <c r="AG460" s="8">
        <f t="shared" si="70"/>
        <v>86168625.235983714</v>
      </c>
      <c r="AH460" s="8">
        <f t="shared" si="71"/>
        <v>14550212.754711101</v>
      </c>
      <c r="AI460" s="8">
        <f t="shared" si="72"/>
        <v>206578161.59520206</v>
      </c>
    </row>
    <row r="461" spans="1:35" x14ac:dyDescent="0.55000000000000004">
      <c r="A461" s="1">
        <v>459</v>
      </c>
      <c r="B461" s="1" t="s">
        <v>20</v>
      </c>
      <c r="C461" s="1">
        <v>31</v>
      </c>
      <c r="D461" s="1">
        <v>1</v>
      </c>
      <c r="E461" s="1" t="s">
        <v>79</v>
      </c>
      <c r="F461" s="1" t="s">
        <v>80</v>
      </c>
      <c r="G461" s="1">
        <v>23</v>
      </c>
      <c r="H461" s="1">
        <v>2</v>
      </c>
      <c r="I461" s="1">
        <v>23010000</v>
      </c>
      <c r="J461" s="1">
        <v>520</v>
      </c>
      <c r="K461" s="1">
        <v>0</v>
      </c>
      <c r="L461" s="1">
        <v>12318</v>
      </c>
      <c r="M461" s="1">
        <v>12.392967000000001</v>
      </c>
      <c r="N461" s="1">
        <v>102.51946</v>
      </c>
      <c r="O461" s="1">
        <v>5.75</v>
      </c>
      <c r="P461" s="1">
        <v>7.34</v>
      </c>
      <c r="Q461" s="1">
        <v>9.16</v>
      </c>
      <c r="R461" s="1">
        <v>0.72</v>
      </c>
      <c r="S461" s="1">
        <v>3.03</v>
      </c>
      <c r="T461" s="1">
        <v>1.07</v>
      </c>
      <c r="U461" s="1">
        <v>6.54</v>
      </c>
      <c r="V461" s="1">
        <v>1.46</v>
      </c>
      <c r="W461" s="1">
        <v>36.130001</v>
      </c>
      <c r="X461" s="1">
        <v>34565.933455999999</v>
      </c>
      <c r="Y461" s="1">
        <v>48841755.9005</v>
      </c>
      <c r="Z461" t="str">
        <f>VLOOKUP(G461,'Code Pro'!$A$2:$B$9,2,FALSE)</f>
        <v>จ.ตราด</v>
      </c>
      <c r="AA461" s="8">
        <f t="shared" si="64"/>
        <v>280840096.42787498</v>
      </c>
      <c r="AB461" s="8">
        <f t="shared" si="65"/>
        <v>358498488.30966997</v>
      </c>
      <c r="AC461" s="8">
        <f t="shared" si="66"/>
        <v>447390484.04857999</v>
      </c>
      <c r="AD461" s="8">
        <f t="shared" si="67"/>
        <v>35166064.248360001</v>
      </c>
      <c r="AE461" s="8">
        <f t="shared" si="68"/>
        <v>147990520.37851498</v>
      </c>
      <c r="AF461" s="8">
        <f t="shared" si="69"/>
        <v>52260678.813535005</v>
      </c>
      <c r="AG461" s="8">
        <f t="shared" si="70"/>
        <v>319425083.58927</v>
      </c>
      <c r="AH461" s="8">
        <f t="shared" si="71"/>
        <v>71308963.61473</v>
      </c>
      <c r="AI461" s="8">
        <f t="shared" si="72"/>
        <v>1764652689.5268209</v>
      </c>
    </row>
    <row r="462" spans="1:35" x14ac:dyDescent="0.55000000000000004">
      <c r="A462" s="1">
        <v>460</v>
      </c>
      <c r="B462" s="1" t="s">
        <v>20</v>
      </c>
      <c r="C462" s="1">
        <v>31</v>
      </c>
      <c r="D462" s="1">
        <v>1</v>
      </c>
      <c r="E462" s="1" t="s">
        <v>79</v>
      </c>
      <c r="F462" s="1" t="s">
        <v>80</v>
      </c>
      <c r="G462" s="1">
        <v>23</v>
      </c>
      <c r="H462" s="1">
        <v>2</v>
      </c>
      <c r="I462" s="1">
        <v>23010000</v>
      </c>
      <c r="J462" s="1">
        <v>569</v>
      </c>
      <c r="K462" s="1">
        <v>0</v>
      </c>
      <c r="L462" s="1">
        <v>12199</v>
      </c>
      <c r="M462" s="1">
        <v>12.311752</v>
      </c>
      <c r="N462" s="1">
        <v>102.6026</v>
      </c>
      <c r="O462" s="1">
        <v>9.7799999999999994</v>
      </c>
      <c r="P462" s="1">
        <v>0.25</v>
      </c>
      <c r="Q462" s="1">
        <v>0.04</v>
      </c>
      <c r="R462" s="1">
        <v>1.92</v>
      </c>
      <c r="S462" s="1">
        <v>1.55</v>
      </c>
      <c r="T462" s="1">
        <v>3.21</v>
      </c>
      <c r="U462" s="1">
        <v>7.83</v>
      </c>
      <c r="V462" s="1">
        <v>4.87</v>
      </c>
      <c r="W462" s="1">
        <v>17.670000000000002</v>
      </c>
      <c r="X462" s="1">
        <v>36112.606250999997</v>
      </c>
      <c r="Y462" s="1">
        <v>81506675.565200001</v>
      </c>
      <c r="Z462" t="str">
        <f>VLOOKUP(G462,'Code Pro'!$A$2:$B$9,2,FALSE)</f>
        <v>จ.ตราด</v>
      </c>
      <c r="AA462" s="8">
        <f t="shared" si="64"/>
        <v>797135287.02765596</v>
      </c>
      <c r="AB462" s="8">
        <f t="shared" si="65"/>
        <v>20376668.8913</v>
      </c>
      <c r="AC462" s="8">
        <f t="shared" si="66"/>
        <v>3260267.0226080003</v>
      </c>
      <c r="AD462" s="8">
        <f t="shared" si="67"/>
        <v>156492817.08518401</v>
      </c>
      <c r="AE462" s="8">
        <f t="shared" si="68"/>
        <v>126335347.12606001</v>
      </c>
      <c r="AF462" s="8">
        <f t="shared" si="69"/>
        <v>261636428.56429201</v>
      </c>
      <c r="AG462" s="8">
        <f t="shared" si="70"/>
        <v>638197269.67551601</v>
      </c>
      <c r="AH462" s="8">
        <f t="shared" si="71"/>
        <v>396937510.00252402</v>
      </c>
      <c r="AI462" s="8">
        <f t="shared" si="72"/>
        <v>1440222957.2370842</v>
      </c>
    </row>
    <row r="463" spans="1:35" x14ac:dyDescent="0.55000000000000004">
      <c r="A463" s="1">
        <v>461</v>
      </c>
      <c r="B463" s="1" t="s">
        <v>20</v>
      </c>
      <c r="C463" s="1">
        <v>31</v>
      </c>
      <c r="D463" s="1">
        <v>1</v>
      </c>
      <c r="E463" s="1" t="s">
        <v>79</v>
      </c>
      <c r="F463" s="1" t="s">
        <v>80</v>
      </c>
      <c r="G463" s="1">
        <v>23</v>
      </c>
      <c r="H463" s="1">
        <v>2</v>
      </c>
      <c r="I463" s="1">
        <v>23010000</v>
      </c>
      <c r="J463" s="1">
        <v>570</v>
      </c>
      <c r="K463" s="1">
        <v>0</v>
      </c>
      <c r="L463" s="1">
        <v>12200</v>
      </c>
      <c r="M463" s="1">
        <v>12.311752</v>
      </c>
      <c r="N463" s="1">
        <v>102.68574</v>
      </c>
      <c r="O463" s="1">
        <v>4.62</v>
      </c>
      <c r="P463" s="1">
        <v>1.29</v>
      </c>
      <c r="Q463" s="1">
        <v>0.28999999999999998</v>
      </c>
      <c r="R463" s="1">
        <v>0.72</v>
      </c>
      <c r="S463" s="1">
        <v>5.4</v>
      </c>
      <c r="T463" s="1">
        <v>7.39</v>
      </c>
      <c r="U463" s="1">
        <v>4.72</v>
      </c>
      <c r="V463" s="1">
        <v>13.29</v>
      </c>
      <c r="W463" s="1">
        <v>51.41</v>
      </c>
      <c r="X463" s="1">
        <v>35092.896058999999</v>
      </c>
      <c r="Y463" s="1">
        <v>78447559.206200004</v>
      </c>
      <c r="Z463" t="str">
        <f>VLOOKUP(G463,'Code Pro'!$A$2:$B$9,2,FALSE)</f>
        <v>จ.ตราด</v>
      </c>
      <c r="AA463" s="8">
        <f t="shared" si="64"/>
        <v>362427723.53264403</v>
      </c>
      <c r="AB463" s="8">
        <f t="shared" si="65"/>
        <v>101197351.37599801</v>
      </c>
      <c r="AC463" s="8">
        <f t="shared" si="66"/>
        <v>22749792.169797998</v>
      </c>
      <c r="AD463" s="8">
        <f t="shared" si="67"/>
        <v>56482242.628463998</v>
      </c>
      <c r="AE463" s="8">
        <f t="shared" si="68"/>
        <v>423616819.71348006</v>
      </c>
      <c r="AF463" s="8">
        <f t="shared" si="69"/>
        <v>579727462.53381801</v>
      </c>
      <c r="AG463" s="8">
        <f t="shared" si="70"/>
        <v>370272479.453264</v>
      </c>
      <c r="AH463" s="8">
        <f t="shared" si="71"/>
        <v>1042568061.8503979</v>
      </c>
      <c r="AI463" s="8">
        <f t="shared" si="72"/>
        <v>4032989018.7907419</v>
      </c>
    </row>
    <row r="464" spans="1:35" x14ac:dyDescent="0.55000000000000004">
      <c r="A464" s="1">
        <v>462</v>
      </c>
      <c r="B464" s="1" t="s">
        <v>20</v>
      </c>
      <c r="C464" s="1">
        <v>31</v>
      </c>
      <c r="D464" s="1">
        <v>1</v>
      </c>
      <c r="E464" s="1" t="s">
        <v>79</v>
      </c>
      <c r="F464" s="1" t="s">
        <v>80</v>
      </c>
      <c r="G464" s="1">
        <v>23</v>
      </c>
      <c r="H464" s="1">
        <v>2</v>
      </c>
      <c r="I464" s="1">
        <v>23010000</v>
      </c>
      <c r="J464" s="1">
        <v>572</v>
      </c>
      <c r="K464" s="1">
        <v>0</v>
      </c>
      <c r="L464" s="1">
        <v>12319</v>
      </c>
      <c r="M464" s="1">
        <v>12.392967000000001</v>
      </c>
      <c r="N464" s="1">
        <v>102.6026</v>
      </c>
      <c r="O464" s="1">
        <v>3.52</v>
      </c>
      <c r="P464" s="1">
        <v>0.56999999999999995</v>
      </c>
      <c r="Q464" s="1">
        <v>0.23</v>
      </c>
      <c r="R464" s="1">
        <v>0.22</v>
      </c>
      <c r="S464" s="1">
        <v>7.44</v>
      </c>
      <c r="T464" s="1">
        <v>1.02</v>
      </c>
      <c r="U464" s="1">
        <v>9.08</v>
      </c>
      <c r="V464" s="1">
        <v>5.84</v>
      </c>
      <c r="W464" s="1">
        <v>21.65</v>
      </c>
      <c r="X464" s="1">
        <v>37062.865071</v>
      </c>
      <c r="Y464" s="1">
        <v>66221689.3442</v>
      </c>
      <c r="Z464" t="str">
        <f>VLOOKUP(G464,'Code Pro'!$A$2:$B$9,2,FALSE)</f>
        <v>จ.ตราด</v>
      </c>
      <c r="AA464" s="8">
        <f t="shared" si="64"/>
        <v>233100346.491584</v>
      </c>
      <c r="AB464" s="8">
        <f t="shared" si="65"/>
        <v>37746362.926193997</v>
      </c>
      <c r="AC464" s="8">
        <f t="shared" si="66"/>
        <v>15230988.549166001</v>
      </c>
      <c r="AD464" s="8">
        <f t="shared" si="67"/>
        <v>14568771.655724</v>
      </c>
      <c r="AE464" s="8">
        <f t="shared" si="68"/>
        <v>492689368.72084802</v>
      </c>
      <c r="AF464" s="8">
        <f t="shared" si="69"/>
        <v>67546123.131083995</v>
      </c>
      <c r="AG464" s="8">
        <f t="shared" si="70"/>
        <v>601292939.24533606</v>
      </c>
      <c r="AH464" s="8">
        <f t="shared" si="71"/>
        <v>386734665.77012801</v>
      </c>
      <c r="AI464" s="8">
        <f t="shared" si="72"/>
        <v>1433699574.30193</v>
      </c>
    </row>
    <row r="465" spans="1:35" x14ac:dyDescent="0.55000000000000004">
      <c r="A465" s="1">
        <v>463</v>
      </c>
      <c r="B465" s="1" t="s">
        <v>20</v>
      </c>
      <c r="C465" s="1">
        <v>31</v>
      </c>
      <c r="D465" s="1">
        <v>1</v>
      </c>
      <c r="E465" s="1" t="s">
        <v>79</v>
      </c>
      <c r="F465" s="1" t="s">
        <v>80</v>
      </c>
      <c r="G465" s="1">
        <v>23</v>
      </c>
      <c r="H465" s="1">
        <v>2</v>
      </c>
      <c r="I465" s="1">
        <v>23010000</v>
      </c>
      <c r="J465" s="1">
        <v>573</v>
      </c>
      <c r="K465" s="1">
        <v>0</v>
      </c>
      <c r="L465" s="1">
        <v>12320</v>
      </c>
      <c r="M465" s="1">
        <v>12.392967000000001</v>
      </c>
      <c r="N465" s="1">
        <v>102.68574</v>
      </c>
      <c r="O465" s="1">
        <v>21.23</v>
      </c>
      <c r="P465" s="1">
        <v>2.25</v>
      </c>
      <c r="Q465" s="1">
        <v>0.01</v>
      </c>
      <c r="R465" s="1">
        <v>0.01</v>
      </c>
      <c r="S465" s="1">
        <v>0.24</v>
      </c>
      <c r="T465" s="1">
        <v>10.8</v>
      </c>
      <c r="U465" s="1">
        <v>2.2000000000000002</v>
      </c>
      <c r="V465" s="1">
        <v>3.46</v>
      </c>
      <c r="W465" s="1">
        <v>51.450001</v>
      </c>
      <c r="X465" s="1">
        <v>32793.065522999997</v>
      </c>
      <c r="Y465" s="1">
        <v>48352870.1774</v>
      </c>
      <c r="Z465" t="str">
        <f>VLOOKUP(G465,'Code Pro'!$A$2:$B$9,2,FALSE)</f>
        <v>จ.ตราด</v>
      </c>
      <c r="AA465" s="8">
        <f t="shared" si="64"/>
        <v>1026531433.866202</v>
      </c>
      <c r="AB465" s="8">
        <f t="shared" si="65"/>
        <v>108793957.89915</v>
      </c>
      <c r="AC465" s="8">
        <f t="shared" si="66"/>
        <v>483528.70177400002</v>
      </c>
      <c r="AD465" s="8">
        <f t="shared" si="67"/>
        <v>483528.70177400002</v>
      </c>
      <c r="AE465" s="8">
        <f t="shared" si="68"/>
        <v>11604688.842575999</v>
      </c>
      <c r="AF465" s="8">
        <f t="shared" si="69"/>
        <v>522210997.91592002</v>
      </c>
      <c r="AG465" s="8">
        <f t="shared" si="70"/>
        <v>106376314.39028001</v>
      </c>
      <c r="AH465" s="8">
        <f t="shared" si="71"/>
        <v>167300930.813804</v>
      </c>
      <c r="AI465" s="8">
        <f t="shared" si="72"/>
        <v>2487755218.9801002</v>
      </c>
    </row>
    <row r="466" spans="1:35" x14ac:dyDescent="0.55000000000000004">
      <c r="A466" s="1">
        <v>464</v>
      </c>
      <c r="B466" s="1" t="s">
        <v>20</v>
      </c>
      <c r="C466" s="1">
        <v>31</v>
      </c>
      <c r="D466" s="1">
        <v>1</v>
      </c>
      <c r="E466" s="1" t="s">
        <v>79</v>
      </c>
      <c r="F466" s="1" t="s">
        <v>80</v>
      </c>
      <c r="G466" s="1">
        <v>23</v>
      </c>
      <c r="H466" s="1">
        <v>2</v>
      </c>
      <c r="I466" s="1">
        <v>23010000</v>
      </c>
      <c r="J466" s="1">
        <v>577</v>
      </c>
      <c r="K466" s="1">
        <v>0</v>
      </c>
      <c r="L466" s="1">
        <v>12321</v>
      </c>
      <c r="M466" s="1">
        <v>12.392967000000001</v>
      </c>
      <c r="N466" s="1">
        <v>102.76887000000001</v>
      </c>
      <c r="O466" s="1">
        <v>84.660004000000001</v>
      </c>
      <c r="P466" s="1">
        <v>2.64</v>
      </c>
      <c r="Q466" s="1">
        <v>0.01</v>
      </c>
      <c r="R466" s="1">
        <v>0.02</v>
      </c>
      <c r="S466" s="1">
        <v>2.2000000000000002</v>
      </c>
      <c r="T466" s="1">
        <v>42.099997999999999</v>
      </c>
      <c r="U466" s="1">
        <v>3.85</v>
      </c>
      <c r="V466" s="1">
        <v>1.07</v>
      </c>
      <c r="W466" s="1">
        <v>30.709999</v>
      </c>
      <c r="X466" s="1">
        <v>24620.953161000001</v>
      </c>
      <c r="Y466" s="1">
        <v>22674098.164000001</v>
      </c>
      <c r="Z466" t="str">
        <f>VLOOKUP(G466,'Code Pro'!$A$2:$B$9,2,FALSE)</f>
        <v>จ.ตราด</v>
      </c>
      <c r="AA466" s="8">
        <f t="shared" si="64"/>
        <v>1919589241.2606328</v>
      </c>
      <c r="AB466" s="8">
        <f t="shared" si="65"/>
        <v>59859619.152960002</v>
      </c>
      <c r="AC466" s="8">
        <f t="shared" si="66"/>
        <v>226740.98164000001</v>
      </c>
      <c r="AD466" s="8">
        <f t="shared" si="67"/>
        <v>453481.96328000003</v>
      </c>
      <c r="AE466" s="8">
        <f t="shared" si="68"/>
        <v>49883015.960800007</v>
      </c>
      <c r="AF466" s="8">
        <f t="shared" si="69"/>
        <v>954579487.35620368</v>
      </c>
      <c r="AG466" s="8">
        <f t="shared" si="70"/>
        <v>87295277.931400001</v>
      </c>
      <c r="AH466" s="8">
        <f t="shared" si="71"/>
        <v>24261285.035480004</v>
      </c>
      <c r="AI466" s="8">
        <f t="shared" si="72"/>
        <v>696321531.9423418</v>
      </c>
    </row>
    <row r="467" spans="1:35" x14ac:dyDescent="0.55000000000000004">
      <c r="A467" s="1">
        <v>465</v>
      </c>
      <c r="B467" s="1" t="s">
        <v>20</v>
      </c>
      <c r="C467" s="1">
        <v>31</v>
      </c>
      <c r="D467" s="1">
        <v>1</v>
      </c>
      <c r="E467" s="1" t="s">
        <v>79</v>
      </c>
      <c r="F467" s="1" t="s">
        <v>80</v>
      </c>
      <c r="G467" s="1">
        <v>23</v>
      </c>
      <c r="H467" s="1">
        <v>2</v>
      </c>
      <c r="I467" s="1">
        <v>23010000</v>
      </c>
      <c r="J467" s="1">
        <v>578</v>
      </c>
      <c r="K467" s="1">
        <v>0</v>
      </c>
      <c r="L467" s="1">
        <v>12441</v>
      </c>
      <c r="M467" s="1">
        <v>12.474159</v>
      </c>
      <c r="N467" s="1">
        <v>102.76887000000001</v>
      </c>
      <c r="O467" s="1">
        <v>33.849997999999999</v>
      </c>
      <c r="P467" s="1">
        <v>0.4</v>
      </c>
      <c r="Q467" s="1">
        <v>0</v>
      </c>
      <c r="R467" s="1">
        <v>0</v>
      </c>
      <c r="S467" s="1">
        <v>5.96</v>
      </c>
      <c r="T467" s="1">
        <v>56.860000999999997</v>
      </c>
      <c r="U467" s="1">
        <v>2.67</v>
      </c>
      <c r="V467" s="1">
        <v>0.72</v>
      </c>
      <c r="W467" s="1">
        <v>28.33</v>
      </c>
      <c r="X467" s="1">
        <v>939.32201099999997</v>
      </c>
      <c r="Y467" s="1">
        <v>45114.007748000004</v>
      </c>
      <c r="Z467" t="str">
        <f>VLOOKUP(G467,'Code Pro'!$A$2:$B$9,2,FALSE)</f>
        <v>จ.ตราด</v>
      </c>
      <c r="AA467" s="8">
        <f t="shared" si="64"/>
        <v>1527109.0720417846</v>
      </c>
      <c r="AB467" s="8">
        <f t="shared" si="65"/>
        <v>18045.603099200001</v>
      </c>
      <c r="AC467" s="8">
        <f t="shared" si="66"/>
        <v>0</v>
      </c>
      <c r="AD467" s="8">
        <f t="shared" si="67"/>
        <v>0</v>
      </c>
      <c r="AE467" s="8">
        <f t="shared" si="68"/>
        <v>268879.48617808003</v>
      </c>
      <c r="AF467" s="8">
        <f t="shared" si="69"/>
        <v>2565182.5256652879</v>
      </c>
      <c r="AG467" s="8">
        <f t="shared" si="70"/>
        <v>120454.40068716</v>
      </c>
      <c r="AH467" s="8">
        <f t="shared" si="71"/>
        <v>32482.08557856</v>
      </c>
      <c r="AI467" s="8">
        <f t="shared" si="72"/>
        <v>1278079.8395008401</v>
      </c>
    </row>
    <row r="468" spans="1:35" x14ac:dyDescent="0.55000000000000004">
      <c r="A468" s="1">
        <v>466</v>
      </c>
      <c r="B468" s="1" t="s">
        <v>20</v>
      </c>
      <c r="C468" s="1">
        <v>31</v>
      </c>
      <c r="D468" s="1">
        <v>1</v>
      </c>
      <c r="E468" s="1" t="s">
        <v>79</v>
      </c>
      <c r="F468" s="1" t="s">
        <v>80</v>
      </c>
      <c r="G468" s="1">
        <v>23</v>
      </c>
      <c r="H468" s="1">
        <v>2</v>
      </c>
      <c r="I468" s="1">
        <v>23010000</v>
      </c>
      <c r="J468" s="1">
        <v>584</v>
      </c>
      <c r="K468" s="1">
        <v>0</v>
      </c>
      <c r="L468" s="1">
        <v>12439</v>
      </c>
      <c r="M468" s="1">
        <v>12.474159</v>
      </c>
      <c r="N468" s="1">
        <v>102.6026</v>
      </c>
      <c r="O468" s="1">
        <v>10.59</v>
      </c>
      <c r="P468" s="1">
        <v>0.21</v>
      </c>
      <c r="Q468" s="1">
        <v>0.04</v>
      </c>
      <c r="R468" s="1">
        <v>0.12</v>
      </c>
      <c r="S468" s="1">
        <v>0.48</v>
      </c>
      <c r="T468" s="1">
        <v>2.33</v>
      </c>
      <c r="U468" s="1">
        <v>7.34</v>
      </c>
      <c r="V468" s="1">
        <v>3.18</v>
      </c>
      <c r="W468" s="1">
        <v>34.939999</v>
      </c>
      <c r="X468" s="1">
        <v>17272.487666000001</v>
      </c>
      <c r="Y468" s="1">
        <v>9957669.0098700002</v>
      </c>
      <c r="Z468" t="str">
        <f>VLOOKUP(G468,'Code Pro'!$A$2:$B$9,2,FALSE)</f>
        <v>จ.ตราด</v>
      </c>
      <c r="AA468" s="8">
        <f t="shared" si="64"/>
        <v>105451714.81452329</v>
      </c>
      <c r="AB468" s="8">
        <f t="shared" si="65"/>
        <v>2091110.4920727001</v>
      </c>
      <c r="AC468" s="8">
        <f t="shared" si="66"/>
        <v>398306.76039479999</v>
      </c>
      <c r="AD468" s="8">
        <f t="shared" si="67"/>
        <v>1194920.2811844</v>
      </c>
      <c r="AE468" s="8">
        <f t="shared" si="68"/>
        <v>4779681.1247375999</v>
      </c>
      <c r="AF468" s="8">
        <f t="shared" si="69"/>
        <v>23201368.792997099</v>
      </c>
      <c r="AG468" s="8">
        <f t="shared" si="70"/>
        <v>73089290.532445803</v>
      </c>
      <c r="AH468" s="8">
        <f t="shared" si="71"/>
        <v>31665387.451386601</v>
      </c>
      <c r="AI468" s="8">
        <f t="shared" si="72"/>
        <v>347920945.24718881</v>
      </c>
    </row>
    <row r="469" spans="1:35" x14ac:dyDescent="0.55000000000000004">
      <c r="A469" s="1">
        <v>467</v>
      </c>
      <c r="B469" s="1" t="s">
        <v>20</v>
      </c>
      <c r="C469" s="1">
        <v>32</v>
      </c>
      <c r="D469" s="1">
        <v>2</v>
      </c>
      <c r="E469" s="1" t="s">
        <v>81</v>
      </c>
      <c r="F469" s="1" t="s">
        <v>82</v>
      </c>
      <c r="G469" s="1">
        <v>23</v>
      </c>
      <c r="H469" s="1">
        <v>2</v>
      </c>
      <c r="I469" s="1">
        <v>23020000</v>
      </c>
      <c r="J469" s="1">
        <v>411</v>
      </c>
      <c r="K469" s="1">
        <v>0</v>
      </c>
      <c r="L469" s="1">
        <v>11362</v>
      </c>
      <c r="M469" s="1">
        <v>11.742577000000001</v>
      </c>
      <c r="N469" s="1">
        <v>102.85200500000001</v>
      </c>
      <c r="O469" s="1">
        <v>0</v>
      </c>
      <c r="P469" s="1">
        <v>0.79</v>
      </c>
      <c r="Q469" s="1">
        <v>0.3</v>
      </c>
      <c r="R469" s="1">
        <v>0.23</v>
      </c>
      <c r="S469" s="1">
        <v>0.05</v>
      </c>
      <c r="T469" s="1">
        <v>0</v>
      </c>
      <c r="U469" s="1">
        <v>0.75</v>
      </c>
      <c r="V469" s="1">
        <v>13.83</v>
      </c>
      <c r="W469" s="1">
        <v>16.450001</v>
      </c>
      <c r="X469" s="1">
        <v>10691.909339</v>
      </c>
      <c r="Y469" s="1">
        <v>3732143.9732599999</v>
      </c>
      <c r="Z469" t="str">
        <f>VLOOKUP(G469,'Code Pro'!$A$2:$B$9,2,FALSE)</f>
        <v>จ.ตราด</v>
      </c>
      <c r="AA469" s="8">
        <f t="shared" si="64"/>
        <v>0</v>
      </c>
      <c r="AB469" s="8">
        <f t="shared" si="65"/>
        <v>2948393.7388753998</v>
      </c>
      <c r="AC469" s="8">
        <f t="shared" si="66"/>
        <v>1119643.1919779999</v>
      </c>
      <c r="AD469" s="8">
        <f t="shared" si="67"/>
        <v>858393.11384979996</v>
      </c>
      <c r="AE469" s="8">
        <f t="shared" si="68"/>
        <v>186607.19866300002</v>
      </c>
      <c r="AF469" s="8">
        <f t="shared" si="69"/>
        <v>0</v>
      </c>
      <c r="AG469" s="8">
        <f t="shared" si="70"/>
        <v>2799107.9799449998</v>
      </c>
      <c r="AH469" s="8">
        <f t="shared" si="71"/>
        <v>51615551.150185801</v>
      </c>
      <c r="AI469" s="8">
        <f t="shared" si="72"/>
        <v>61393772.09227097</v>
      </c>
    </row>
    <row r="470" spans="1:35" x14ac:dyDescent="0.55000000000000004">
      <c r="A470" s="1">
        <v>468</v>
      </c>
      <c r="B470" s="1" t="s">
        <v>20</v>
      </c>
      <c r="C470" s="1">
        <v>32</v>
      </c>
      <c r="D470" s="1">
        <v>2</v>
      </c>
      <c r="E470" s="1" t="s">
        <v>81</v>
      </c>
      <c r="F470" s="1" t="s">
        <v>82</v>
      </c>
      <c r="G470" s="1">
        <v>23</v>
      </c>
      <c r="H470" s="1">
        <v>2</v>
      </c>
      <c r="I470" s="1">
        <v>23020000</v>
      </c>
      <c r="J470" s="1">
        <v>412</v>
      </c>
      <c r="K470" s="1">
        <v>0</v>
      </c>
      <c r="L470" s="1">
        <v>11482</v>
      </c>
      <c r="M470" s="1">
        <v>11.823959</v>
      </c>
      <c r="N470" s="1">
        <v>102.85200500000001</v>
      </c>
      <c r="O470" s="1">
        <v>0</v>
      </c>
      <c r="P470" s="1">
        <v>0.04</v>
      </c>
      <c r="Q470" s="1">
        <v>0.49</v>
      </c>
      <c r="R470" s="1">
        <v>0</v>
      </c>
      <c r="S470" s="1">
        <v>0.33</v>
      </c>
      <c r="T470" s="1">
        <v>0</v>
      </c>
      <c r="U470" s="1">
        <v>1.55</v>
      </c>
      <c r="V470" s="1">
        <v>19.309999000000001</v>
      </c>
      <c r="W470" s="1">
        <v>10.19</v>
      </c>
      <c r="X470" s="1">
        <v>29448.263599000002</v>
      </c>
      <c r="Y470" s="1">
        <v>16012567.203400001</v>
      </c>
      <c r="Z470" t="str">
        <f>VLOOKUP(G470,'Code Pro'!$A$2:$B$9,2,FALSE)</f>
        <v>จ.ตราด</v>
      </c>
      <c r="AA470" s="8">
        <f t="shared" si="64"/>
        <v>0</v>
      </c>
      <c r="AB470" s="8">
        <f t="shared" si="65"/>
        <v>640502.68813600007</v>
      </c>
      <c r="AC470" s="8">
        <f t="shared" si="66"/>
        <v>7846157.9296660004</v>
      </c>
      <c r="AD470" s="8">
        <f t="shared" si="67"/>
        <v>0</v>
      </c>
      <c r="AE470" s="8">
        <f t="shared" si="68"/>
        <v>5284147.1771220006</v>
      </c>
      <c r="AF470" s="8">
        <f t="shared" si="69"/>
        <v>0</v>
      </c>
      <c r="AG470" s="8">
        <f t="shared" si="70"/>
        <v>24819479.165270001</v>
      </c>
      <c r="AH470" s="8">
        <f t="shared" si="71"/>
        <v>309202656.68508685</v>
      </c>
      <c r="AI470" s="8">
        <f t="shared" si="72"/>
        <v>163168059.80264601</v>
      </c>
    </row>
    <row r="471" spans="1:35" x14ac:dyDescent="0.55000000000000004">
      <c r="A471" s="1">
        <v>469</v>
      </c>
      <c r="B471" s="1" t="s">
        <v>20</v>
      </c>
      <c r="C471" s="1">
        <v>32</v>
      </c>
      <c r="D471" s="1">
        <v>2</v>
      </c>
      <c r="E471" s="1" t="s">
        <v>81</v>
      </c>
      <c r="F471" s="1" t="s">
        <v>82</v>
      </c>
      <c r="G471" s="1">
        <v>23</v>
      </c>
      <c r="H471" s="1">
        <v>2</v>
      </c>
      <c r="I471" s="1">
        <v>23020000</v>
      </c>
      <c r="J471" s="1">
        <v>424</v>
      </c>
      <c r="K471" s="1">
        <v>0</v>
      </c>
      <c r="L471" s="1">
        <v>11243</v>
      </c>
      <c r="M471" s="1">
        <v>11.661171</v>
      </c>
      <c r="N471" s="1">
        <v>102.93514</v>
      </c>
      <c r="O471" s="1">
        <v>0</v>
      </c>
      <c r="P471" s="1">
        <v>0.76</v>
      </c>
      <c r="Q471" s="1">
        <v>0</v>
      </c>
      <c r="R471" s="1">
        <v>0</v>
      </c>
      <c r="S471" s="1">
        <v>3.39</v>
      </c>
      <c r="T471" s="1">
        <v>0</v>
      </c>
      <c r="U471" s="1">
        <v>2.48</v>
      </c>
      <c r="V471" s="1">
        <v>82</v>
      </c>
      <c r="W471" s="1">
        <v>12.27</v>
      </c>
      <c r="X471" s="1">
        <v>13189.304093999999</v>
      </c>
      <c r="Y471" s="1">
        <v>5093555.8670899998</v>
      </c>
      <c r="Z471" t="str">
        <f>VLOOKUP(G471,'Code Pro'!$A$2:$B$9,2,FALSE)</f>
        <v>จ.ตราด</v>
      </c>
      <c r="AA471" s="8">
        <f t="shared" si="64"/>
        <v>0</v>
      </c>
      <c r="AB471" s="8">
        <f t="shared" si="65"/>
        <v>3871102.4589883997</v>
      </c>
      <c r="AC471" s="8">
        <f t="shared" si="66"/>
        <v>0</v>
      </c>
      <c r="AD471" s="8">
        <f t="shared" si="67"/>
        <v>0</v>
      </c>
      <c r="AE471" s="8">
        <f t="shared" si="68"/>
        <v>17267154.389435101</v>
      </c>
      <c r="AF471" s="8">
        <f t="shared" si="69"/>
        <v>0</v>
      </c>
      <c r="AG471" s="8">
        <f t="shared" si="70"/>
        <v>12632018.550383199</v>
      </c>
      <c r="AH471" s="8">
        <f t="shared" si="71"/>
        <v>417671581.10137999</v>
      </c>
      <c r="AI471" s="8">
        <f t="shared" si="72"/>
        <v>62497930.489194296</v>
      </c>
    </row>
    <row r="472" spans="1:35" x14ac:dyDescent="0.55000000000000004">
      <c r="A472" s="1">
        <v>470</v>
      </c>
      <c r="B472" s="1" t="s">
        <v>20</v>
      </c>
      <c r="C472" s="1">
        <v>32</v>
      </c>
      <c r="D472" s="1">
        <v>2</v>
      </c>
      <c r="E472" s="1" t="s">
        <v>81</v>
      </c>
      <c r="F472" s="1" t="s">
        <v>82</v>
      </c>
      <c r="G472" s="1">
        <v>23</v>
      </c>
      <c r="H472" s="1">
        <v>2</v>
      </c>
      <c r="I472" s="1">
        <v>23020000</v>
      </c>
      <c r="J472" s="1">
        <v>426</v>
      </c>
      <c r="K472" s="1">
        <v>0</v>
      </c>
      <c r="L472" s="1">
        <v>11363</v>
      </c>
      <c r="M472" s="1">
        <v>11.742577000000001</v>
      </c>
      <c r="N472" s="1">
        <v>102.93514</v>
      </c>
      <c r="O472" s="1">
        <v>0.01</v>
      </c>
      <c r="P472" s="1">
        <v>1.17</v>
      </c>
      <c r="Q472" s="1">
        <v>0</v>
      </c>
      <c r="R472" s="1">
        <v>0</v>
      </c>
      <c r="S472" s="1">
        <v>1.04</v>
      </c>
      <c r="T472" s="1">
        <v>0.03</v>
      </c>
      <c r="U472" s="1">
        <v>2.33</v>
      </c>
      <c r="V472" s="1">
        <v>29.530000999999999</v>
      </c>
      <c r="W472" s="1">
        <v>32.549999</v>
      </c>
      <c r="X472" s="1">
        <v>20371.931193</v>
      </c>
      <c r="Y472" s="1">
        <v>9050199.7700399999</v>
      </c>
      <c r="Z472" t="str">
        <f>VLOOKUP(G472,'Code Pro'!$A$2:$B$9,2,FALSE)</f>
        <v>จ.ตราด</v>
      </c>
      <c r="AA472" s="8">
        <f t="shared" si="64"/>
        <v>90501.997700399996</v>
      </c>
      <c r="AB472" s="8">
        <f t="shared" si="65"/>
        <v>10588733.7309468</v>
      </c>
      <c r="AC472" s="8">
        <f t="shared" si="66"/>
        <v>0</v>
      </c>
      <c r="AD472" s="8">
        <f t="shared" si="67"/>
        <v>0</v>
      </c>
      <c r="AE472" s="8">
        <f t="shared" si="68"/>
        <v>9412207.7608416006</v>
      </c>
      <c r="AF472" s="8">
        <f t="shared" si="69"/>
        <v>271505.99310119997</v>
      </c>
      <c r="AG472" s="8">
        <f t="shared" si="70"/>
        <v>21086965.464193199</v>
      </c>
      <c r="AH472" s="8">
        <f t="shared" si="71"/>
        <v>267252408.25948095</v>
      </c>
      <c r="AI472" s="8">
        <f t="shared" si="72"/>
        <v>294583993.46460223</v>
      </c>
    </row>
    <row r="473" spans="1:35" x14ac:dyDescent="0.55000000000000004">
      <c r="A473" s="1">
        <v>471</v>
      </c>
      <c r="B473" s="1" t="s">
        <v>20</v>
      </c>
      <c r="C473" s="1">
        <v>32</v>
      </c>
      <c r="D473" s="1">
        <v>2</v>
      </c>
      <c r="E473" s="1" t="s">
        <v>81</v>
      </c>
      <c r="F473" s="1" t="s">
        <v>82</v>
      </c>
      <c r="G473" s="1">
        <v>23</v>
      </c>
      <c r="H473" s="1">
        <v>2</v>
      </c>
      <c r="I473" s="1">
        <v>23020000</v>
      </c>
      <c r="J473" s="1">
        <v>428</v>
      </c>
      <c r="K473" s="1">
        <v>0</v>
      </c>
      <c r="L473" s="1">
        <v>11483</v>
      </c>
      <c r="M473" s="1">
        <v>11.823959</v>
      </c>
      <c r="N473" s="1">
        <v>102.93514</v>
      </c>
      <c r="O473" s="1">
        <v>0.01</v>
      </c>
      <c r="P473" s="1">
        <v>0</v>
      </c>
      <c r="Q473" s="1">
        <v>0.01</v>
      </c>
      <c r="R473" s="1">
        <v>0</v>
      </c>
      <c r="S473" s="1">
        <v>6.58</v>
      </c>
      <c r="T473" s="1">
        <v>0.62</v>
      </c>
      <c r="U473" s="1">
        <v>5.85</v>
      </c>
      <c r="V473" s="1">
        <v>25.530000999999999</v>
      </c>
      <c r="W473" s="1">
        <v>30.959999</v>
      </c>
      <c r="X473" s="1">
        <v>194.74930499999999</v>
      </c>
      <c r="Y473" s="1">
        <v>1312.989832</v>
      </c>
      <c r="Z473" t="str">
        <f>VLOOKUP(G473,'Code Pro'!$A$2:$B$9,2,FALSE)</f>
        <v>จ.ตราด</v>
      </c>
      <c r="AA473" s="8">
        <f t="shared" si="64"/>
        <v>13.129898320000001</v>
      </c>
      <c r="AB473" s="8">
        <f t="shared" si="65"/>
        <v>0</v>
      </c>
      <c r="AC473" s="8">
        <f t="shared" si="66"/>
        <v>13.129898320000001</v>
      </c>
      <c r="AD473" s="8">
        <f t="shared" si="67"/>
        <v>0</v>
      </c>
      <c r="AE473" s="8">
        <f t="shared" si="68"/>
        <v>8639.4730945600004</v>
      </c>
      <c r="AF473" s="8">
        <f t="shared" si="69"/>
        <v>814.05369583999993</v>
      </c>
      <c r="AG473" s="8">
        <f t="shared" si="70"/>
        <v>7680.990517199999</v>
      </c>
      <c r="AH473" s="8">
        <f t="shared" si="71"/>
        <v>33520.631723949831</v>
      </c>
      <c r="AI473" s="8">
        <f t="shared" si="72"/>
        <v>40650.163885730166</v>
      </c>
    </row>
    <row r="474" spans="1:35" x14ac:dyDescent="0.55000000000000004">
      <c r="A474" s="1">
        <v>472</v>
      </c>
      <c r="B474" s="1" t="s">
        <v>20</v>
      </c>
      <c r="C474" s="1">
        <v>32</v>
      </c>
      <c r="D474" s="1">
        <v>2</v>
      </c>
      <c r="E474" s="1" t="s">
        <v>81</v>
      </c>
      <c r="F474" s="1" t="s">
        <v>82</v>
      </c>
      <c r="G474" s="1">
        <v>23</v>
      </c>
      <c r="H474" s="1">
        <v>2</v>
      </c>
      <c r="I474" s="1">
        <v>23020000</v>
      </c>
      <c r="J474" s="1">
        <v>449</v>
      </c>
      <c r="K474" s="1">
        <v>0</v>
      </c>
      <c r="L474" s="1">
        <v>11601</v>
      </c>
      <c r="M474" s="1">
        <v>11.905327</v>
      </c>
      <c r="N474" s="1">
        <v>102.76887000000001</v>
      </c>
      <c r="O474" s="1">
        <v>8.2200000000000006</v>
      </c>
      <c r="P474" s="1">
        <v>0.34</v>
      </c>
      <c r="Q474" s="1">
        <v>0.4</v>
      </c>
      <c r="R474" s="1">
        <v>0.22</v>
      </c>
      <c r="S474" s="1">
        <v>0.14000000000000001</v>
      </c>
      <c r="T474" s="1">
        <v>0</v>
      </c>
      <c r="U474" s="1">
        <v>4.07</v>
      </c>
      <c r="V474" s="1">
        <v>52.830002</v>
      </c>
      <c r="W474" s="1">
        <v>3.65</v>
      </c>
      <c r="X474" s="1">
        <v>23597.204882000002</v>
      </c>
      <c r="Y474" s="1">
        <v>23347410.766600002</v>
      </c>
      <c r="Z474" t="str">
        <f>VLOOKUP(G474,'Code Pro'!$A$2:$B$9,2,FALSE)</f>
        <v>จ.ตราด</v>
      </c>
      <c r="AA474" s="8">
        <f t="shared" si="64"/>
        <v>191915716.50145203</v>
      </c>
      <c r="AB474" s="8">
        <f t="shared" si="65"/>
        <v>7938119.6606440013</v>
      </c>
      <c r="AC474" s="8">
        <f t="shared" si="66"/>
        <v>9338964.306640001</v>
      </c>
      <c r="AD474" s="8">
        <f t="shared" si="67"/>
        <v>5136430.3686520001</v>
      </c>
      <c r="AE474" s="8">
        <f t="shared" si="68"/>
        <v>3268637.5073240004</v>
      </c>
      <c r="AF474" s="8">
        <f t="shared" si="69"/>
        <v>0</v>
      </c>
      <c r="AG474" s="8">
        <f t="shared" si="70"/>
        <v>95023961.820062011</v>
      </c>
      <c r="AH474" s="8">
        <f t="shared" si="71"/>
        <v>1233443757.4942997</v>
      </c>
      <c r="AI474" s="8">
        <f t="shared" si="72"/>
        <v>85218049.298090011</v>
      </c>
    </row>
    <row r="475" spans="1:35" x14ac:dyDescent="0.55000000000000004">
      <c r="A475" s="1">
        <v>473</v>
      </c>
      <c r="B475" s="1" t="s">
        <v>20</v>
      </c>
      <c r="C475" s="1">
        <v>32</v>
      </c>
      <c r="D475" s="1">
        <v>2</v>
      </c>
      <c r="E475" s="1" t="s">
        <v>81</v>
      </c>
      <c r="F475" s="1" t="s">
        <v>82</v>
      </c>
      <c r="G475" s="1">
        <v>23</v>
      </c>
      <c r="H475" s="1">
        <v>2</v>
      </c>
      <c r="I475" s="1">
        <v>23020000</v>
      </c>
      <c r="J475" s="1">
        <v>450</v>
      </c>
      <c r="K475" s="1">
        <v>0</v>
      </c>
      <c r="L475" s="1">
        <v>11602</v>
      </c>
      <c r="M475" s="1">
        <v>11.905327</v>
      </c>
      <c r="N475" s="1">
        <v>102.85200500000001</v>
      </c>
      <c r="O475" s="1">
        <v>0.25</v>
      </c>
      <c r="P475" s="1">
        <v>0.17</v>
      </c>
      <c r="Q475" s="1">
        <v>0.04</v>
      </c>
      <c r="R475" s="1">
        <v>0.05</v>
      </c>
      <c r="S475" s="1">
        <v>0.54</v>
      </c>
      <c r="T475" s="1">
        <v>0.15</v>
      </c>
      <c r="U475" s="1">
        <v>2.58</v>
      </c>
      <c r="V475" s="1">
        <v>47.720001000000003</v>
      </c>
      <c r="W475" s="1">
        <v>7.27</v>
      </c>
      <c r="X475" s="1">
        <v>20224.879090999999</v>
      </c>
      <c r="Y475" s="1">
        <v>8839657.4229799993</v>
      </c>
      <c r="Z475" t="str">
        <f>VLOOKUP(G475,'Code Pro'!$A$2:$B$9,2,FALSE)</f>
        <v>จ.ตราด</v>
      </c>
      <c r="AA475" s="8">
        <f t="shared" si="64"/>
        <v>2209914.3557449998</v>
      </c>
      <c r="AB475" s="8">
        <f t="shared" si="65"/>
        <v>1502741.7619066001</v>
      </c>
      <c r="AC475" s="8">
        <f t="shared" si="66"/>
        <v>353586.29691919999</v>
      </c>
      <c r="AD475" s="8">
        <f t="shared" si="67"/>
        <v>441982.87114900001</v>
      </c>
      <c r="AE475" s="8">
        <f t="shared" si="68"/>
        <v>4773415.0084092002</v>
      </c>
      <c r="AF475" s="8">
        <f t="shared" si="69"/>
        <v>1325948.6134469998</v>
      </c>
      <c r="AG475" s="8">
        <f t="shared" si="70"/>
        <v>22806316.151288398</v>
      </c>
      <c r="AH475" s="8">
        <f t="shared" si="71"/>
        <v>421828461.06426305</v>
      </c>
      <c r="AI475" s="8">
        <f t="shared" si="72"/>
        <v>64264309.465064593</v>
      </c>
    </row>
    <row r="476" spans="1:35" x14ac:dyDescent="0.55000000000000004">
      <c r="A476" s="1">
        <v>474</v>
      </c>
      <c r="B476" s="1" t="s">
        <v>20</v>
      </c>
      <c r="C476" s="1">
        <v>32</v>
      </c>
      <c r="D476" s="1">
        <v>2</v>
      </c>
      <c r="E476" s="1" t="s">
        <v>81</v>
      </c>
      <c r="F476" s="1" t="s">
        <v>82</v>
      </c>
      <c r="G476" s="1">
        <v>23</v>
      </c>
      <c r="H476" s="1">
        <v>2</v>
      </c>
      <c r="I476" s="1">
        <v>23020000</v>
      </c>
      <c r="J476" s="1">
        <v>452</v>
      </c>
      <c r="K476" s="1">
        <v>0</v>
      </c>
      <c r="L476" s="1">
        <v>11721</v>
      </c>
      <c r="M476" s="1">
        <v>11.986656</v>
      </c>
      <c r="N476" s="1">
        <v>102.76887000000001</v>
      </c>
      <c r="O476" s="1">
        <v>0.45</v>
      </c>
      <c r="P476" s="1">
        <v>1.22</v>
      </c>
      <c r="Q476" s="1">
        <v>7.0000000000000007E-2</v>
      </c>
      <c r="R476" s="1">
        <v>0</v>
      </c>
      <c r="S476" s="1">
        <v>0.01</v>
      </c>
      <c r="T476" s="1">
        <v>0.75</v>
      </c>
      <c r="U476" s="1">
        <v>16</v>
      </c>
      <c r="V476" s="1">
        <v>36.700001</v>
      </c>
      <c r="W476" s="1">
        <v>12.85</v>
      </c>
      <c r="X476" s="1">
        <v>18931.838446000002</v>
      </c>
      <c r="Y476" s="1">
        <v>7110431.5175700001</v>
      </c>
      <c r="Z476" t="str">
        <f>VLOOKUP(G476,'Code Pro'!$A$2:$B$9,2,FALSE)</f>
        <v>จ.ตราด</v>
      </c>
      <c r="AA476" s="8">
        <f t="shared" si="64"/>
        <v>3199694.1829065001</v>
      </c>
      <c r="AB476" s="8">
        <f t="shared" si="65"/>
        <v>8674726.4514354002</v>
      </c>
      <c r="AC476" s="8">
        <f t="shared" si="66"/>
        <v>497730.20622990007</v>
      </c>
      <c r="AD476" s="8">
        <f t="shared" si="67"/>
        <v>0</v>
      </c>
      <c r="AE476" s="8">
        <f t="shared" si="68"/>
        <v>71104.315175700001</v>
      </c>
      <c r="AF476" s="8">
        <f t="shared" si="69"/>
        <v>5332823.6381775001</v>
      </c>
      <c r="AG476" s="8">
        <f t="shared" si="70"/>
        <v>113766904.28112</v>
      </c>
      <c r="AH476" s="8">
        <f t="shared" si="71"/>
        <v>260952843.80525053</v>
      </c>
      <c r="AI476" s="8">
        <f t="shared" si="72"/>
        <v>91369045.000774503</v>
      </c>
    </row>
    <row r="477" spans="1:35" x14ac:dyDescent="0.55000000000000004">
      <c r="A477" s="1">
        <v>475</v>
      </c>
      <c r="B477" s="1" t="s">
        <v>20</v>
      </c>
      <c r="C477" s="1">
        <v>33</v>
      </c>
      <c r="D477" s="1">
        <v>3</v>
      </c>
      <c r="E477" s="1" t="s">
        <v>83</v>
      </c>
      <c r="F477" s="1" t="s">
        <v>84</v>
      </c>
      <c r="G477" s="1">
        <v>23</v>
      </c>
      <c r="H477" s="1">
        <v>2</v>
      </c>
      <c r="I477" s="1">
        <v>23030000</v>
      </c>
      <c r="J477" s="1">
        <v>369</v>
      </c>
      <c r="K477" s="1">
        <v>0</v>
      </c>
      <c r="L477" s="1">
        <v>12075</v>
      </c>
      <c r="M477" s="1">
        <v>12.230515</v>
      </c>
      <c r="N477" s="1">
        <v>102.27006</v>
      </c>
      <c r="O477" s="1">
        <v>0.13</v>
      </c>
      <c r="P477" s="1">
        <v>0.03</v>
      </c>
      <c r="Q477" s="1">
        <v>0.1</v>
      </c>
      <c r="R477" s="1">
        <v>0.02</v>
      </c>
      <c r="S477" s="1">
        <v>4.74</v>
      </c>
      <c r="T477" s="1">
        <v>0</v>
      </c>
      <c r="U477" s="1">
        <v>7.48</v>
      </c>
      <c r="V477" s="1">
        <v>29.950001</v>
      </c>
      <c r="W477" s="1">
        <v>56.400002000000001</v>
      </c>
      <c r="X477" s="1">
        <v>4850.6542049999998</v>
      </c>
      <c r="Y477" s="1">
        <v>913368.68909999996</v>
      </c>
      <c r="Z477" t="str">
        <f>VLOOKUP(G477,'Code Pro'!$A$2:$B$9,2,FALSE)</f>
        <v>จ.ตราด</v>
      </c>
      <c r="AA477" s="8">
        <f t="shared" si="64"/>
        <v>118737.929583</v>
      </c>
      <c r="AB477" s="8">
        <f t="shared" si="65"/>
        <v>27401.060672999996</v>
      </c>
      <c r="AC477" s="8">
        <f t="shared" si="66"/>
        <v>91336.868910000005</v>
      </c>
      <c r="AD477" s="8">
        <f t="shared" si="67"/>
        <v>18267.373781999999</v>
      </c>
      <c r="AE477" s="8">
        <f t="shared" si="68"/>
        <v>4329367.5863340003</v>
      </c>
      <c r="AF477" s="8">
        <f t="shared" si="69"/>
        <v>0</v>
      </c>
      <c r="AG477" s="8">
        <f t="shared" si="70"/>
        <v>6831997.7944680005</v>
      </c>
      <c r="AH477" s="8">
        <f t="shared" si="71"/>
        <v>27355393.151913688</v>
      </c>
      <c r="AI477" s="8">
        <f t="shared" si="72"/>
        <v>51513995.891977377</v>
      </c>
    </row>
    <row r="478" spans="1:35" x14ac:dyDescent="0.55000000000000004">
      <c r="A478" s="1">
        <v>476</v>
      </c>
      <c r="B478" s="1" t="s">
        <v>20</v>
      </c>
      <c r="C478" s="1">
        <v>33</v>
      </c>
      <c r="D478" s="1">
        <v>3</v>
      </c>
      <c r="E478" s="1" t="s">
        <v>83</v>
      </c>
      <c r="F478" s="1" t="s">
        <v>84</v>
      </c>
      <c r="G478" s="1">
        <v>23</v>
      </c>
      <c r="H478" s="1">
        <v>2</v>
      </c>
      <c r="I478" s="1">
        <v>23030000</v>
      </c>
      <c r="J478" s="1">
        <v>381</v>
      </c>
      <c r="K478" s="1">
        <v>0</v>
      </c>
      <c r="L478" s="1">
        <v>12076</v>
      </c>
      <c r="M478" s="1">
        <v>12.230515</v>
      </c>
      <c r="N478" s="1">
        <v>102.35319</v>
      </c>
      <c r="O478" s="1">
        <v>0</v>
      </c>
      <c r="P478" s="1">
        <v>0.13</v>
      </c>
      <c r="Q478" s="1">
        <v>0.08</v>
      </c>
      <c r="R478" s="1">
        <v>0</v>
      </c>
      <c r="S478" s="1">
        <v>0.14000000000000001</v>
      </c>
      <c r="T478" s="1">
        <v>1.68</v>
      </c>
      <c r="U478" s="1">
        <v>15.86</v>
      </c>
      <c r="V478" s="1">
        <v>16.489999999999998</v>
      </c>
      <c r="W478" s="1">
        <v>42.720001000000003</v>
      </c>
      <c r="X478" s="1">
        <v>15577.775829</v>
      </c>
      <c r="Y478" s="1">
        <v>8599918.0291900001</v>
      </c>
      <c r="Z478" t="str">
        <f>VLOOKUP(G478,'Code Pro'!$A$2:$B$9,2,FALSE)</f>
        <v>จ.ตราด</v>
      </c>
      <c r="AA478" s="8">
        <f t="shared" si="64"/>
        <v>0</v>
      </c>
      <c r="AB478" s="8">
        <f t="shared" si="65"/>
        <v>1117989.3437947</v>
      </c>
      <c r="AC478" s="8">
        <f t="shared" si="66"/>
        <v>687993.44233520003</v>
      </c>
      <c r="AD478" s="8">
        <f t="shared" si="67"/>
        <v>0</v>
      </c>
      <c r="AE478" s="8">
        <f t="shared" si="68"/>
        <v>1203988.5240866002</v>
      </c>
      <c r="AF478" s="8">
        <f t="shared" si="69"/>
        <v>14447862.2890392</v>
      </c>
      <c r="AG478" s="8">
        <f t="shared" si="70"/>
        <v>136394699.94295341</v>
      </c>
      <c r="AH478" s="8">
        <f t="shared" si="71"/>
        <v>141812648.30134308</v>
      </c>
      <c r="AI478" s="8">
        <f t="shared" si="72"/>
        <v>367388506.80691487</v>
      </c>
    </row>
    <row r="479" spans="1:35" x14ac:dyDescent="0.55000000000000004">
      <c r="A479" s="1">
        <v>477</v>
      </c>
      <c r="B479" s="1" t="s">
        <v>20</v>
      </c>
      <c r="C479" s="1">
        <v>33</v>
      </c>
      <c r="D479" s="1">
        <v>3</v>
      </c>
      <c r="E479" s="1" t="s">
        <v>83</v>
      </c>
      <c r="F479" s="1" t="s">
        <v>84</v>
      </c>
      <c r="G479" s="1">
        <v>23</v>
      </c>
      <c r="H479" s="1">
        <v>2</v>
      </c>
      <c r="I479" s="1">
        <v>23030000</v>
      </c>
      <c r="J479" s="1">
        <v>506</v>
      </c>
      <c r="K479" s="1">
        <v>0</v>
      </c>
      <c r="L479" s="1">
        <v>12195</v>
      </c>
      <c r="M479" s="1">
        <v>12.311752</v>
      </c>
      <c r="N479" s="1">
        <v>102.27006</v>
      </c>
      <c r="O479" s="1">
        <v>0.44</v>
      </c>
      <c r="P479" s="1">
        <v>0.04</v>
      </c>
      <c r="Q479" s="1">
        <v>0.28000000000000003</v>
      </c>
      <c r="R479" s="1">
        <v>0.06</v>
      </c>
      <c r="S479" s="1">
        <v>1.67</v>
      </c>
      <c r="T479" s="1">
        <v>0.26</v>
      </c>
      <c r="U479" s="1">
        <v>16.719999000000001</v>
      </c>
      <c r="V479" s="1">
        <v>9.58</v>
      </c>
      <c r="W479" s="1">
        <v>38.689999</v>
      </c>
      <c r="X479" s="1">
        <v>12273.864244</v>
      </c>
      <c r="Y479" s="1">
        <v>9166438.25495</v>
      </c>
      <c r="Z479" t="str">
        <f>VLOOKUP(G479,'Code Pro'!$A$2:$B$9,2,FALSE)</f>
        <v>จ.ตราด</v>
      </c>
      <c r="AA479" s="8">
        <f t="shared" si="64"/>
        <v>4033232.8321779999</v>
      </c>
      <c r="AB479" s="8">
        <f t="shared" si="65"/>
        <v>366657.53019800002</v>
      </c>
      <c r="AC479" s="8">
        <f t="shared" si="66"/>
        <v>2566602.7113860003</v>
      </c>
      <c r="AD479" s="8">
        <f t="shared" si="67"/>
        <v>549986.29529699998</v>
      </c>
      <c r="AE479" s="8">
        <f t="shared" si="68"/>
        <v>15307951.885766499</v>
      </c>
      <c r="AF479" s="8">
        <f t="shared" si="69"/>
        <v>2383273.9462870001</v>
      </c>
      <c r="AG479" s="8">
        <f t="shared" si="70"/>
        <v>153262838.45632577</v>
      </c>
      <c r="AH479" s="8">
        <f t="shared" si="71"/>
        <v>87814478.482420996</v>
      </c>
      <c r="AI479" s="8">
        <f t="shared" si="72"/>
        <v>354649486.91757727</v>
      </c>
    </row>
    <row r="480" spans="1:35" x14ac:dyDescent="0.55000000000000004">
      <c r="A480" s="1">
        <v>478</v>
      </c>
      <c r="B480" s="1" t="s">
        <v>20</v>
      </c>
      <c r="C480" s="1">
        <v>33</v>
      </c>
      <c r="D480" s="1">
        <v>3</v>
      </c>
      <c r="E480" s="1" t="s">
        <v>83</v>
      </c>
      <c r="F480" s="1" t="s">
        <v>84</v>
      </c>
      <c r="G480" s="1">
        <v>23</v>
      </c>
      <c r="H480" s="1">
        <v>2</v>
      </c>
      <c r="I480" s="1">
        <v>23030000</v>
      </c>
      <c r="J480" s="1">
        <v>507</v>
      </c>
      <c r="K480" s="1">
        <v>0</v>
      </c>
      <c r="L480" s="1">
        <v>12196</v>
      </c>
      <c r="M480" s="1">
        <v>12.311752</v>
      </c>
      <c r="N480" s="1">
        <v>102.35319</v>
      </c>
      <c r="O480" s="1">
        <v>0.45</v>
      </c>
      <c r="P480" s="1">
        <v>0.01</v>
      </c>
      <c r="Q480" s="1">
        <v>0.03</v>
      </c>
      <c r="R480" s="1">
        <v>0</v>
      </c>
      <c r="S480" s="1">
        <v>4.8</v>
      </c>
      <c r="T480" s="1">
        <v>1.42</v>
      </c>
      <c r="U480" s="1">
        <v>2.83</v>
      </c>
      <c r="V480" s="1">
        <v>18.850000000000001</v>
      </c>
      <c r="W480" s="1">
        <v>35.279998999999997</v>
      </c>
      <c r="X480" s="1">
        <v>36862.790875999999</v>
      </c>
      <c r="Y480" s="1">
        <v>64772036.173</v>
      </c>
      <c r="Z480" t="str">
        <f>VLOOKUP(G480,'Code Pro'!$A$2:$B$9,2,FALSE)</f>
        <v>จ.ตราด</v>
      </c>
      <c r="AA480" s="8">
        <f t="shared" si="64"/>
        <v>29147416.277850002</v>
      </c>
      <c r="AB480" s="8">
        <f t="shared" si="65"/>
        <v>647720.36173</v>
      </c>
      <c r="AC480" s="8">
        <f t="shared" si="66"/>
        <v>1943161.08519</v>
      </c>
      <c r="AD480" s="8">
        <f t="shared" si="67"/>
        <v>0</v>
      </c>
      <c r="AE480" s="8">
        <f t="shared" si="68"/>
        <v>310905773.6304</v>
      </c>
      <c r="AF480" s="8">
        <f t="shared" si="69"/>
        <v>91976291.365659997</v>
      </c>
      <c r="AG480" s="8">
        <f t="shared" si="70"/>
        <v>183304862.36959001</v>
      </c>
      <c r="AH480" s="8">
        <f t="shared" si="71"/>
        <v>1220952881.8610501</v>
      </c>
      <c r="AI480" s="8">
        <f t="shared" si="72"/>
        <v>2285157371.4114037</v>
      </c>
    </row>
    <row r="481" spans="1:35" x14ac:dyDescent="0.55000000000000004">
      <c r="A481" s="1">
        <v>479</v>
      </c>
      <c r="B481" s="1" t="s">
        <v>20</v>
      </c>
      <c r="C481" s="1">
        <v>33</v>
      </c>
      <c r="D481" s="1">
        <v>3</v>
      </c>
      <c r="E481" s="1" t="s">
        <v>83</v>
      </c>
      <c r="F481" s="1" t="s">
        <v>84</v>
      </c>
      <c r="G481" s="1">
        <v>23</v>
      </c>
      <c r="H481" s="1">
        <v>2</v>
      </c>
      <c r="I481" s="1">
        <v>23030000</v>
      </c>
      <c r="J481" s="1">
        <v>508</v>
      </c>
      <c r="K481" s="1">
        <v>0</v>
      </c>
      <c r="L481" s="1">
        <v>12436</v>
      </c>
      <c r="M481" s="1">
        <v>12.474159</v>
      </c>
      <c r="N481" s="1">
        <v>102.35319</v>
      </c>
      <c r="O481" s="1">
        <v>4.47</v>
      </c>
      <c r="P481" s="1">
        <v>0.03</v>
      </c>
      <c r="Q481" s="1">
        <v>0.12</v>
      </c>
      <c r="R481" s="1">
        <v>0.02</v>
      </c>
      <c r="S481" s="1">
        <v>0.2</v>
      </c>
      <c r="T481" s="1">
        <v>0.03</v>
      </c>
      <c r="U481" s="1">
        <v>3.87</v>
      </c>
      <c r="V481" s="1">
        <v>4.8</v>
      </c>
      <c r="W481" s="1">
        <v>17.110001</v>
      </c>
      <c r="X481" s="1">
        <v>37485.259250000003</v>
      </c>
      <c r="Y481" s="1">
        <v>60352946.292099997</v>
      </c>
      <c r="Z481" t="str">
        <f>VLOOKUP(G481,'Code Pro'!$A$2:$B$9,2,FALSE)</f>
        <v>จ.ตราด</v>
      </c>
      <c r="AA481" s="8">
        <f t="shared" si="64"/>
        <v>269777669.92568696</v>
      </c>
      <c r="AB481" s="8">
        <f t="shared" si="65"/>
        <v>1810588.3887629998</v>
      </c>
      <c r="AC481" s="8">
        <f t="shared" si="66"/>
        <v>7242353.5550519992</v>
      </c>
      <c r="AD481" s="8">
        <f t="shared" si="67"/>
        <v>1207058.9258419999</v>
      </c>
      <c r="AE481" s="8">
        <f t="shared" si="68"/>
        <v>12070589.25842</v>
      </c>
      <c r="AF481" s="8">
        <f t="shared" si="69"/>
        <v>1810588.3887629998</v>
      </c>
      <c r="AG481" s="8">
        <f t="shared" si="70"/>
        <v>233565902.15042698</v>
      </c>
      <c r="AH481" s="8">
        <f t="shared" si="71"/>
        <v>289694142.20207995</v>
      </c>
      <c r="AI481" s="8">
        <f t="shared" si="72"/>
        <v>1032638971.4107773</v>
      </c>
    </row>
    <row r="482" spans="1:35" x14ac:dyDescent="0.55000000000000004">
      <c r="A482" s="1">
        <v>480</v>
      </c>
      <c r="B482" s="1" t="s">
        <v>20</v>
      </c>
      <c r="C482" s="1">
        <v>33</v>
      </c>
      <c r="D482" s="1">
        <v>3</v>
      </c>
      <c r="E482" s="1" t="s">
        <v>83</v>
      </c>
      <c r="F482" s="1" t="s">
        <v>84</v>
      </c>
      <c r="G482" s="1">
        <v>23</v>
      </c>
      <c r="H482" s="1">
        <v>2</v>
      </c>
      <c r="I482" s="1">
        <v>23030000</v>
      </c>
      <c r="J482" s="1">
        <v>510</v>
      </c>
      <c r="K482" s="1">
        <v>0</v>
      </c>
      <c r="L482" s="1">
        <v>12316</v>
      </c>
      <c r="M482" s="1">
        <v>12.392967000000001</v>
      </c>
      <c r="N482" s="1">
        <v>102.35319</v>
      </c>
      <c r="O482" s="1">
        <v>2.63</v>
      </c>
      <c r="P482" s="1">
        <v>0</v>
      </c>
      <c r="Q482" s="1">
        <v>6.75</v>
      </c>
      <c r="R482" s="1">
        <v>0</v>
      </c>
      <c r="S482" s="1">
        <v>3.33</v>
      </c>
      <c r="T482" s="1">
        <v>8.19</v>
      </c>
      <c r="U482" s="1">
        <v>13.55</v>
      </c>
      <c r="V482" s="1">
        <v>6.33</v>
      </c>
      <c r="W482" s="1">
        <v>24.24</v>
      </c>
      <c r="X482" s="1">
        <v>35306.933646999998</v>
      </c>
      <c r="Y482" s="1">
        <v>42978492.229199998</v>
      </c>
      <c r="Z482" t="str">
        <f>VLOOKUP(G482,'Code Pro'!$A$2:$B$9,2,FALSE)</f>
        <v>จ.ตราด</v>
      </c>
      <c r="AA482" s="8">
        <f t="shared" si="64"/>
        <v>113033434.562796</v>
      </c>
      <c r="AB482" s="8">
        <f t="shared" si="65"/>
        <v>0</v>
      </c>
      <c r="AC482" s="8">
        <f t="shared" si="66"/>
        <v>290104822.54710001</v>
      </c>
      <c r="AD482" s="8">
        <f t="shared" si="67"/>
        <v>0</v>
      </c>
      <c r="AE482" s="8">
        <f t="shared" si="68"/>
        <v>143118379.123236</v>
      </c>
      <c r="AF482" s="8">
        <f t="shared" si="69"/>
        <v>351993851.35714799</v>
      </c>
      <c r="AG482" s="8">
        <f t="shared" si="70"/>
        <v>582358569.70565999</v>
      </c>
      <c r="AH482" s="8">
        <f t="shared" si="71"/>
        <v>272053855.81083602</v>
      </c>
      <c r="AI482" s="8">
        <f t="shared" si="72"/>
        <v>1041798651.6358079</v>
      </c>
    </row>
    <row r="483" spans="1:35" x14ac:dyDescent="0.55000000000000004">
      <c r="A483" s="1">
        <v>481</v>
      </c>
      <c r="B483" s="1" t="s">
        <v>20</v>
      </c>
      <c r="C483" s="1">
        <v>33</v>
      </c>
      <c r="D483" s="1">
        <v>3</v>
      </c>
      <c r="E483" s="1" t="s">
        <v>83</v>
      </c>
      <c r="F483" s="1" t="s">
        <v>84</v>
      </c>
      <c r="G483" s="1">
        <v>23</v>
      </c>
      <c r="H483" s="1">
        <v>2</v>
      </c>
      <c r="I483" s="1">
        <v>23030000</v>
      </c>
      <c r="J483" s="1">
        <v>512</v>
      </c>
      <c r="K483" s="1">
        <v>0</v>
      </c>
      <c r="L483" s="1">
        <v>12555</v>
      </c>
      <c r="M483" s="1">
        <v>12.555313</v>
      </c>
      <c r="N483" s="1">
        <v>102.27006</v>
      </c>
      <c r="O483" s="1">
        <v>21.91</v>
      </c>
      <c r="P483" s="1">
        <v>0.03</v>
      </c>
      <c r="Q483" s="1">
        <v>0.08</v>
      </c>
      <c r="R483" s="1">
        <v>0.46</v>
      </c>
      <c r="S483" s="1">
        <v>0.96</v>
      </c>
      <c r="T483" s="1">
        <v>1.86</v>
      </c>
      <c r="U483" s="1">
        <v>4.79</v>
      </c>
      <c r="V483" s="1">
        <v>4.22</v>
      </c>
      <c r="W483" s="1">
        <v>10.68</v>
      </c>
      <c r="X483" s="1">
        <v>5446.2822319999996</v>
      </c>
      <c r="Y483" s="1">
        <v>1156024.81171</v>
      </c>
      <c r="Z483" t="str">
        <f>VLOOKUP(G483,'Code Pro'!$A$2:$B$9,2,FALSE)</f>
        <v>จ.ตราด</v>
      </c>
      <c r="AA483" s="8">
        <f t="shared" si="64"/>
        <v>25328503.624566101</v>
      </c>
      <c r="AB483" s="8">
        <f t="shared" si="65"/>
        <v>34680.744351300003</v>
      </c>
      <c r="AC483" s="8">
        <f t="shared" si="66"/>
        <v>92481.9849368</v>
      </c>
      <c r="AD483" s="8">
        <f t="shared" si="67"/>
        <v>531771.41338660009</v>
      </c>
      <c r="AE483" s="8">
        <f t="shared" si="68"/>
        <v>1109783.8192416001</v>
      </c>
      <c r="AF483" s="8">
        <f t="shared" si="69"/>
        <v>2150206.1497806003</v>
      </c>
      <c r="AG483" s="8">
        <f t="shared" si="70"/>
        <v>5537358.8480909001</v>
      </c>
      <c r="AH483" s="8">
        <f t="shared" si="71"/>
        <v>4878424.7054161998</v>
      </c>
      <c r="AI483" s="8">
        <f t="shared" si="72"/>
        <v>12346344.989062801</v>
      </c>
    </row>
    <row r="484" spans="1:35" x14ac:dyDescent="0.55000000000000004">
      <c r="A484" s="1">
        <v>482</v>
      </c>
      <c r="B484" s="1" t="s">
        <v>20</v>
      </c>
      <c r="C484" s="1">
        <v>33</v>
      </c>
      <c r="D484" s="1">
        <v>3</v>
      </c>
      <c r="E484" s="1" t="s">
        <v>83</v>
      </c>
      <c r="F484" s="1" t="s">
        <v>84</v>
      </c>
      <c r="G484" s="1">
        <v>23</v>
      </c>
      <c r="H484" s="1">
        <v>2</v>
      </c>
      <c r="I484" s="1">
        <v>23030000</v>
      </c>
      <c r="J484" s="1">
        <v>514</v>
      </c>
      <c r="K484" s="1">
        <v>0</v>
      </c>
      <c r="L484" s="1">
        <v>12676</v>
      </c>
      <c r="M484" s="1">
        <v>12.636443999999999</v>
      </c>
      <c r="N484" s="1">
        <v>102.35319</v>
      </c>
      <c r="O484" s="1">
        <v>3.75</v>
      </c>
      <c r="P484" s="1">
        <v>0.04</v>
      </c>
      <c r="Q484" s="1">
        <v>0.19</v>
      </c>
      <c r="R484" s="1">
        <v>5.0599999999999996</v>
      </c>
      <c r="S484" s="1">
        <v>19.190000999999999</v>
      </c>
      <c r="T484" s="1">
        <v>2.71</v>
      </c>
      <c r="U484" s="1">
        <v>13.07</v>
      </c>
      <c r="V484" s="1">
        <v>13.06</v>
      </c>
      <c r="W484" s="1">
        <v>5.93</v>
      </c>
      <c r="X484" s="1">
        <v>11315.427372</v>
      </c>
      <c r="Y484" s="1">
        <v>1220858.9719799999</v>
      </c>
      <c r="Z484" t="str">
        <f>VLOOKUP(G484,'Code Pro'!$A$2:$B$9,2,FALSE)</f>
        <v>จ.ตราด</v>
      </c>
      <c r="AA484" s="8">
        <f t="shared" si="64"/>
        <v>4578221.1449250001</v>
      </c>
      <c r="AB484" s="8">
        <f t="shared" si="65"/>
        <v>48834.358879200001</v>
      </c>
      <c r="AC484" s="8">
        <f t="shared" si="66"/>
        <v>231963.2046762</v>
      </c>
      <c r="AD484" s="8">
        <f t="shared" si="67"/>
        <v>6177546.3982187994</v>
      </c>
      <c r="AE484" s="8">
        <f t="shared" si="68"/>
        <v>23428284.893155169</v>
      </c>
      <c r="AF484" s="8">
        <f t="shared" si="69"/>
        <v>3308527.8140657996</v>
      </c>
      <c r="AG484" s="8">
        <f t="shared" si="70"/>
        <v>15956626.763778599</v>
      </c>
      <c r="AH484" s="8">
        <f t="shared" si="71"/>
        <v>15944418.174058799</v>
      </c>
      <c r="AI484" s="8">
        <f t="shared" si="72"/>
        <v>7239693.7038413994</v>
      </c>
    </row>
    <row r="485" spans="1:35" x14ac:dyDescent="0.55000000000000004">
      <c r="A485" s="1">
        <v>483</v>
      </c>
      <c r="B485" s="1" t="s">
        <v>20</v>
      </c>
      <c r="C485" s="1">
        <v>33</v>
      </c>
      <c r="D485" s="1">
        <v>3</v>
      </c>
      <c r="E485" s="1" t="s">
        <v>83</v>
      </c>
      <c r="F485" s="1" t="s">
        <v>84</v>
      </c>
      <c r="G485" s="1">
        <v>23</v>
      </c>
      <c r="H485" s="1">
        <v>2</v>
      </c>
      <c r="I485" s="1">
        <v>23030000</v>
      </c>
      <c r="J485" s="1">
        <v>515</v>
      </c>
      <c r="K485" s="1">
        <v>0</v>
      </c>
      <c r="L485" s="1">
        <v>12556</v>
      </c>
      <c r="M485" s="1">
        <v>12.555313</v>
      </c>
      <c r="N485" s="1">
        <v>102.35319</v>
      </c>
      <c r="O485" s="1">
        <v>19.329999999999998</v>
      </c>
      <c r="P485" s="1">
        <v>0.01</v>
      </c>
      <c r="Q485" s="1">
        <v>0.18</v>
      </c>
      <c r="R485" s="1">
        <v>0.06</v>
      </c>
      <c r="S485" s="1">
        <v>5.28</v>
      </c>
      <c r="T485" s="1">
        <v>2.3199999999999998</v>
      </c>
      <c r="U485" s="1">
        <v>6.17</v>
      </c>
      <c r="V485" s="1">
        <v>7.36</v>
      </c>
      <c r="W485" s="1">
        <v>21.870000999999998</v>
      </c>
      <c r="X485" s="1">
        <v>37806.186797000002</v>
      </c>
      <c r="Y485" s="1">
        <v>63719239.809500001</v>
      </c>
      <c r="Z485" t="str">
        <f>VLOOKUP(G485,'Code Pro'!$A$2:$B$9,2,FALSE)</f>
        <v>จ.ตราด</v>
      </c>
      <c r="AA485" s="8">
        <f t="shared" si="64"/>
        <v>1231692905.5176349</v>
      </c>
      <c r="AB485" s="8">
        <f t="shared" si="65"/>
        <v>637192.39809500007</v>
      </c>
      <c r="AC485" s="8">
        <f t="shared" si="66"/>
        <v>11469463.16571</v>
      </c>
      <c r="AD485" s="8">
        <f t="shared" si="67"/>
        <v>3823154.38857</v>
      </c>
      <c r="AE485" s="8">
        <f t="shared" si="68"/>
        <v>336437586.19416004</v>
      </c>
      <c r="AF485" s="8">
        <f t="shared" si="69"/>
        <v>147828636.35804</v>
      </c>
      <c r="AG485" s="8">
        <f t="shared" si="70"/>
        <v>393147709.62461501</v>
      </c>
      <c r="AH485" s="8">
        <f t="shared" si="71"/>
        <v>468973604.99792004</v>
      </c>
      <c r="AI485" s="8">
        <f t="shared" si="72"/>
        <v>1393539838.3530047</v>
      </c>
    </row>
    <row r="486" spans="1:35" x14ac:dyDescent="0.55000000000000004">
      <c r="A486" s="1">
        <v>484</v>
      </c>
      <c r="B486" s="1" t="s">
        <v>20</v>
      </c>
      <c r="C486" s="1">
        <v>33</v>
      </c>
      <c r="D486" s="1">
        <v>3</v>
      </c>
      <c r="E486" s="1" t="s">
        <v>83</v>
      </c>
      <c r="F486" s="1" t="s">
        <v>84</v>
      </c>
      <c r="G486" s="1">
        <v>23</v>
      </c>
      <c r="H486" s="1">
        <v>2</v>
      </c>
      <c r="I486" s="1">
        <v>23030000</v>
      </c>
      <c r="J486" s="1">
        <v>516</v>
      </c>
      <c r="K486" s="1">
        <v>0</v>
      </c>
      <c r="L486" s="1">
        <v>12197</v>
      </c>
      <c r="M486" s="1">
        <v>12.311752</v>
      </c>
      <c r="N486" s="1">
        <v>102.436325</v>
      </c>
      <c r="O486" s="1">
        <v>4.76</v>
      </c>
      <c r="P486" s="1">
        <v>0.02</v>
      </c>
      <c r="Q486" s="1">
        <v>0.05</v>
      </c>
      <c r="R486" s="1">
        <v>0.11</v>
      </c>
      <c r="S486" s="1">
        <v>1.07</v>
      </c>
      <c r="T486" s="1">
        <v>6.47</v>
      </c>
      <c r="U486" s="1">
        <v>5.94</v>
      </c>
      <c r="V486" s="1">
        <v>6.09</v>
      </c>
      <c r="W486" s="1">
        <v>55.970001000000003</v>
      </c>
      <c r="X486" s="1">
        <v>38018.860639999999</v>
      </c>
      <c r="Y486" s="1">
        <v>54911660.752700001</v>
      </c>
      <c r="Z486" t="str">
        <f>VLOOKUP(G486,'Code Pro'!$A$2:$B$9,2,FALSE)</f>
        <v>จ.ตราด</v>
      </c>
      <c r="AA486" s="8">
        <f t="shared" si="64"/>
        <v>261379505.182852</v>
      </c>
      <c r="AB486" s="8">
        <f t="shared" si="65"/>
        <v>1098233.215054</v>
      </c>
      <c r="AC486" s="8">
        <f t="shared" si="66"/>
        <v>2745583.0376350004</v>
      </c>
      <c r="AD486" s="8">
        <f t="shared" si="67"/>
        <v>6040282.6827969998</v>
      </c>
      <c r="AE486" s="8">
        <f t="shared" si="68"/>
        <v>58755477.005389005</v>
      </c>
      <c r="AF486" s="8">
        <f t="shared" si="69"/>
        <v>355278445.069969</v>
      </c>
      <c r="AG486" s="8">
        <f t="shared" si="70"/>
        <v>326175264.87103802</v>
      </c>
      <c r="AH486" s="8">
        <f t="shared" si="71"/>
        <v>334412013.98394299</v>
      </c>
      <c r="AI486" s="8">
        <f t="shared" si="72"/>
        <v>3073405707.2402802</v>
      </c>
    </row>
    <row r="487" spans="1:35" x14ac:dyDescent="0.55000000000000004">
      <c r="A487" s="1">
        <v>485</v>
      </c>
      <c r="B487" s="1" t="s">
        <v>20</v>
      </c>
      <c r="C487" s="1">
        <v>33</v>
      </c>
      <c r="D487" s="1">
        <v>3</v>
      </c>
      <c r="E487" s="1" t="s">
        <v>83</v>
      </c>
      <c r="F487" s="1" t="s">
        <v>84</v>
      </c>
      <c r="G487" s="1">
        <v>23</v>
      </c>
      <c r="H487" s="1">
        <v>2</v>
      </c>
      <c r="I487" s="1">
        <v>23030000</v>
      </c>
      <c r="J487" s="1">
        <v>517</v>
      </c>
      <c r="K487" s="1">
        <v>0</v>
      </c>
      <c r="L487" s="1">
        <v>12198</v>
      </c>
      <c r="M487" s="1">
        <v>12.311752</v>
      </c>
      <c r="N487" s="1">
        <v>102.51946</v>
      </c>
      <c r="O487" s="1">
        <v>5.34</v>
      </c>
      <c r="P487" s="1">
        <v>14.82</v>
      </c>
      <c r="Q487" s="1">
        <v>0.08</v>
      </c>
      <c r="R487" s="1">
        <v>1.31</v>
      </c>
      <c r="S487" s="1">
        <v>11.16</v>
      </c>
      <c r="T487" s="1">
        <v>4.1900000000000004</v>
      </c>
      <c r="U487" s="1">
        <v>7.72</v>
      </c>
      <c r="V487" s="1">
        <v>6.84</v>
      </c>
      <c r="W487" s="1">
        <v>33.869999</v>
      </c>
      <c r="X487" s="1">
        <v>13643.075821</v>
      </c>
      <c r="Y487" s="1">
        <v>5234304.6283200001</v>
      </c>
      <c r="Z487" t="str">
        <f>VLOOKUP(G487,'Code Pro'!$A$2:$B$9,2,FALSE)</f>
        <v>จ.ตราด</v>
      </c>
      <c r="AA487" s="8">
        <f t="shared" si="64"/>
        <v>27951186.7152288</v>
      </c>
      <c r="AB487" s="8">
        <f t="shared" si="65"/>
        <v>77572394.591702402</v>
      </c>
      <c r="AC487" s="8">
        <f t="shared" si="66"/>
        <v>418744.37026560004</v>
      </c>
      <c r="AD487" s="8">
        <f t="shared" si="67"/>
        <v>6856939.0630992008</v>
      </c>
      <c r="AE487" s="8">
        <f t="shared" si="68"/>
        <v>58414839.652051203</v>
      </c>
      <c r="AF487" s="8">
        <f t="shared" si="69"/>
        <v>21931736.392660804</v>
      </c>
      <c r="AG487" s="8">
        <f t="shared" si="70"/>
        <v>40408831.730630398</v>
      </c>
      <c r="AH487" s="8">
        <f t="shared" si="71"/>
        <v>35802643.657708801</v>
      </c>
      <c r="AI487" s="8">
        <f t="shared" si="72"/>
        <v>177285892.52689376</v>
      </c>
    </row>
    <row r="488" spans="1:35" x14ac:dyDescent="0.55000000000000004">
      <c r="A488" s="1">
        <v>486</v>
      </c>
      <c r="B488" s="1" t="s">
        <v>20</v>
      </c>
      <c r="C488" s="1">
        <v>33</v>
      </c>
      <c r="D488" s="1">
        <v>3</v>
      </c>
      <c r="E488" s="1" t="s">
        <v>83</v>
      </c>
      <c r="F488" s="1" t="s">
        <v>84</v>
      </c>
      <c r="G488" s="1">
        <v>23</v>
      </c>
      <c r="H488" s="1">
        <v>2</v>
      </c>
      <c r="I488" s="1">
        <v>23030000</v>
      </c>
      <c r="J488" s="1">
        <v>518</v>
      </c>
      <c r="K488" s="1">
        <v>0</v>
      </c>
      <c r="L488" s="1">
        <v>12438</v>
      </c>
      <c r="M488" s="1">
        <v>12.474159</v>
      </c>
      <c r="N488" s="1">
        <v>102.51946</v>
      </c>
      <c r="O488" s="1">
        <v>40.169998</v>
      </c>
      <c r="P488" s="1">
        <v>0.09</v>
      </c>
      <c r="Q488" s="1">
        <v>0.05</v>
      </c>
      <c r="R488" s="1">
        <v>0.04</v>
      </c>
      <c r="S488" s="1">
        <v>0.55000000000000004</v>
      </c>
      <c r="T488" s="1">
        <v>0.4</v>
      </c>
      <c r="U488" s="1">
        <v>9.89</v>
      </c>
      <c r="V488" s="1">
        <v>1.67</v>
      </c>
      <c r="W488" s="1">
        <v>23.709999</v>
      </c>
      <c r="X488" s="1">
        <v>42469.669709000002</v>
      </c>
      <c r="Y488" s="1">
        <v>64830888.5572</v>
      </c>
      <c r="Z488" t="str">
        <f>VLOOKUP(G488,'Code Pro'!$A$2:$B$9,2,FALSE)</f>
        <v>จ.ตราด</v>
      </c>
      <c r="AA488" s="8">
        <f t="shared" si="64"/>
        <v>2604256663.6809468</v>
      </c>
      <c r="AB488" s="8">
        <f t="shared" si="65"/>
        <v>5834779.9701479999</v>
      </c>
      <c r="AC488" s="8">
        <f t="shared" si="66"/>
        <v>3241544.4278600002</v>
      </c>
      <c r="AD488" s="8">
        <f t="shared" si="67"/>
        <v>2593235.5422880002</v>
      </c>
      <c r="AE488" s="8">
        <f t="shared" si="68"/>
        <v>35656988.706459999</v>
      </c>
      <c r="AF488" s="8">
        <f t="shared" si="69"/>
        <v>25932355.422880001</v>
      </c>
      <c r="AG488" s="8">
        <f t="shared" si="70"/>
        <v>641177487.83070803</v>
      </c>
      <c r="AH488" s="8">
        <f t="shared" si="71"/>
        <v>108267583.890524</v>
      </c>
      <c r="AI488" s="8">
        <f t="shared" si="72"/>
        <v>1537140302.8603234</v>
      </c>
    </row>
    <row r="489" spans="1:35" x14ac:dyDescent="0.55000000000000004">
      <c r="A489" s="1">
        <v>487</v>
      </c>
      <c r="B489" s="1" t="s">
        <v>20</v>
      </c>
      <c r="C489" s="1">
        <v>33</v>
      </c>
      <c r="D489" s="1">
        <v>3</v>
      </c>
      <c r="E489" s="1" t="s">
        <v>83</v>
      </c>
      <c r="F489" s="1" t="s">
        <v>84</v>
      </c>
      <c r="G489" s="1">
        <v>23</v>
      </c>
      <c r="H489" s="1">
        <v>2</v>
      </c>
      <c r="I489" s="1">
        <v>23030000</v>
      </c>
      <c r="J489" s="1">
        <v>519</v>
      </c>
      <c r="K489" s="1">
        <v>0</v>
      </c>
      <c r="L489" s="1">
        <v>12317</v>
      </c>
      <c r="M489" s="1">
        <v>12.392967000000001</v>
      </c>
      <c r="N489" s="1">
        <v>102.436325</v>
      </c>
      <c r="O489" s="1">
        <v>0.64</v>
      </c>
      <c r="P489" s="1">
        <v>7.0000000000000007E-2</v>
      </c>
      <c r="Q489" s="1">
        <v>0.06</v>
      </c>
      <c r="R489" s="1">
        <v>0.47</v>
      </c>
      <c r="S489" s="1">
        <v>5.85</v>
      </c>
      <c r="T489" s="1">
        <v>2.2200000000000002</v>
      </c>
      <c r="U489" s="1">
        <v>9.66</v>
      </c>
      <c r="V489" s="1">
        <v>1.65</v>
      </c>
      <c r="W489" s="1">
        <v>32.090000000000003</v>
      </c>
      <c r="X489" s="1">
        <v>36094.824786999998</v>
      </c>
      <c r="Y489" s="1">
        <v>81426454.624500006</v>
      </c>
      <c r="Z489" t="str">
        <f>VLOOKUP(G489,'Code Pro'!$A$2:$B$9,2,FALSE)</f>
        <v>จ.ตราด</v>
      </c>
      <c r="AA489" s="8">
        <f t="shared" si="64"/>
        <v>52112930.959680006</v>
      </c>
      <c r="AB489" s="8">
        <f t="shared" si="65"/>
        <v>5699851.8237150013</v>
      </c>
      <c r="AC489" s="8">
        <f t="shared" si="66"/>
        <v>4885587.2774700001</v>
      </c>
      <c r="AD489" s="8">
        <f t="shared" si="67"/>
        <v>38270433.673514999</v>
      </c>
      <c r="AE489" s="8">
        <f t="shared" si="68"/>
        <v>476344759.553325</v>
      </c>
      <c r="AF489" s="8">
        <f t="shared" si="69"/>
        <v>180766729.26639003</v>
      </c>
      <c r="AG489" s="8">
        <f t="shared" si="70"/>
        <v>786579551.67267013</v>
      </c>
      <c r="AH489" s="8">
        <f t="shared" si="71"/>
        <v>134353650.13042501</v>
      </c>
      <c r="AI489" s="8">
        <f t="shared" si="72"/>
        <v>2612974928.9002056</v>
      </c>
    </row>
    <row r="490" spans="1:35" x14ac:dyDescent="0.55000000000000004">
      <c r="A490" s="1">
        <v>488</v>
      </c>
      <c r="B490" s="1" t="s">
        <v>20</v>
      </c>
      <c r="C490" s="1">
        <v>33</v>
      </c>
      <c r="D490" s="1">
        <v>3</v>
      </c>
      <c r="E490" s="1" t="s">
        <v>83</v>
      </c>
      <c r="F490" s="1" t="s">
        <v>84</v>
      </c>
      <c r="G490" s="1">
        <v>23</v>
      </c>
      <c r="H490" s="1">
        <v>2</v>
      </c>
      <c r="I490" s="1">
        <v>23030000</v>
      </c>
      <c r="J490" s="1">
        <v>520</v>
      </c>
      <c r="K490" s="1">
        <v>0</v>
      </c>
      <c r="L490" s="1">
        <v>12318</v>
      </c>
      <c r="M490" s="1">
        <v>12.392967000000001</v>
      </c>
      <c r="N490" s="1">
        <v>102.51946</v>
      </c>
      <c r="O490" s="1">
        <v>5.75</v>
      </c>
      <c r="P490" s="1">
        <v>7.34</v>
      </c>
      <c r="Q490" s="1">
        <v>9.16</v>
      </c>
      <c r="R490" s="1">
        <v>0.72</v>
      </c>
      <c r="S490" s="1">
        <v>3.03</v>
      </c>
      <c r="T490" s="1">
        <v>1.07</v>
      </c>
      <c r="U490" s="1">
        <v>6.54</v>
      </c>
      <c r="V490" s="1">
        <v>1.46</v>
      </c>
      <c r="W490" s="1">
        <v>36.130001</v>
      </c>
      <c r="X490" s="1">
        <v>28926.416992999999</v>
      </c>
      <c r="Y490" s="1">
        <v>32600934.641800001</v>
      </c>
      <c r="Z490" t="str">
        <f>VLOOKUP(G490,'Code Pro'!$A$2:$B$9,2,FALSE)</f>
        <v>จ.ตราด</v>
      </c>
      <c r="AA490" s="8">
        <f t="shared" si="64"/>
        <v>187455374.19035</v>
      </c>
      <c r="AB490" s="8">
        <f t="shared" si="65"/>
        <v>239290860.270812</v>
      </c>
      <c r="AC490" s="8">
        <f t="shared" si="66"/>
        <v>298624561.31888801</v>
      </c>
      <c r="AD490" s="8">
        <f t="shared" si="67"/>
        <v>23472672.942095999</v>
      </c>
      <c r="AE490" s="8">
        <f t="shared" si="68"/>
        <v>98780831.964653999</v>
      </c>
      <c r="AF490" s="8">
        <f t="shared" si="69"/>
        <v>34883000.066726007</v>
      </c>
      <c r="AG490" s="8">
        <f t="shared" si="70"/>
        <v>213210112.557372</v>
      </c>
      <c r="AH490" s="8">
        <f t="shared" si="71"/>
        <v>47597364.577027999</v>
      </c>
      <c r="AI490" s="8">
        <f t="shared" si="72"/>
        <v>1177871801.2091687</v>
      </c>
    </row>
    <row r="491" spans="1:35" x14ac:dyDescent="0.55000000000000004">
      <c r="A491" s="1">
        <v>489</v>
      </c>
      <c r="B491" s="1" t="s">
        <v>20</v>
      </c>
      <c r="C491" s="1">
        <v>33</v>
      </c>
      <c r="D491" s="1">
        <v>3</v>
      </c>
      <c r="E491" s="1" t="s">
        <v>83</v>
      </c>
      <c r="F491" s="1" t="s">
        <v>84</v>
      </c>
      <c r="G491" s="1">
        <v>23</v>
      </c>
      <c r="H491" s="1">
        <v>2</v>
      </c>
      <c r="I491" s="1">
        <v>23030000</v>
      </c>
      <c r="J491" s="1">
        <v>521</v>
      </c>
      <c r="K491" s="1">
        <v>0</v>
      </c>
      <c r="L491" s="1">
        <v>12677</v>
      </c>
      <c r="M491" s="1">
        <v>12.636443999999999</v>
      </c>
      <c r="N491" s="1">
        <v>102.436325</v>
      </c>
      <c r="O491" s="1">
        <v>3.42</v>
      </c>
      <c r="P491" s="1">
        <v>0.15</v>
      </c>
      <c r="Q491" s="1">
        <v>0.08</v>
      </c>
      <c r="R491" s="1">
        <v>4.88</v>
      </c>
      <c r="S491" s="1">
        <v>2.09</v>
      </c>
      <c r="T491" s="1">
        <v>5.81</v>
      </c>
      <c r="U491" s="1">
        <v>20.149999999999999</v>
      </c>
      <c r="V491" s="1">
        <v>7.7</v>
      </c>
      <c r="W491" s="1">
        <v>9.84</v>
      </c>
      <c r="X491" s="1">
        <v>20871.387785999999</v>
      </c>
      <c r="Y491" s="1">
        <v>13644453.888800001</v>
      </c>
      <c r="Z491" t="str">
        <f>VLOOKUP(G491,'Code Pro'!$A$2:$B$9,2,FALSE)</f>
        <v>จ.ตราด</v>
      </c>
      <c r="AA491" s="8">
        <f t="shared" si="64"/>
        <v>46664032.299695998</v>
      </c>
      <c r="AB491" s="8">
        <f t="shared" si="65"/>
        <v>2046668.08332</v>
      </c>
      <c r="AC491" s="8">
        <f t="shared" si="66"/>
        <v>1091556.3111040001</v>
      </c>
      <c r="AD491" s="8">
        <f t="shared" si="67"/>
        <v>66584934.977343999</v>
      </c>
      <c r="AE491" s="8">
        <f t="shared" si="68"/>
        <v>28516908.627592001</v>
      </c>
      <c r="AF491" s="8">
        <f t="shared" si="69"/>
        <v>79274277.093927994</v>
      </c>
      <c r="AG491" s="8">
        <f t="shared" si="70"/>
        <v>274935745.85931998</v>
      </c>
      <c r="AH491" s="8">
        <f t="shared" si="71"/>
        <v>105062294.94376001</v>
      </c>
      <c r="AI491" s="8">
        <f t="shared" si="72"/>
        <v>134261426.26579201</v>
      </c>
    </row>
    <row r="492" spans="1:35" x14ac:dyDescent="0.55000000000000004">
      <c r="A492" s="1">
        <v>490</v>
      </c>
      <c r="B492" s="1" t="s">
        <v>20</v>
      </c>
      <c r="C492" s="1">
        <v>33</v>
      </c>
      <c r="D492" s="1">
        <v>3</v>
      </c>
      <c r="E492" s="1" t="s">
        <v>83</v>
      </c>
      <c r="F492" s="1" t="s">
        <v>84</v>
      </c>
      <c r="G492" s="1">
        <v>23</v>
      </c>
      <c r="H492" s="1">
        <v>2</v>
      </c>
      <c r="I492" s="1">
        <v>23030000</v>
      </c>
      <c r="J492" s="1">
        <v>522</v>
      </c>
      <c r="K492" s="1">
        <v>0</v>
      </c>
      <c r="L492" s="1">
        <v>12557</v>
      </c>
      <c r="M492" s="1">
        <v>12.555313</v>
      </c>
      <c r="N492" s="1">
        <v>102.436325</v>
      </c>
      <c r="O492" s="1">
        <v>4.0599999999999996</v>
      </c>
      <c r="P492" s="1">
        <v>0.01</v>
      </c>
      <c r="Q492" s="1">
        <v>0.03</v>
      </c>
      <c r="R492" s="1">
        <v>0.09</v>
      </c>
      <c r="S492" s="1">
        <v>3.2</v>
      </c>
      <c r="T492" s="1">
        <v>1.71</v>
      </c>
      <c r="U492" s="1">
        <v>3.84</v>
      </c>
      <c r="V492" s="1">
        <v>10.08</v>
      </c>
      <c r="W492" s="1">
        <v>8.01</v>
      </c>
      <c r="X492" s="1">
        <v>40497.231249999997</v>
      </c>
      <c r="Y492" s="1">
        <v>63048436.8781</v>
      </c>
      <c r="Z492" t="str">
        <f>VLOOKUP(G492,'Code Pro'!$A$2:$B$9,2,FALSE)</f>
        <v>จ.ตราด</v>
      </c>
      <c r="AA492" s="8">
        <f t="shared" si="64"/>
        <v>255976653.72508597</v>
      </c>
      <c r="AB492" s="8">
        <f t="shared" si="65"/>
        <v>630484.36878100003</v>
      </c>
      <c r="AC492" s="8">
        <f t="shared" si="66"/>
        <v>1891453.106343</v>
      </c>
      <c r="AD492" s="8">
        <f t="shared" si="67"/>
        <v>5674359.3190289997</v>
      </c>
      <c r="AE492" s="8">
        <f t="shared" si="68"/>
        <v>201754998.00992</v>
      </c>
      <c r="AF492" s="8">
        <f t="shared" si="69"/>
        <v>107812827.061551</v>
      </c>
      <c r="AG492" s="8">
        <f t="shared" si="70"/>
        <v>242105997.611904</v>
      </c>
      <c r="AH492" s="8">
        <f t="shared" si="71"/>
        <v>635528243.73124802</v>
      </c>
      <c r="AI492" s="8">
        <f t="shared" si="72"/>
        <v>505017979.39358097</v>
      </c>
    </row>
    <row r="493" spans="1:35" x14ac:dyDescent="0.55000000000000004">
      <c r="A493" s="1">
        <v>491</v>
      </c>
      <c r="B493" s="1" t="s">
        <v>20</v>
      </c>
      <c r="C493" s="1">
        <v>33</v>
      </c>
      <c r="D493" s="1">
        <v>3</v>
      </c>
      <c r="E493" s="1" t="s">
        <v>83</v>
      </c>
      <c r="F493" s="1" t="s">
        <v>84</v>
      </c>
      <c r="G493" s="1">
        <v>23</v>
      </c>
      <c r="H493" s="1">
        <v>2</v>
      </c>
      <c r="I493" s="1">
        <v>23030000</v>
      </c>
      <c r="J493" s="1">
        <v>523</v>
      </c>
      <c r="K493" s="1">
        <v>0</v>
      </c>
      <c r="L493" s="1">
        <v>12437</v>
      </c>
      <c r="M493" s="1">
        <v>12.474159</v>
      </c>
      <c r="N493" s="1">
        <v>102.436325</v>
      </c>
      <c r="O493" s="1">
        <v>5.04</v>
      </c>
      <c r="P493" s="1">
        <v>0.09</v>
      </c>
      <c r="Q493" s="1">
        <v>0.03</v>
      </c>
      <c r="R493" s="1">
        <v>0.11</v>
      </c>
      <c r="S493" s="1">
        <v>5.51</v>
      </c>
      <c r="T493" s="1">
        <v>0.92</v>
      </c>
      <c r="U493" s="1">
        <v>8.52</v>
      </c>
      <c r="V493" s="1">
        <v>1.87</v>
      </c>
      <c r="W493" s="1">
        <v>10.29</v>
      </c>
      <c r="X493" s="1">
        <v>36379.966219000002</v>
      </c>
      <c r="Y493" s="1">
        <v>81353412.995199993</v>
      </c>
      <c r="Z493" t="str">
        <f>VLOOKUP(G493,'Code Pro'!$A$2:$B$9,2,FALSE)</f>
        <v>จ.ตราด</v>
      </c>
      <c r="AA493" s="8">
        <f t="shared" si="64"/>
        <v>410021201.49580795</v>
      </c>
      <c r="AB493" s="8">
        <f t="shared" si="65"/>
        <v>7321807.1695679994</v>
      </c>
      <c r="AC493" s="8">
        <f t="shared" si="66"/>
        <v>2440602.3898559995</v>
      </c>
      <c r="AD493" s="8">
        <f t="shared" si="67"/>
        <v>8948875.4294719994</v>
      </c>
      <c r="AE493" s="8">
        <f t="shared" si="68"/>
        <v>448257305.60355192</v>
      </c>
      <c r="AF493" s="8">
        <f t="shared" si="69"/>
        <v>74845139.95558399</v>
      </c>
      <c r="AG493" s="8">
        <f t="shared" si="70"/>
        <v>693131078.71910393</v>
      </c>
      <c r="AH493" s="8">
        <f t="shared" si="71"/>
        <v>152130882.30102399</v>
      </c>
      <c r="AI493" s="8">
        <f t="shared" si="72"/>
        <v>837126619.72060788</v>
      </c>
    </row>
    <row r="494" spans="1:35" x14ac:dyDescent="0.55000000000000004">
      <c r="A494" s="1">
        <v>492</v>
      </c>
      <c r="B494" s="1" t="s">
        <v>20</v>
      </c>
      <c r="C494" s="1">
        <v>33</v>
      </c>
      <c r="D494" s="1">
        <v>3</v>
      </c>
      <c r="E494" s="1" t="s">
        <v>83</v>
      </c>
      <c r="F494" s="1" t="s">
        <v>84</v>
      </c>
      <c r="G494" s="1">
        <v>23</v>
      </c>
      <c r="H494" s="1">
        <v>2</v>
      </c>
      <c r="I494" s="1">
        <v>23030000</v>
      </c>
      <c r="J494" s="1">
        <v>525</v>
      </c>
      <c r="K494" s="1">
        <v>0</v>
      </c>
      <c r="L494" s="1">
        <v>12558</v>
      </c>
      <c r="M494" s="1">
        <v>12.555313</v>
      </c>
      <c r="N494" s="1">
        <v>102.51946</v>
      </c>
      <c r="O494" s="1">
        <v>21.809999000000001</v>
      </c>
      <c r="P494" s="1">
        <v>0.24</v>
      </c>
      <c r="Q494" s="1">
        <v>0.13</v>
      </c>
      <c r="R494" s="1">
        <v>0.09</v>
      </c>
      <c r="S494" s="1">
        <v>5.01</v>
      </c>
      <c r="T494" s="1">
        <v>4.3099999999999996</v>
      </c>
      <c r="U494" s="1">
        <v>19.350000000000001</v>
      </c>
      <c r="V494" s="1">
        <v>8.0299999999999994</v>
      </c>
      <c r="W494" s="1">
        <v>10.199999999999999</v>
      </c>
      <c r="X494" s="1">
        <v>7282.9879899999996</v>
      </c>
      <c r="Y494" s="1">
        <v>1434629.7001799999</v>
      </c>
      <c r="Z494" t="str">
        <f>VLOOKUP(G494,'Code Pro'!$A$2:$B$9,2,FALSE)</f>
        <v>จ.ตราด</v>
      </c>
      <c r="AA494" s="8">
        <f t="shared" si="64"/>
        <v>31289272.326296099</v>
      </c>
      <c r="AB494" s="8">
        <f t="shared" si="65"/>
        <v>344311.12804319995</v>
      </c>
      <c r="AC494" s="8">
        <f t="shared" si="66"/>
        <v>186501.86102340001</v>
      </c>
      <c r="AD494" s="8">
        <f t="shared" si="67"/>
        <v>129116.67301619999</v>
      </c>
      <c r="AE494" s="8">
        <f t="shared" si="68"/>
        <v>7187494.797901799</v>
      </c>
      <c r="AF494" s="8">
        <f t="shared" si="69"/>
        <v>6183254.0077757994</v>
      </c>
      <c r="AG494" s="8">
        <f t="shared" si="70"/>
        <v>27760084.698483001</v>
      </c>
      <c r="AH494" s="8">
        <f t="shared" si="71"/>
        <v>11520076.492445398</v>
      </c>
      <c r="AI494" s="8">
        <f t="shared" si="72"/>
        <v>14633222.941835998</v>
      </c>
    </row>
    <row r="495" spans="1:35" x14ac:dyDescent="0.55000000000000004">
      <c r="A495" s="1">
        <v>493</v>
      </c>
      <c r="B495" s="1" t="s">
        <v>20</v>
      </c>
      <c r="C495" s="1">
        <v>33</v>
      </c>
      <c r="D495" s="1">
        <v>3</v>
      </c>
      <c r="E495" s="1" t="s">
        <v>83</v>
      </c>
      <c r="F495" s="1" t="s">
        <v>84</v>
      </c>
      <c r="G495" s="1">
        <v>23</v>
      </c>
      <c r="H495" s="1">
        <v>2</v>
      </c>
      <c r="I495" s="1">
        <v>23030000</v>
      </c>
      <c r="J495" s="1">
        <v>584</v>
      </c>
      <c r="K495" s="1">
        <v>0</v>
      </c>
      <c r="L495" s="1">
        <v>12439</v>
      </c>
      <c r="M495" s="1">
        <v>12.474159</v>
      </c>
      <c r="N495" s="1">
        <v>102.6026</v>
      </c>
      <c r="O495" s="1">
        <v>10.59</v>
      </c>
      <c r="P495" s="1">
        <v>0.21</v>
      </c>
      <c r="Q495" s="1">
        <v>0.04</v>
      </c>
      <c r="R495" s="1">
        <v>0.12</v>
      </c>
      <c r="S495" s="1">
        <v>0.48</v>
      </c>
      <c r="T495" s="1">
        <v>2.33</v>
      </c>
      <c r="U495" s="1">
        <v>7.34</v>
      </c>
      <c r="V495" s="1">
        <v>3.18</v>
      </c>
      <c r="W495" s="1">
        <v>34.939999</v>
      </c>
      <c r="X495" s="1">
        <v>1765.410126</v>
      </c>
      <c r="Y495" s="1">
        <v>102881.94770400001</v>
      </c>
      <c r="Z495" t="str">
        <f>VLOOKUP(G495,'Code Pro'!$A$2:$B$9,2,FALSE)</f>
        <v>จ.ตราด</v>
      </c>
      <c r="AA495" s="8">
        <f t="shared" si="64"/>
        <v>1089519.8261853601</v>
      </c>
      <c r="AB495" s="8">
        <f t="shared" si="65"/>
        <v>21605.209017839999</v>
      </c>
      <c r="AC495" s="8">
        <f t="shared" si="66"/>
        <v>4115.2779081600002</v>
      </c>
      <c r="AD495" s="8">
        <f t="shared" si="67"/>
        <v>12345.83372448</v>
      </c>
      <c r="AE495" s="8">
        <f t="shared" si="68"/>
        <v>49383.334897920002</v>
      </c>
      <c r="AF495" s="8">
        <f t="shared" si="69"/>
        <v>239714.93815032003</v>
      </c>
      <c r="AG495" s="8">
        <f t="shared" si="70"/>
        <v>755153.49614736007</v>
      </c>
      <c r="AH495" s="8">
        <f t="shared" si="71"/>
        <v>327164.59369872004</v>
      </c>
      <c r="AI495" s="8">
        <f t="shared" si="72"/>
        <v>3594695.1498958124</v>
      </c>
    </row>
    <row r="496" spans="1:35" x14ac:dyDescent="0.55000000000000004">
      <c r="A496" s="1">
        <v>494</v>
      </c>
      <c r="B496" s="1" t="s">
        <v>20</v>
      </c>
      <c r="C496" s="1">
        <v>34</v>
      </c>
      <c r="D496" s="1">
        <v>4</v>
      </c>
      <c r="E496" s="1" t="s">
        <v>85</v>
      </c>
      <c r="F496" s="1" t="s">
        <v>86</v>
      </c>
      <c r="G496" s="1">
        <v>23</v>
      </c>
      <c r="H496" s="1">
        <v>2</v>
      </c>
      <c r="I496" s="1">
        <v>23040000</v>
      </c>
      <c r="J496" s="1">
        <v>514</v>
      </c>
      <c r="K496" s="1">
        <v>0</v>
      </c>
      <c r="L496" s="1">
        <v>12676</v>
      </c>
      <c r="M496" s="1">
        <v>12.636443999999999</v>
      </c>
      <c r="N496" s="1">
        <v>102.35319</v>
      </c>
      <c r="O496" s="1">
        <v>3.75</v>
      </c>
      <c r="P496" s="1">
        <v>0.04</v>
      </c>
      <c r="Q496" s="1">
        <v>0.19</v>
      </c>
      <c r="R496" s="1">
        <v>5.0599999999999996</v>
      </c>
      <c r="S496" s="1">
        <v>19.190000999999999</v>
      </c>
      <c r="T496" s="1">
        <v>2.71</v>
      </c>
      <c r="U496" s="1">
        <v>13.07</v>
      </c>
      <c r="V496" s="1">
        <v>13.06</v>
      </c>
      <c r="W496" s="1">
        <v>5.93</v>
      </c>
      <c r="X496" s="1">
        <v>9242.7044580000002</v>
      </c>
      <c r="Y496" s="1">
        <v>3443962.6325599998</v>
      </c>
      <c r="Z496" t="str">
        <f>VLOOKUP(G496,'Code Pro'!$A$2:$B$9,2,FALSE)</f>
        <v>จ.ตราด</v>
      </c>
      <c r="AA496" s="8">
        <f t="shared" si="64"/>
        <v>12914859.872099999</v>
      </c>
      <c r="AB496" s="8">
        <f t="shared" si="65"/>
        <v>137758.50530240001</v>
      </c>
      <c r="AC496" s="8">
        <f t="shared" si="66"/>
        <v>654352.90018639993</v>
      </c>
      <c r="AD496" s="8">
        <f t="shared" si="67"/>
        <v>17426450.920753598</v>
      </c>
      <c r="AE496" s="8">
        <f t="shared" si="68"/>
        <v>66089646.362789027</v>
      </c>
      <c r="AF496" s="8">
        <f t="shared" si="69"/>
        <v>9333138.7342376001</v>
      </c>
      <c r="AG496" s="8">
        <f t="shared" si="70"/>
        <v>45012591.607559197</v>
      </c>
      <c r="AH496" s="8">
        <f t="shared" si="71"/>
        <v>44978151.981233597</v>
      </c>
      <c r="AI496" s="8">
        <f t="shared" si="72"/>
        <v>20422698.411080796</v>
      </c>
    </row>
    <row r="497" spans="1:35" x14ac:dyDescent="0.55000000000000004">
      <c r="A497" s="1">
        <v>495</v>
      </c>
      <c r="B497" s="1" t="s">
        <v>20</v>
      </c>
      <c r="C497" s="1">
        <v>34</v>
      </c>
      <c r="D497" s="1">
        <v>4</v>
      </c>
      <c r="E497" s="1" t="s">
        <v>85</v>
      </c>
      <c r="F497" s="1" t="s">
        <v>86</v>
      </c>
      <c r="G497" s="1">
        <v>23</v>
      </c>
      <c r="H497" s="1">
        <v>2</v>
      </c>
      <c r="I497" s="1">
        <v>23040000</v>
      </c>
      <c r="J497" s="1">
        <v>518</v>
      </c>
      <c r="K497" s="1">
        <v>0</v>
      </c>
      <c r="L497" s="1">
        <v>12438</v>
      </c>
      <c r="M497" s="1">
        <v>12.474159</v>
      </c>
      <c r="N497" s="1">
        <v>102.51946</v>
      </c>
      <c r="O497" s="1">
        <v>40.169998</v>
      </c>
      <c r="P497" s="1">
        <v>0.09</v>
      </c>
      <c r="Q497" s="1">
        <v>0.05</v>
      </c>
      <c r="R497" s="1">
        <v>0.04</v>
      </c>
      <c r="S497" s="1">
        <v>0.55000000000000004</v>
      </c>
      <c r="T497" s="1">
        <v>0.4</v>
      </c>
      <c r="U497" s="1">
        <v>9.89</v>
      </c>
      <c r="V497" s="1">
        <v>1.67</v>
      </c>
      <c r="W497" s="1">
        <v>23.709999</v>
      </c>
      <c r="X497" s="1">
        <v>33371.251242999999</v>
      </c>
      <c r="Y497" s="1">
        <v>7843542.9398800004</v>
      </c>
      <c r="Z497" t="str">
        <f>VLOOKUP(G497,'Code Pro'!$A$2:$B$9,2,FALSE)</f>
        <v>จ.ตราด</v>
      </c>
      <c r="AA497" s="8">
        <f t="shared" si="64"/>
        <v>315075104.20789373</v>
      </c>
      <c r="AB497" s="8">
        <f t="shared" si="65"/>
        <v>705918.86458920001</v>
      </c>
      <c r="AC497" s="8">
        <f t="shared" si="66"/>
        <v>392177.14699400007</v>
      </c>
      <c r="AD497" s="8">
        <f t="shared" si="67"/>
        <v>313741.7175952</v>
      </c>
      <c r="AE497" s="8">
        <f t="shared" si="68"/>
        <v>4313948.6169340005</v>
      </c>
      <c r="AF497" s="8">
        <f t="shared" si="69"/>
        <v>3137417.1759520005</v>
      </c>
      <c r="AG497" s="8">
        <f t="shared" si="70"/>
        <v>77572639.675413206</v>
      </c>
      <c r="AH497" s="8">
        <f t="shared" si="71"/>
        <v>13098716.709599599</v>
      </c>
      <c r="AI497" s="8">
        <f t="shared" si="72"/>
        <v>185970395.26101187</v>
      </c>
    </row>
    <row r="498" spans="1:35" x14ac:dyDescent="0.55000000000000004">
      <c r="A498" s="1">
        <v>496</v>
      </c>
      <c r="B498" s="1" t="s">
        <v>20</v>
      </c>
      <c r="C498" s="1">
        <v>34</v>
      </c>
      <c r="D498" s="1">
        <v>4</v>
      </c>
      <c r="E498" s="1" t="s">
        <v>85</v>
      </c>
      <c r="F498" s="1" t="s">
        <v>86</v>
      </c>
      <c r="G498" s="1">
        <v>23</v>
      </c>
      <c r="H498" s="1">
        <v>2</v>
      </c>
      <c r="I498" s="1">
        <v>23040000</v>
      </c>
      <c r="J498" s="1">
        <v>521</v>
      </c>
      <c r="K498" s="1">
        <v>0</v>
      </c>
      <c r="L498" s="1">
        <v>12677</v>
      </c>
      <c r="M498" s="1">
        <v>12.636443999999999</v>
      </c>
      <c r="N498" s="1">
        <v>102.436325</v>
      </c>
      <c r="O498" s="1">
        <v>3.42</v>
      </c>
      <c r="P498" s="1">
        <v>0.15</v>
      </c>
      <c r="Q498" s="1">
        <v>0.08</v>
      </c>
      <c r="R498" s="1">
        <v>4.88</v>
      </c>
      <c r="S498" s="1">
        <v>2.09</v>
      </c>
      <c r="T498" s="1">
        <v>5.81</v>
      </c>
      <c r="U498" s="1">
        <v>20.149999999999999</v>
      </c>
      <c r="V498" s="1">
        <v>7.7</v>
      </c>
      <c r="W498" s="1">
        <v>9.84</v>
      </c>
      <c r="X498" s="1">
        <v>34299.368044000003</v>
      </c>
      <c r="Y498" s="1">
        <v>66779123.725299999</v>
      </c>
      <c r="Z498" t="str">
        <f>VLOOKUP(G498,'Code Pro'!$A$2:$B$9,2,FALSE)</f>
        <v>จ.ตราด</v>
      </c>
      <c r="AA498" s="8">
        <f t="shared" si="64"/>
        <v>228384603.140526</v>
      </c>
      <c r="AB498" s="8">
        <f t="shared" si="65"/>
        <v>10016868.558794999</v>
      </c>
      <c r="AC498" s="8">
        <f t="shared" si="66"/>
        <v>5342329.8980240002</v>
      </c>
      <c r="AD498" s="8">
        <f t="shared" si="67"/>
        <v>325882123.77946401</v>
      </c>
      <c r="AE498" s="8">
        <f t="shared" si="68"/>
        <v>139568368.585877</v>
      </c>
      <c r="AF498" s="8">
        <f t="shared" si="69"/>
        <v>387986708.84399295</v>
      </c>
      <c r="AG498" s="8">
        <f t="shared" si="70"/>
        <v>1345599343.0647948</v>
      </c>
      <c r="AH498" s="8">
        <f t="shared" si="71"/>
        <v>514199252.68480998</v>
      </c>
      <c r="AI498" s="8">
        <f t="shared" si="72"/>
        <v>657106577.45695198</v>
      </c>
    </row>
    <row r="499" spans="1:35" x14ac:dyDescent="0.55000000000000004">
      <c r="A499" s="1">
        <v>497</v>
      </c>
      <c r="B499" s="1" t="s">
        <v>20</v>
      </c>
      <c r="C499" s="1">
        <v>34</v>
      </c>
      <c r="D499" s="1">
        <v>4</v>
      </c>
      <c r="E499" s="1" t="s">
        <v>85</v>
      </c>
      <c r="F499" s="1" t="s">
        <v>86</v>
      </c>
      <c r="G499" s="1">
        <v>23</v>
      </c>
      <c r="H499" s="1">
        <v>2</v>
      </c>
      <c r="I499" s="1">
        <v>23040000</v>
      </c>
      <c r="J499" s="1">
        <v>522</v>
      </c>
      <c r="K499" s="1">
        <v>0</v>
      </c>
      <c r="L499" s="1">
        <v>12557</v>
      </c>
      <c r="M499" s="1">
        <v>12.555313</v>
      </c>
      <c r="N499" s="1">
        <v>102.436325</v>
      </c>
      <c r="O499" s="1">
        <v>4.0599999999999996</v>
      </c>
      <c r="P499" s="1">
        <v>0.01</v>
      </c>
      <c r="Q499" s="1">
        <v>0.03</v>
      </c>
      <c r="R499" s="1">
        <v>0.09</v>
      </c>
      <c r="S499" s="1">
        <v>3.2</v>
      </c>
      <c r="T499" s="1">
        <v>1.71</v>
      </c>
      <c r="U499" s="1">
        <v>3.84</v>
      </c>
      <c r="V499" s="1">
        <v>10.08</v>
      </c>
      <c r="W499" s="1">
        <v>8.01</v>
      </c>
      <c r="X499" s="1">
        <v>18085.027119999999</v>
      </c>
      <c r="Y499" s="1">
        <v>12466825.090700001</v>
      </c>
      <c r="Z499" t="str">
        <f>VLOOKUP(G499,'Code Pro'!$A$2:$B$9,2,FALSE)</f>
        <v>จ.ตราด</v>
      </c>
      <c r="AA499" s="8">
        <f t="shared" si="64"/>
        <v>50615309.868241996</v>
      </c>
      <c r="AB499" s="8">
        <f t="shared" si="65"/>
        <v>124668.25090700001</v>
      </c>
      <c r="AC499" s="8">
        <f t="shared" si="66"/>
        <v>374004.752721</v>
      </c>
      <c r="AD499" s="8">
        <f t="shared" si="67"/>
        <v>1122014.258163</v>
      </c>
      <c r="AE499" s="8">
        <f t="shared" si="68"/>
        <v>39893840.290240005</v>
      </c>
      <c r="AF499" s="8">
        <f t="shared" si="69"/>
        <v>21318270.905097</v>
      </c>
      <c r="AG499" s="8">
        <f t="shared" si="70"/>
        <v>47872608.348288</v>
      </c>
      <c r="AH499" s="8">
        <f t="shared" si="71"/>
        <v>125665596.91425601</v>
      </c>
      <c r="AI499" s="8">
        <f t="shared" si="72"/>
        <v>99859268.976507008</v>
      </c>
    </row>
    <row r="500" spans="1:35" x14ac:dyDescent="0.55000000000000004">
      <c r="A500" s="1">
        <v>498</v>
      </c>
      <c r="B500" s="1" t="s">
        <v>20</v>
      </c>
      <c r="C500" s="1">
        <v>34</v>
      </c>
      <c r="D500" s="1">
        <v>4</v>
      </c>
      <c r="E500" s="1" t="s">
        <v>85</v>
      </c>
      <c r="F500" s="1" t="s">
        <v>86</v>
      </c>
      <c r="G500" s="1">
        <v>23</v>
      </c>
      <c r="H500" s="1">
        <v>2</v>
      </c>
      <c r="I500" s="1">
        <v>23040000</v>
      </c>
      <c r="J500" s="1">
        <v>523</v>
      </c>
      <c r="K500" s="1">
        <v>0</v>
      </c>
      <c r="L500" s="1">
        <v>12437</v>
      </c>
      <c r="M500" s="1">
        <v>12.474159</v>
      </c>
      <c r="N500" s="1">
        <v>102.436325</v>
      </c>
      <c r="O500" s="1">
        <v>5.04</v>
      </c>
      <c r="P500" s="1">
        <v>0.09</v>
      </c>
      <c r="Q500" s="1">
        <v>0.03</v>
      </c>
      <c r="R500" s="1">
        <v>0.11</v>
      </c>
      <c r="S500" s="1">
        <v>5.51</v>
      </c>
      <c r="T500" s="1">
        <v>0.92</v>
      </c>
      <c r="U500" s="1">
        <v>8.52</v>
      </c>
      <c r="V500" s="1">
        <v>1.87</v>
      </c>
      <c r="W500" s="1">
        <v>10.29</v>
      </c>
      <c r="X500" s="1">
        <v>582.04715399999998</v>
      </c>
      <c r="Y500" s="1">
        <v>17504.599558999998</v>
      </c>
      <c r="Z500" t="str">
        <f>VLOOKUP(G500,'Code Pro'!$A$2:$B$9,2,FALSE)</f>
        <v>จ.ตราด</v>
      </c>
      <c r="AA500" s="8">
        <f t="shared" si="64"/>
        <v>88223.181777359991</v>
      </c>
      <c r="AB500" s="8">
        <f t="shared" si="65"/>
        <v>1575.4139603099998</v>
      </c>
      <c r="AC500" s="8">
        <f t="shared" si="66"/>
        <v>525.13798676999988</v>
      </c>
      <c r="AD500" s="8">
        <f t="shared" si="67"/>
        <v>1925.5059514899999</v>
      </c>
      <c r="AE500" s="8">
        <f t="shared" si="68"/>
        <v>96450.343570089986</v>
      </c>
      <c r="AF500" s="8">
        <f t="shared" si="69"/>
        <v>16104.23159428</v>
      </c>
      <c r="AG500" s="8">
        <f t="shared" si="70"/>
        <v>149139.18824267999</v>
      </c>
      <c r="AH500" s="8">
        <f t="shared" si="71"/>
        <v>32733.601175329997</v>
      </c>
      <c r="AI500" s="8">
        <f t="shared" si="72"/>
        <v>180122.32946210998</v>
      </c>
    </row>
    <row r="501" spans="1:35" x14ac:dyDescent="0.55000000000000004">
      <c r="A501" s="1">
        <v>499</v>
      </c>
      <c r="B501" s="1" t="s">
        <v>20</v>
      </c>
      <c r="C501" s="1">
        <v>34</v>
      </c>
      <c r="D501" s="1">
        <v>4</v>
      </c>
      <c r="E501" s="1" t="s">
        <v>85</v>
      </c>
      <c r="F501" s="1" t="s">
        <v>86</v>
      </c>
      <c r="G501" s="1">
        <v>23</v>
      </c>
      <c r="H501" s="1">
        <v>2</v>
      </c>
      <c r="I501" s="1">
        <v>23040000</v>
      </c>
      <c r="J501" s="1">
        <v>524</v>
      </c>
      <c r="K501" s="1">
        <v>0</v>
      </c>
      <c r="L501" s="1">
        <v>12678</v>
      </c>
      <c r="M501" s="1">
        <v>12.636443999999999</v>
      </c>
      <c r="N501" s="1">
        <v>102.51946</v>
      </c>
      <c r="O501" s="1">
        <v>6.91</v>
      </c>
      <c r="P501" s="1">
        <v>0.1</v>
      </c>
      <c r="Q501" s="1">
        <v>0.28999999999999998</v>
      </c>
      <c r="R501" s="1">
        <v>4.51</v>
      </c>
      <c r="S501" s="1">
        <v>6.38</v>
      </c>
      <c r="T501" s="1">
        <v>12.66</v>
      </c>
      <c r="U501" s="1">
        <v>16.399999999999999</v>
      </c>
      <c r="V501" s="1">
        <v>0.56000000000000005</v>
      </c>
      <c r="W501" s="1">
        <v>14.28</v>
      </c>
      <c r="X501" s="1">
        <v>35427.285830000001</v>
      </c>
      <c r="Y501" s="1">
        <v>68860076.417500004</v>
      </c>
      <c r="Z501" t="str">
        <f>VLOOKUP(G501,'Code Pro'!$A$2:$B$9,2,FALSE)</f>
        <v>จ.ตราด</v>
      </c>
      <c r="AA501" s="8">
        <f t="shared" si="64"/>
        <v>475823128.04492503</v>
      </c>
      <c r="AB501" s="8">
        <f t="shared" si="65"/>
        <v>6886007.6417500004</v>
      </c>
      <c r="AC501" s="8">
        <f t="shared" si="66"/>
        <v>19969422.161075</v>
      </c>
      <c r="AD501" s="8">
        <f t="shared" si="67"/>
        <v>310558944.64292502</v>
      </c>
      <c r="AE501" s="8">
        <f t="shared" si="68"/>
        <v>439327287.54365003</v>
      </c>
      <c r="AF501" s="8">
        <f t="shared" si="69"/>
        <v>871768567.44555008</v>
      </c>
      <c r="AG501" s="8">
        <f t="shared" si="70"/>
        <v>1129305253.247</v>
      </c>
      <c r="AH501" s="8">
        <f t="shared" si="71"/>
        <v>38561642.793800004</v>
      </c>
      <c r="AI501" s="8">
        <f t="shared" si="72"/>
        <v>983321891.24189997</v>
      </c>
    </row>
    <row r="502" spans="1:35" x14ac:dyDescent="0.55000000000000004">
      <c r="A502" s="1">
        <v>500</v>
      </c>
      <c r="B502" s="1" t="s">
        <v>20</v>
      </c>
      <c r="C502" s="1">
        <v>34</v>
      </c>
      <c r="D502" s="1">
        <v>4</v>
      </c>
      <c r="E502" s="1" t="s">
        <v>85</v>
      </c>
      <c r="F502" s="1" t="s">
        <v>86</v>
      </c>
      <c r="G502" s="1">
        <v>23</v>
      </c>
      <c r="H502" s="1">
        <v>2</v>
      </c>
      <c r="I502" s="1">
        <v>23040000</v>
      </c>
      <c r="J502" s="1">
        <v>525</v>
      </c>
      <c r="K502" s="1">
        <v>0</v>
      </c>
      <c r="L502" s="1">
        <v>12558</v>
      </c>
      <c r="M502" s="1">
        <v>12.555313</v>
      </c>
      <c r="N502" s="1">
        <v>102.51946</v>
      </c>
      <c r="O502" s="1">
        <v>21.809999000000001</v>
      </c>
      <c r="P502" s="1">
        <v>0.24</v>
      </c>
      <c r="Q502" s="1">
        <v>0.13</v>
      </c>
      <c r="R502" s="1">
        <v>0.09</v>
      </c>
      <c r="S502" s="1">
        <v>5.01</v>
      </c>
      <c r="T502" s="1">
        <v>4.3099999999999996</v>
      </c>
      <c r="U502" s="1">
        <v>19.350000000000001</v>
      </c>
      <c r="V502" s="1">
        <v>8.0299999999999994</v>
      </c>
      <c r="W502" s="1">
        <v>10.199999999999999</v>
      </c>
      <c r="X502" s="1">
        <v>35755.872898000001</v>
      </c>
      <c r="Y502" s="1">
        <v>79896814.669599995</v>
      </c>
      <c r="Z502" t="str">
        <f>VLOOKUP(G502,'Code Pro'!$A$2:$B$9,2,FALSE)</f>
        <v>จ.ตราด</v>
      </c>
      <c r="AA502" s="8">
        <f t="shared" si="64"/>
        <v>1742549448.0471613</v>
      </c>
      <c r="AB502" s="8">
        <f t="shared" si="65"/>
        <v>19175235.520703997</v>
      </c>
      <c r="AC502" s="8">
        <f t="shared" si="66"/>
        <v>10386585.907048</v>
      </c>
      <c r="AD502" s="8">
        <f t="shared" si="67"/>
        <v>7190713.3202639995</v>
      </c>
      <c r="AE502" s="8">
        <f t="shared" si="68"/>
        <v>400283041.49469596</v>
      </c>
      <c r="AF502" s="8">
        <f t="shared" si="69"/>
        <v>344355271.22597593</v>
      </c>
      <c r="AG502" s="8">
        <f t="shared" si="70"/>
        <v>1546003363.85676</v>
      </c>
      <c r="AH502" s="8">
        <f t="shared" si="71"/>
        <v>641571421.79688787</v>
      </c>
      <c r="AI502" s="8">
        <f t="shared" si="72"/>
        <v>814947509.62991989</v>
      </c>
    </row>
    <row r="503" spans="1:35" x14ac:dyDescent="0.55000000000000004">
      <c r="A503" s="1">
        <v>501</v>
      </c>
      <c r="B503" s="1" t="s">
        <v>20</v>
      </c>
      <c r="C503" s="1">
        <v>34</v>
      </c>
      <c r="D503" s="1">
        <v>4</v>
      </c>
      <c r="E503" s="1" t="s">
        <v>85</v>
      </c>
      <c r="F503" s="1" t="s">
        <v>86</v>
      </c>
      <c r="G503" s="1">
        <v>23</v>
      </c>
      <c r="H503" s="1">
        <v>2</v>
      </c>
      <c r="I503" s="1">
        <v>23040000</v>
      </c>
      <c r="J503" s="1">
        <v>552</v>
      </c>
      <c r="K503" s="1">
        <v>0</v>
      </c>
      <c r="L503" s="1">
        <v>12796</v>
      </c>
      <c r="M503" s="1">
        <v>12.717560000000001</v>
      </c>
      <c r="N503" s="1">
        <v>102.35319</v>
      </c>
      <c r="O503" s="1">
        <v>1.5</v>
      </c>
      <c r="P503" s="1">
        <v>0.03</v>
      </c>
      <c r="Q503" s="1">
        <v>2.89</v>
      </c>
      <c r="R503" s="1">
        <v>6.88</v>
      </c>
      <c r="S503" s="1">
        <v>3.84</v>
      </c>
      <c r="T503" s="1">
        <v>22.870000999999998</v>
      </c>
      <c r="U503" s="1">
        <v>28.59</v>
      </c>
      <c r="V503" s="1">
        <v>0.43</v>
      </c>
      <c r="W503" s="1">
        <v>18.829999999999998</v>
      </c>
      <c r="X503" s="1">
        <v>4986.3365229999999</v>
      </c>
      <c r="Y503" s="1">
        <v>428890.821092</v>
      </c>
      <c r="Z503" t="str">
        <f>VLOOKUP(G503,'Code Pro'!$A$2:$B$9,2,FALSE)</f>
        <v>จ.ตราด</v>
      </c>
      <c r="AA503" s="8">
        <f t="shared" si="64"/>
        <v>643336.231638</v>
      </c>
      <c r="AB503" s="8">
        <f t="shared" si="65"/>
        <v>12866.724632759999</v>
      </c>
      <c r="AC503" s="8">
        <f t="shared" si="66"/>
        <v>1239494.47295588</v>
      </c>
      <c r="AD503" s="8">
        <f t="shared" si="67"/>
        <v>2950768.84911296</v>
      </c>
      <c r="AE503" s="8">
        <f t="shared" si="68"/>
        <v>1646940.7529932798</v>
      </c>
      <c r="AF503" s="8">
        <f t="shared" si="69"/>
        <v>9808733.50726486</v>
      </c>
      <c r="AG503" s="8">
        <f t="shared" si="70"/>
        <v>12261988.57502028</v>
      </c>
      <c r="AH503" s="8">
        <f t="shared" si="71"/>
        <v>184423.05306956</v>
      </c>
      <c r="AI503" s="8">
        <f t="shared" si="72"/>
        <v>8076014.1611623596</v>
      </c>
    </row>
    <row r="504" spans="1:35" x14ac:dyDescent="0.55000000000000004">
      <c r="A504" s="1">
        <v>502</v>
      </c>
      <c r="B504" s="1" t="s">
        <v>20</v>
      </c>
      <c r="C504" s="1">
        <v>34</v>
      </c>
      <c r="D504" s="1">
        <v>4</v>
      </c>
      <c r="E504" s="1" t="s">
        <v>85</v>
      </c>
      <c r="F504" s="1" t="s">
        <v>86</v>
      </c>
      <c r="G504" s="1">
        <v>23</v>
      </c>
      <c r="H504" s="1">
        <v>2</v>
      </c>
      <c r="I504" s="1">
        <v>23040000</v>
      </c>
      <c r="J504" s="1">
        <v>558</v>
      </c>
      <c r="K504" s="1">
        <v>0</v>
      </c>
      <c r="L504" s="1">
        <v>12797</v>
      </c>
      <c r="M504" s="1">
        <v>12.717560000000001</v>
      </c>
      <c r="N504" s="1">
        <v>102.436325</v>
      </c>
      <c r="O504" s="1">
        <v>21.59</v>
      </c>
      <c r="P504" s="1">
        <v>0.49</v>
      </c>
      <c r="Q504" s="1">
        <v>0.68</v>
      </c>
      <c r="R504" s="1">
        <v>11.2</v>
      </c>
      <c r="S504" s="1">
        <v>4.28</v>
      </c>
      <c r="T504" s="1">
        <v>28.68</v>
      </c>
      <c r="U504" s="1">
        <v>9.84</v>
      </c>
      <c r="V504" s="1">
        <v>0.69</v>
      </c>
      <c r="W504" s="1">
        <v>16.379999000000002</v>
      </c>
      <c r="X504" s="1">
        <v>30911.151000999998</v>
      </c>
      <c r="Y504" s="1">
        <v>44945678.696099997</v>
      </c>
      <c r="Z504" t="str">
        <f>VLOOKUP(G504,'Code Pro'!$A$2:$B$9,2,FALSE)</f>
        <v>จ.ตราด</v>
      </c>
      <c r="AA504" s="8">
        <f t="shared" si="64"/>
        <v>970377203.04879892</v>
      </c>
      <c r="AB504" s="8">
        <f t="shared" si="65"/>
        <v>22023382.561088998</v>
      </c>
      <c r="AC504" s="8">
        <f t="shared" si="66"/>
        <v>30563061.513347998</v>
      </c>
      <c r="AD504" s="8">
        <f t="shared" si="67"/>
        <v>503391601.39631993</v>
      </c>
      <c r="AE504" s="8">
        <f t="shared" si="68"/>
        <v>192367504.81930798</v>
      </c>
      <c r="AF504" s="8">
        <f t="shared" si="69"/>
        <v>1289042065.004148</v>
      </c>
      <c r="AG504" s="8">
        <f t="shared" si="70"/>
        <v>442265478.36962396</v>
      </c>
      <c r="AH504" s="8">
        <f t="shared" si="71"/>
        <v>31012518.300308995</v>
      </c>
      <c r="AI504" s="8">
        <f t="shared" si="72"/>
        <v>736210172.09643936</v>
      </c>
    </row>
    <row r="505" spans="1:35" x14ac:dyDescent="0.55000000000000004">
      <c r="A505" s="1">
        <v>503</v>
      </c>
      <c r="B505" s="1" t="s">
        <v>20</v>
      </c>
      <c r="C505" s="1">
        <v>34</v>
      </c>
      <c r="D505" s="1">
        <v>4</v>
      </c>
      <c r="E505" s="1" t="s">
        <v>85</v>
      </c>
      <c r="F505" s="1" t="s">
        <v>86</v>
      </c>
      <c r="G505" s="1">
        <v>23</v>
      </c>
      <c r="H505" s="1">
        <v>2</v>
      </c>
      <c r="I505" s="1">
        <v>23040000</v>
      </c>
      <c r="J505" s="1">
        <v>560</v>
      </c>
      <c r="K505" s="1">
        <v>0</v>
      </c>
      <c r="L505" s="1">
        <v>12798</v>
      </c>
      <c r="M505" s="1">
        <v>12.717560000000001</v>
      </c>
      <c r="N505" s="1">
        <v>102.51946</v>
      </c>
      <c r="O505" s="1">
        <v>34.57</v>
      </c>
      <c r="P505" s="1">
        <v>0.61</v>
      </c>
      <c r="Q505" s="1">
        <v>0.37</v>
      </c>
      <c r="R505" s="1">
        <v>21.92</v>
      </c>
      <c r="S505" s="1">
        <v>10.58</v>
      </c>
      <c r="T505" s="1">
        <v>50.459999000000003</v>
      </c>
      <c r="U505" s="1">
        <v>0.32</v>
      </c>
      <c r="V505" s="1">
        <v>3.26</v>
      </c>
      <c r="W505" s="1">
        <v>0.93</v>
      </c>
      <c r="X505" s="1">
        <v>24934.558540999999</v>
      </c>
      <c r="Y505" s="1">
        <v>23684015.992899999</v>
      </c>
      <c r="Z505" t="str">
        <f>VLOOKUP(G505,'Code Pro'!$A$2:$B$9,2,FALSE)</f>
        <v>จ.ตราด</v>
      </c>
      <c r="AA505" s="8">
        <f t="shared" si="64"/>
        <v>818756432.87455297</v>
      </c>
      <c r="AB505" s="8">
        <f t="shared" si="65"/>
        <v>14447249.755669</v>
      </c>
      <c r="AC505" s="8">
        <f t="shared" si="66"/>
        <v>8763085.9173729997</v>
      </c>
      <c r="AD505" s="8">
        <f t="shared" si="67"/>
        <v>519153630.56436801</v>
      </c>
      <c r="AE505" s="8">
        <f t="shared" si="68"/>
        <v>250576889.204882</v>
      </c>
      <c r="AF505" s="8">
        <f t="shared" si="69"/>
        <v>1195095423.317718</v>
      </c>
      <c r="AG505" s="8">
        <f t="shared" si="70"/>
        <v>7578885.1177279996</v>
      </c>
      <c r="AH505" s="8">
        <f t="shared" si="71"/>
        <v>77209892.136853993</v>
      </c>
      <c r="AI505" s="8">
        <f t="shared" si="72"/>
        <v>22026134.873397</v>
      </c>
    </row>
    <row r="506" spans="1:35" x14ac:dyDescent="0.55000000000000004">
      <c r="A506" s="1">
        <v>504</v>
      </c>
      <c r="B506" s="1" t="s">
        <v>20</v>
      </c>
      <c r="C506" s="1">
        <v>34</v>
      </c>
      <c r="D506" s="1">
        <v>4</v>
      </c>
      <c r="E506" s="1" t="s">
        <v>85</v>
      </c>
      <c r="F506" s="1" t="s">
        <v>86</v>
      </c>
      <c r="G506" s="1">
        <v>23</v>
      </c>
      <c r="H506" s="1">
        <v>2</v>
      </c>
      <c r="I506" s="1">
        <v>23040000</v>
      </c>
      <c r="J506" s="1">
        <v>571</v>
      </c>
      <c r="K506" s="1">
        <v>0</v>
      </c>
      <c r="L506" s="1">
        <v>12440</v>
      </c>
      <c r="M506" s="1">
        <v>12.474159</v>
      </c>
      <c r="N506" s="1">
        <v>102.68574</v>
      </c>
      <c r="O506" s="1">
        <v>38.650002000000001</v>
      </c>
      <c r="P506" s="1">
        <v>2.66</v>
      </c>
      <c r="Q506" s="1">
        <v>0.32</v>
      </c>
      <c r="R506" s="1">
        <v>0.08</v>
      </c>
      <c r="S506" s="1">
        <v>0.03</v>
      </c>
      <c r="T506" s="1">
        <v>18.399999999999999</v>
      </c>
      <c r="U506" s="1">
        <v>2.72</v>
      </c>
      <c r="V506" s="1">
        <v>0.45</v>
      </c>
      <c r="W506" s="1">
        <v>17.799999</v>
      </c>
      <c r="X506" s="1">
        <v>38226.168949999999</v>
      </c>
      <c r="Y506" s="1">
        <v>79117161.806700006</v>
      </c>
      <c r="Z506" t="str">
        <f>VLOOKUP(G506,'Code Pro'!$A$2:$B$9,2,FALSE)</f>
        <v>จ.ตราด</v>
      </c>
      <c r="AA506" s="8">
        <f t="shared" si="64"/>
        <v>3057878462.0632787</v>
      </c>
      <c r="AB506" s="8">
        <f t="shared" si="65"/>
        <v>210451650.40582204</v>
      </c>
      <c r="AC506" s="8">
        <f t="shared" si="66"/>
        <v>25317491.778144002</v>
      </c>
      <c r="AD506" s="8">
        <f t="shared" si="67"/>
        <v>6329372.9445360005</v>
      </c>
      <c r="AE506" s="8">
        <f t="shared" si="68"/>
        <v>2373514.8542010002</v>
      </c>
      <c r="AF506" s="8">
        <f t="shared" si="69"/>
        <v>1455755777.2432799</v>
      </c>
      <c r="AG506" s="8">
        <f t="shared" si="70"/>
        <v>215198680.11422405</v>
      </c>
      <c r="AH506" s="8">
        <f t="shared" si="71"/>
        <v>35602722.813015006</v>
      </c>
      <c r="AI506" s="8">
        <f t="shared" si="72"/>
        <v>1408285401.0420983</v>
      </c>
    </row>
    <row r="507" spans="1:35" x14ac:dyDescent="0.55000000000000004">
      <c r="A507" s="1">
        <v>505</v>
      </c>
      <c r="B507" s="1" t="s">
        <v>20</v>
      </c>
      <c r="C507" s="1">
        <v>34</v>
      </c>
      <c r="D507" s="1">
        <v>4</v>
      </c>
      <c r="E507" s="1" t="s">
        <v>85</v>
      </c>
      <c r="F507" s="1" t="s">
        <v>86</v>
      </c>
      <c r="G507" s="1">
        <v>23</v>
      </c>
      <c r="H507" s="1">
        <v>2</v>
      </c>
      <c r="I507" s="1">
        <v>23040000</v>
      </c>
      <c r="J507" s="1">
        <v>572</v>
      </c>
      <c r="K507" s="1">
        <v>0</v>
      </c>
      <c r="L507" s="1">
        <v>12319</v>
      </c>
      <c r="M507" s="1">
        <v>12.392967000000001</v>
      </c>
      <c r="N507" s="1">
        <v>102.6026</v>
      </c>
      <c r="O507" s="1">
        <v>3.52</v>
      </c>
      <c r="P507" s="1">
        <v>0.56999999999999995</v>
      </c>
      <c r="Q507" s="1">
        <v>0.23</v>
      </c>
      <c r="R507" s="1">
        <v>0.22</v>
      </c>
      <c r="S507" s="1">
        <v>7.44</v>
      </c>
      <c r="T507" s="1">
        <v>1.02</v>
      </c>
      <c r="U507" s="1">
        <v>9.08</v>
      </c>
      <c r="V507" s="1">
        <v>5.84</v>
      </c>
      <c r="W507" s="1">
        <v>21.65</v>
      </c>
      <c r="X507" s="1">
        <v>17024.374324</v>
      </c>
      <c r="Y507" s="1">
        <v>15237571.1143</v>
      </c>
      <c r="Z507" t="str">
        <f>VLOOKUP(G507,'Code Pro'!$A$2:$B$9,2,FALSE)</f>
        <v>จ.ตราด</v>
      </c>
      <c r="AA507" s="8">
        <f t="shared" si="64"/>
        <v>53636250.322335996</v>
      </c>
      <c r="AB507" s="8">
        <f t="shared" si="65"/>
        <v>8685415.5351509992</v>
      </c>
      <c r="AC507" s="8">
        <f t="shared" si="66"/>
        <v>3504641.3562890003</v>
      </c>
      <c r="AD507" s="8">
        <f t="shared" si="67"/>
        <v>3352265.6451459997</v>
      </c>
      <c r="AE507" s="8">
        <f t="shared" si="68"/>
        <v>113367529.09039201</v>
      </c>
      <c r="AF507" s="8">
        <f t="shared" si="69"/>
        <v>15542322.536586</v>
      </c>
      <c r="AG507" s="8">
        <f t="shared" si="70"/>
        <v>138357145.71784401</v>
      </c>
      <c r="AH507" s="8">
        <f t="shared" si="71"/>
        <v>88987415.307512</v>
      </c>
      <c r="AI507" s="8">
        <f t="shared" si="72"/>
        <v>329893414.62459499</v>
      </c>
    </row>
    <row r="508" spans="1:35" x14ac:dyDescent="0.55000000000000004">
      <c r="A508" s="1">
        <v>506</v>
      </c>
      <c r="B508" s="1" t="s">
        <v>20</v>
      </c>
      <c r="C508" s="1">
        <v>34</v>
      </c>
      <c r="D508" s="1">
        <v>4</v>
      </c>
      <c r="E508" s="1" t="s">
        <v>85</v>
      </c>
      <c r="F508" s="1" t="s">
        <v>86</v>
      </c>
      <c r="G508" s="1">
        <v>23</v>
      </c>
      <c r="H508" s="1">
        <v>2</v>
      </c>
      <c r="I508" s="1">
        <v>23040000</v>
      </c>
      <c r="J508" s="1">
        <v>573</v>
      </c>
      <c r="K508" s="1">
        <v>0</v>
      </c>
      <c r="L508" s="1">
        <v>12320</v>
      </c>
      <c r="M508" s="1">
        <v>12.392967000000001</v>
      </c>
      <c r="N508" s="1">
        <v>102.68574</v>
      </c>
      <c r="O508" s="1">
        <v>21.23</v>
      </c>
      <c r="P508" s="1">
        <v>2.25</v>
      </c>
      <c r="Q508" s="1">
        <v>0.01</v>
      </c>
      <c r="R508" s="1">
        <v>0.01</v>
      </c>
      <c r="S508" s="1">
        <v>0.24</v>
      </c>
      <c r="T508" s="1">
        <v>10.8</v>
      </c>
      <c r="U508" s="1">
        <v>2.2000000000000002</v>
      </c>
      <c r="V508" s="1">
        <v>3.46</v>
      </c>
      <c r="W508" s="1">
        <v>51.450001</v>
      </c>
      <c r="X508" s="1">
        <v>28200.554856999999</v>
      </c>
      <c r="Y508" s="1">
        <v>32742436.414799999</v>
      </c>
      <c r="Z508" t="str">
        <f>VLOOKUP(G508,'Code Pro'!$A$2:$B$9,2,FALSE)</f>
        <v>จ.ตราด</v>
      </c>
      <c r="AA508" s="8">
        <f t="shared" si="64"/>
        <v>695121925.08620405</v>
      </c>
      <c r="AB508" s="8">
        <f t="shared" si="65"/>
        <v>73670481.933300003</v>
      </c>
      <c r="AC508" s="8">
        <f t="shared" si="66"/>
        <v>327424.36414800002</v>
      </c>
      <c r="AD508" s="8">
        <f t="shared" si="67"/>
        <v>327424.36414800002</v>
      </c>
      <c r="AE508" s="8">
        <f t="shared" si="68"/>
        <v>7858184.7395519996</v>
      </c>
      <c r="AF508" s="8">
        <f t="shared" si="69"/>
        <v>353618313.27983999</v>
      </c>
      <c r="AG508" s="8">
        <f t="shared" si="70"/>
        <v>72033360.112560004</v>
      </c>
      <c r="AH508" s="8">
        <f t="shared" si="71"/>
        <v>113288829.995208</v>
      </c>
      <c r="AI508" s="8">
        <f t="shared" si="72"/>
        <v>1684598386.2838964</v>
      </c>
    </row>
    <row r="509" spans="1:35" x14ac:dyDescent="0.55000000000000004">
      <c r="A509" s="1">
        <v>507</v>
      </c>
      <c r="B509" s="1" t="s">
        <v>20</v>
      </c>
      <c r="C509" s="1">
        <v>34</v>
      </c>
      <c r="D509" s="1">
        <v>4</v>
      </c>
      <c r="E509" s="1" t="s">
        <v>85</v>
      </c>
      <c r="F509" s="1" t="s">
        <v>86</v>
      </c>
      <c r="G509" s="1">
        <v>23</v>
      </c>
      <c r="H509" s="1">
        <v>2</v>
      </c>
      <c r="I509" s="1">
        <v>23040000</v>
      </c>
      <c r="J509" s="1">
        <v>577</v>
      </c>
      <c r="K509" s="1">
        <v>0</v>
      </c>
      <c r="L509" s="1">
        <v>12321</v>
      </c>
      <c r="M509" s="1">
        <v>12.392967000000001</v>
      </c>
      <c r="N509" s="1">
        <v>102.76887000000001</v>
      </c>
      <c r="O509" s="1">
        <v>84.660004000000001</v>
      </c>
      <c r="P509" s="1">
        <v>2.64</v>
      </c>
      <c r="Q509" s="1">
        <v>0.01</v>
      </c>
      <c r="R509" s="1">
        <v>0.02</v>
      </c>
      <c r="S509" s="1">
        <v>2.2000000000000002</v>
      </c>
      <c r="T509" s="1">
        <v>42.099997999999999</v>
      </c>
      <c r="U509" s="1">
        <v>3.85</v>
      </c>
      <c r="V509" s="1">
        <v>1.07</v>
      </c>
      <c r="W509" s="1">
        <v>30.709999</v>
      </c>
      <c r="X509" s="1">
        <v>15732.591675</v>
      </c>
      <c r="Y509" s="1">
        <v>8398053.8925700001</v>
      </c>
      <c r="Z509" t="str">
        <f>VLOOKUP(G509,'Code Pro'!$A$2:$B$9,2,FALSE)</f>
        <v>จ.ตราด</v>
      </c>
      <c r="AA509" s="8">
        <f t="shared" si="64"/>
        <v>710979276.13719177</v>
      </c>
      <c r="AB509" s="8">
        <f t="shared" si="65"/>
        <v>22170862.276384801</v>
      </c>
      <c r="AC509" s="8">
        <f t="shared" si="66"/>
        <v>83980.538925700006</v>
      </c>
      <c r="AD509" s="8">
        <f t="shared" si="67"/>
        <v>167961.07785140001</v>
      </c>
      <c r="AE509" s="8">
        <f t="shared" si="68"/>
        <v>18475718.563654002</v>
      </c>
      <c r="AF509" s="8">
        <f t="shared" si="69"/>
        <v>353558052.0810892</v>
      </c>
      <c r="AG509" s="8">
        <f t="shared" si="70"/>
        <v>32332507.486394502</v>
      </c>
      <c r="AH509" s="8">
        <f t="shared" si="71"/>
        <v>8985917.6650499012</v>
      </c>
      <c r="AI509" s="8">
        <f t="shared" si="72"/>
        <v>257904226.6427708</v>
      </c>
    </row>
    <row r="510" spans="1:35" x14ac:dyDescent="0.55000000000000004">
      <c r="A510" s="1">
        <v>508</v>
      </c>
      <c r="B510" s="1" t="s">
        <v>20</v>
      </c>
      <c r="C510" s="1">
        <v>34</v>
      </c>
      <c r="D510" s="1">
        <v>4</v>
      </c>
      <c r="E510" s="1" t="s">
        <v>85</v>
      </c>
      <c r="F510" s="1" t="s">
        <v>86</v>
      </c>
      <c r="G510" s="1">
        <v>23</v>
      </c>
      <c r="H510" s="1">
        <v>2</v>
      </c>
      <c r="I510" s="1">
        <v>23040000</v>
      </c>
      <c r="J510" s="1">
        <v>578</v>
      </c>
      <c r="K510" s="1">
        <v>0</v>
      </c>
      <c r="L510" s="1">
        <v>12441</v>
      </c>
      <c r="M510" s="1">
        <v>12.474159</v>
      </c>
      <c r="N510" s="1">
        <v>102.76887000000001</v>
      </c>
      <c r="O510" s="1">
        <v>33.849997999999999</v>
      </c>
      <c r="P510" s="1">
        <v>0.4</v>
      </c>
      <c r="Q510" s="1">
        <v>0</v>
      </c>
      <c r="R510" s="1">
        <v>0</v>
      </c>
      <c r="S510" s="1">
        <v>5.96</v>
      </c>
      <c r="T510" s="1">
        <v>56.860000999999997</v>
      </c>
      <c r="U510" s="1">
        <v>2.67</v>
      </c>
      <c r="V510" s="1">
        <v>0.72</v>
      </c>
      <c r="W510" s="1">
        <v>28.33</v>
      </c>
      <c r="X510" s="1">
        <v>25403.743492000001</v>
      </c>
      <c r="Y510" s="1">
        <v>16819092.873300001</v>
      </c>
      <c r="Z510" t="str">
        <f>VLOOKUP(G510,'Code Pro'!$A$2:$B$9,2,FALSE)</f>
        <v>จ.ตราด</v>
      </c>
      <c r="AA510" s="8">
        <f t="shared" si="64"/>
        <v>569326260.12301922</v>
      </c>
      <c r="AB510" s="8">
        <f t="shared" si="65"/>
        <v>6727637.1493200008</v>
      </c>
      <c r="AC510" s="8">
        <f t="shared" si="66"/>
        <v>0</v>
      </c>
      <c r="AD510" s="8">
        <f t="shared" si="67"/>
        <v>0</v>
      </c>
      <c r="AE510" s="8">
        <f t="shared" si="68"/>
        <v>100241793.52486801</v>
      </c>
      <c r="AF510" s="8">
        <f t="shared" si="69"/>
        <v>956333637.59493089</v>
      </c>
      <c r="AG510" s="8">
        <f t="shared" si="70"/>
        <v>44906977.971711002</v>
      </c>
      <c r="AH510" s="8">
        <f t="shared" si="71"/>
        <v>12109746.868776001</v>
      </c>
      <c r="AI510" s="8">
        <f t="shared" si="72"/>
        <v>476484901.10058898</v>
      </c>
    </row>
    <row r="511" spans="1:35" x14ac:dyDescent="0.55000000000000004">
      <c r="A511" s="1">
        <v>509</v>
      </c>
      <c r="B511" s="1" t="s">
        <v>20</v>
      </c>
      <c r="C511" s="1">
        <v>34</v>
      </c>
      <c r="D511" s="1">
        <v>4</v>
      </c>
      <c r="E511" s="1" t="s">
        <v>85</v>
      </c>
      <c r="F511" s="1" t="s">
        <v>86</v>
      </c>
      <c r="G511" s="1">
        <v>23</v>
      </c>
      <c r="H511" s="1">
        <v>2</v>
      </c>
      <c r="I511" s="1">
        <v>23040000</v>
      </c>
      <c r="J511" s="1">
        <v>579</v>
      </c>
      <c r="K511" s="1">
        <v>0</v>
      </c>
      <c r="L511" s="1">
        <v>12560</v>
      </c>
      <c r="M511" s="1">
        <v>12.555313</v>
      </c>
      <c r="N511" s="1">
        <v>102.68574</v>
      </c>
      <c r="O511" s="1">
        <v>28.870000999999998</v>
      </c>
      <c r="P511" s="1">
        <v>1.56</v>
      </c>
      <c r="Q511" s="1">
        <v>0.16</v>
      </c>
      <c r="R511" s="1">
        <v>0.5</v>
      </c>
      <c r="S511" s="1">
        <v>0.66</v>
      </c>
      <c r="T511" s="1">
        <v>6.81</v>
      </c>
      <c r="U511" s="1">
        <v>1.07</v>
      </c>
      <c r="V511" s="1">
        <v>0.73</v>
      </c>
      <c r="W511" s="1">
        <v>28.610001</v>
      </c>
      <c r="X511" s="1">
        <v>30995.648656000001</v>
      </c>
      <c r="Y511" s="1">
        <v>29997652.6021</v>
      </c>
      <c r="Z511" t="str">
        <f>VLOOKUP(G511,'Code Pro'!$A$2:$B$9,2,FALSE)</f>
        <v>จ.ตราด</v>
      </c>
      <c r="AA511" s="8">
        <f t="shared" si="64"/>
        <v>866032260.62027955</v>
      </c>
      <c r="AB511" s="8">
        <f t="shared" si="65"/>
        <v>46796338.059276</v>
      </c>
      <c r="AC511" s="8">
        <f t="shared" si="66"/>
        <v>4799624.416336</v>
      </c>
      <c r="AD511" s="8">
        <f t="shared" si="67"/>
        <v>14998826.30105</v>
      </c>
      <c r="AE511" s="8">
        <f t="shared" si="68"/>
        <v>19798450.717386</v>
      </c>
      <c r="AF511" s="8">
        <f t="shared" si="69"/>
        <v>204284014.22030097</v>
      </c>
      <c r="AG511" s="8">
        <f t="shared" si="70"/>
        <v>32097488.284247003</v>
      </c>
      <c r="AH511" s="8">
        <f t="shared" si="71"/>
        <v>21898286.399533</v>
      </c>
      <c r="AI511" s="8">
        <f t="shared" si="72"/>
        <v>858232870.94373357</v>
      </c>
    </row>
    <row r="512" spans="1:35" x14ac:dyDescent="0.55000000000000004">
      <c r="A512" s="1">
        <v>510</v>
      </c>
      <c r="B512" s="1" t="s">
        <v>20</v>
      </c>
      <c r="C512" s="1">
        <v>34</v>
      </c>
      <c r="D512" s="1">
        <v>4</v>
      </c>
      <c r="E512" s="1" t="s">
        <v>85</v>
      </c>
      <c r="F512" s="1" t="s">
        <v>86</v>
      </c>
      <c r="G512" s="1">
        <v>23</v>
      </c>
      <c r="H512" s="1">
        <v>2</v>
      </c>
      <c r="I512" s="1">
        <v>23040000</v>
      </c>
      <c r="J512" s="1">
        <v>580</v>
      </c>
      <c r="K512" s="1">
        <v>0</v>
      </c>
      <c r="L512" s="1">
        <v>12559</v>
      </c>
      <c r="M512" s="1">
        <v>12.555313</v>
      </c>
      <c r="N512" s="1">
        <v>102.6026</v>
      </c>
      <c r="O512" s="1">
        <v>65.040001000000004</v>
      </c>
      <c r="P512" s="1">
        <v>8.7899999999999991</v>
      </c>
      <c r="Q512" s="1">
        <v>0.63</v>
      </c>
      <c r="R512" s="1">
        <v>0.62</v>
      </c>
      <c r="S512" s="1">
        <v>3.96</v>
      </c>
      <c r="T512" s="1">
        <v>0.22</v>
      </c>
      <c r="U512" s="1">
        <v>3.08</v>
      </c>
      <c r="V512" s="1">
        <v>0.56999999999999995</v>
      </c>
      <c r="W512" s="1">
        <v>19.030000999999999</v>
      </c>
      <c r="X512" s="1">
        <v>36077.436308999997</v>
      </c>
      <c r="Y512" s="1">
        <v>81347973.803100005</v>
      </c>
      <c r="Z512" t="str">
        <f>VLOOKUP(G512,'Code Pro'!$A$2:$B$9,2,FALSE)</f>
        <v>จ.ตราด</v>
      </c>
      <c r="AA512" s="8">
        <f t="shared" si="64"/>
        <v>5290872297.5015984</v>
      </c>
      <c r="AB512" s="8">
        <f t="shared" si="65"/>
        <v>715048689.729249</v>
      </c>
      <c r="AC512" s="8">
        <f t="shared" si="66"/>
        <v>51249223.495953001</v>
      </c>
      <c r="AD512" s="8">
        <f t="shared" si="67"/>
        <v>50435743.757922001</v>
      </c>
      <c r="AE512" s="8">
        <f t="shared" si="68"/>
        <v>322137976.26027602</v>
      </c>
      <c r="AF512" s="8">
        <f t="shared" si="69"/>
        <v>17896554.236682002</v>
      </c>
      <c r="AG512" s="8">
        <f t="shared" si="70"/>
        <v>250551759.31354803</v>
      </c>
      <c r="AH512" s="8">
        <f t="shared" si="71"/>
        <v>46368345.067767002</v>
      </c>
      <c r="AI512" s="8">
        <f t="shared" si="72"/>
        <v>1548052022.8209667</v>
      </c>
    </row>
    <row r="513" spans="1:35" x14ac:dyDescent="0.55000000000000004">
      <c r="A513" s="1">
        <v>511</v>
      </c>
      <c r="B513" s="1" t="s">
        <v>20</v>
      </c>
      <c r="C513" s="1">
        <v>34</v>
      </c>
      <c r="D513" s="1">
        <v>4</v>
      </c>
      <c r="E513" s="1" t="s">
        <v>85</v>
      </c>
      <c r="F513" s="1" t="s">
        <v>86</v>
      </c>
      <c r="G513" s="1">
        <v>23</v>
      </c>
      <c r="H513" s="1">
        <v>2</v>
      </c>
      <c r="I513" s="1">
        <v>23040000</v>
      </c>
      <c r="J513" s="1">
        <v>582</v>
      </c>
      <c r="K513" s="1">
        <v>0</v>
      </c>
      <c r="L513" s="1">
        <v>12679</v>
      </c>
      <c r="M513" s="1">
        <v>12.636443999999999</v>
      </c>
      <c r="N513" s="1">
        <v>102.6026</v>
      </c>
      <c r="O513" s="1">
        <v>16.579999999999998</v>
      </c>
      <c r="P513" s="1">
        <v>9.5500000000000007</v>
      </c>
      <c r="Q513" s="1">
        <v>0.75</v>
      </c>
      <c r="R513" s="1">
        <v>6.39</v>
      </c>
      <c r="S513" s="1">
        <v>7.15</v>
      </c>
      <c r="T513" s="1">
        <v>12.42</v>
      </c>
      <c r="U513" s="1">
        <v>1.7</v>
      </c>
      <c r="V513" s="1">
        <v>0.59</v>
      </c>
      <c r="W513" s="1">
        <v>2.5299999999999998</v>
      </c>
      <c r="X513" s="1">
        <v>29263.545289000002</v>
      </c>
      <c r="Y513" s="1">
        <v>34803075.483400002</v>
      </c>
      <c r="Z513" t="str">
        <f>VLOOKUP(G513,'Code Pro'!$A$2:$B$9,2,FALSE)</f>
        <v>จ.ตราด</v>
      </c>
      <c r="AA513" s="8">
        <f t="shared" si="64"/>
        <v>577034991.51477194</v>
      </c>
      <c r="AB513" s="8">
        <f t="shared" si="65"/>
        <v>332369370.86647004</v>
      </c>
      <c r="AC513" s="8">
        <f t="shared" si="66"/>
        <v>26102306.612550002</v>
      </c>
      <c r="AD513" s="8">
        <f t="shared" si="67"/>
        <v>222391652.33892602</v>
      </c>
      <c r="AE513" s="8">
        <f t="shared" si="68"/>
        <v>248841989.70631003</v>
      </c>
      <c r="AF513" s="8">
        <f t="shared" si="69"/>
        <v>432254197.50382805</v>
      </c>
      <c r="AG513" s="8">
        <f t="shared" si="70"/>
        <v>59165228.321780004</v>
      </c>
      <c r="AH513" s="8">
        <f t="shared" si="71"/>
        <v>20533814.535206001</v>
      </c>
      <c r="AI513" s="8">
        <f t="shared" si="72"/>
        <v>88051780.973002002</v>
      </c>
    </row>
    <row r="514" spans="1:35" x14ac:dyDescent="0.55000000000000004">
      <c r="A514" s="1">
        <v>512</v>
      </c>
      <c r="B514" s="1" t="s">
        <v>20</v>
      </c>
      <c r="C514" s="1">
        <v>34</v>
      </c>
      <c r="D514" s="1">
        <v>4</v>
      </c>
      <c r="E514" s="1" t="s">
        <v>85</v>
      </c>
      <c r="F514" s="1" t="s">
        <v>86</v>
      </c>
      <c r="G514" s="1">
        <v>23</v>
      </c>
      <c r="H514" s="1">
        <v>2</v>
      </c>
      <c r="I514" s="1">
        <v>23040000</v>
      </c>
      <c r="J514" s="1">
        <v>583</v>
      </c>
      <c r="K514" s="1">
        <v>0</v>
      </c>
      <c r="L514" s="1">
        <v>12680</v>
      </c>
      <c r="M514" s="1">
        <v>12.636443999999999</v>
      </c>
      <c r="N514" s="1">
        <v>102.68574</v>
      </c>
      <c r="O514" s="1">
        <v>5.95</v>
      </c>
      <c r="P514" s="1">
        <v>3.51</v>
      </c>
      <c r="Q514" s="1">
        <v>0.38</v>
      </c>
      <c r="R514" s="1">
        <v>0.77</v>
      </c>
      <c r="S514" s="1">
        <v>5.91</v>
      </c>
      <c r="T514" s="1">
        <v>2.99</v>
      </c>
      <c r="U514" s="1">
        <v>4.0599999999999996</v>
      </c>
      <c r="V514" s="1">
        <v>2.23</v>
      </c>
      <c r="W514" s="1">
        <v>19.010000000000002</v>
      </c>
      <c r="X514" s="1">
        <v>3920.2631710000001</v>
      </c>
      <c r="Y514" s="1">
        <v>560103.26425899996</v>
      </c>
      <c r="Z514" t="str">
        <f>VLOOKUP(G514,'Code Pro'!$A$2:$B$9,2,FALSE)</f>
        <v>จ.ตราด</v>
      </c>
      <c r="AA514" s="8">
        <f t="shared" si="64"/>
        <v>3332614.4223410496</v>
      </c>
      <c r="AB514" s="8">
        <f t="shared" si="65"/>
        <v>1965962.4575490898</v>
      </c>
      <c r="AC514" s="8">
        <f t="shared" si="66"/>
        <v>212839.24041842</v>
      </c>
      <c r="AD514" s="8">
        <f t="shared" si="67"/>
        <v>431279.51347943</v>
      </c>
      <c r="AE514" s="8">
        <f t="shared" si="68"/>
        <v>3310210.2917706897</v>
      </c>
      <c r="AF514" s="8">
        <f t="shared" si="69"/>
        <v>1674708.7601344101</v>
      </c>
      <c r="AG514" s="8">
        <f t="shared" si="70"/>
        <v>2274019.2528915396</v>
      </c>
      <c r="AH514" s="8">
        <f t="shared" si="71"/>
        <v>1249030.27929757</v>
      </c>
      <c r="AI514" s="8">
        <f t="shared" si="72"/>
        <v>10647563.053563589</v>
      </c>
    </row>
    <row r="515" spans="1:35" x14ac:dyDescent="0.55000000000000004">
      <c r="A515" s="1">
        <v>513</v>
      </c>
      <c r="B515" s="1" t="s">
        <v>20</v>
      </c>
      <c r="C515" s="1">
        <v>34</v>
      </c>
      <c r="D515" s="1">
        <v>4</v>
      </c>
      <c r="E515" s="1" t="s">
        <v>85</v>
      </c>
      <c r="F515" s="1" t="s">
        <v>86</v>
      </c>
      <c r="G515" s="1">
        <v>23</v>
      </c>
      <c r="H515" s="1">
        <v>2</v>
      </c>
      <c r="I515" s="1">
        <v>23040000</v>
      </c>
      <c r="J515" s="1">
        <v>584</v>
      </c>
      <c r="K515" s="1">
        <v>0</v>
      </c>
      <c r="L515" s="1">
        <v>12439</v>
      </c>
      <c r="M515" s="1">
        <v>12.474159</v>
      </c>
      <c r="N515" s="1">
        <v>102.6026</v>
      </c>
      <c r="O515" s="1">
        <v>10.59</v>
      </c>
      <c r="P515" s="1">
        <v>0.21</v>
      </c>
      <c r="Q515" s="1">
        <v>0.04</v>
      </c>
      <c r="R515" s="1">
        <v>0.12</v>
      </c>
      <c r="S515" s="1">
        <v>0.48</v>
      </c>
      <c r="T515" s="1">
        <v>2.33</v>
      </c>
      <c r="U515" s="1">
        <v>7.34</v>
      </c>
      <c r="V515" s="1">
        <v>3.18</v>
      </c>
      <c r="W515" s="1">
        <v>34.939999</v>
      </c>
      <c r="X515" s="1">
        <v>35744.209624000003</v>
      </c>
      <c r="Y515" s="1">
        <v>71343132.495399997</v>
      </c>
      <c r="Z515" t="str">
        <f>VLOOKUP(G515,'Code Pro'!$A$2:$B$9,2,FALSE)</f>
        <v>จ.ตราด</v>
      </c>
      <c r="AA515" s="8">
        <f t="shared" ref="AA515:AA578" si="73">+O515*$Y515</f>
        <v>755523773.12628591</v>
      </c>
      <c r="AB515" s="8">
        <f t="shared" ref="AB515:AB578" si="74">+P515*$Y515</f>
        <v>14982057.824033998</v>
      </c>
      <c r="AC515" s="8">
        <f t="shared" ref="AC515:AC578" si="75">+Q515*$Y515</f>
        <v>2853725.2998159998</v>
      </c>
      <c r="AD515" s="8">
        <f t="shared" ref="AD515:AD578" si="76">+R515*$Y515</f>
        <v>8561175.8994479999</v>
      </c>
      <c r="AE515" s="8">
        <f t="shared" ref="AE515:AE578" si="77">+S515*$Y515</f>
        <v>34244703.597792</v>
      </c>
      <c r="AF515" s="8">
        <f t="shared" ref="AF515:AF578" si="78">+T515*$Y515</f>
        <v>166229498.71428201</v>
      </c>
      <c r="AG515" s="8">
        <f t="shared" ref="AG515:AG578" si="79">+U515*$Y515</f>
        <v>523658592.51623595</v>
      </c>
      <c r="AH515" s="8">
        <f t="shared" ref="AH515:AH578" si="80">+V515*$Y515</f>
        <v>226871161.335372</v>
      </c>
      <c r="AI515" s="8">
        <f t="shared" ref="AI515:AI578" si="81">+W515*$Y515</f>
        <v>2492728978.0461435</v>
      </c>
    </row>
    <row r="516" spans="1:35" x14ac:dyDescent="0.55000000000000004">
      <c r="A516" s="1">
        <v>514</v>
      </c>
      <c r="B516" s="1" t="s">
        <v>20</v>
      </c>
      <c r="C516" s="1">
        <v>35</v>
      </c>
      <c r="D516" s="1">
        <v>5</v>
      </c>
      <c r="E516" s="1" t="s">
        <v>87</v>
      </c>
      <c r="F516" s="1" t="s">
        <v>88</v>
      </c>
      <c r="G516" s="1">
        <v>23</v>
      </c>
      <c r="H516" s="1">
        <v>2</v>
      </c>
      <c r="I516" s="1">
        <v>23050000</v>
      </c>
      <c r="J516" s="1">
        <v>369</v>
      </c>
      <c r="K516" s="1">
        <v>0</v>
      </c>
      <c r="L516" s="1">
        <v>12075</v>
      </c>
      <c r="M516" s="1">
        <v>12.230515</v>
      </c>
      <c r="N516" s="1">
        <v>102.27006</v>
      </c>
      <c r="O516" s="1">
        <v>0.13</v>
      </c>
      <c r="P516" s="1">
        <v>0.03</v>
      </c>
      <c r="Q516" s="1">
        <v>0.1</v>
      </c>
      <c r="R516" s="1">
        <v>0.02</v>
      </c>
      <c r="S516" s="1">
        <v>4.74</v>
      </c>
      <c r="T516" s="1">
        <v>0</v>
      </c>
      <c r="U516" s="1">
        <v>7.48</v>
      </c>
      <c r="V516" s="1">
        <v>29.950001</v>
      </c>
      <c r="W516" s="1">
        <v>56.400002000000001</v>
      </c>
      <c r="X516" s="1">
        <v>30785.477348</v>
      </c>
      <c r="Y516" s="1">
        <v>29157560.275400002</v>
      </c>
      <c r="Z516" t="str">
        <f>VLOOKUP(G516,'Code Pro'!$A$2:$B$9,2,FALSE)</f>
        <v>จ.ตราด</v>
      </c>
      <c r="AA516" s="8">
        <f t="shared" si="73"/>
        <v>3790482.8358020005</v>
      </c>
      <c r="AB516" s="8">
        <f t="shared" si="74"/>
        <v>874726.80826199998</v>
      </c>
      <c r="AC516" s="8">
        <f t="shared" si="75"/>
        <v>2915756.0275400002</v>
      </c>
      <c r="AD516" s="8">
        <f t="shared" si="76"/>
        <v>583151.2055080001</v>
      </c>
      <c r="AE516" s="8">
        <f t="shared" si="77"/>
        <v>138206835.70539603</v>
      </c>
      <c r="AF516" s="8">
        <f t="shared" si="78"/>
        <v>0</v>
      </c>
      <c r="AG516" s="8">
        <f t="shared" si="79"/>
        <v>218098550.85999203</v>
      </c>
      <c r="AH516" s="8">
        <f t="shared" si="80"/>
        <v>873268959.40579033</v>
      </c>
      <c r="AI516" s="8">
        <f t="shared" si="81"/>
        <v>1644486457.8476806</v>
      </c>
    </row>
    <row r="517" spans="1:35" x14ac:dyDescent="0.55000000000000004">
      <c r="A517" s="1">
        <v>515</v>
      </c>
      <c r="B517" s="1" t="s">
        <v>20</v>
      </c>
      <c r="C517" s="1">
        <v>35</v>
      </c>
      <c r="D517" s="1">
        <v>5</v>
      </c>
      <c r="E517" s="1" t="s">
        <v>87</v>
      </c>
      <c r="F517" s="1" t="s">
        <v>88</v>
      </c>
      <c r="G517" s="1">
        <v>23</v>
      </c>
      <c r="H517" s="1">
        <v>2</v>
      </c>
      <c r="I517" s="1">
        <v>23050000</v>
      </c>
      <c r="J517" s="1">
        <v>380</v>
      </c>
      <c r="K517" s="1">
        <v>0</v>
      </c>
      <c r="L517" s="1">
        <v>11955</v>
      </c>
      <c r="M517" s="1">
        <v>12.149254000000001</v>
      </c>
      <c r="N517" s="1">
        <v>102.27006</v>
      </c>
      <c r="O517" s="1">
        <v>0.43</v>
      </c>
      <c r="P517" s="1">
        <v>0.18</v>
      </c>
      <c r="Q517" s="1">
        <v>0.25</v>
      </c>
      <c r="R517" s="1">
        <v>0</v>
      </c>
      <c r="S517" s="1">
        <v>22.18</v>
      </c>
      <c r="T517" s="1">
        <v>2.91</v>
      </c>
      <c r="U517" s="1">
        <v>12.82</v>
      </c>
      <c r="V517" s="1">
        <v>6.5</v>
      </c>
      <c r="W517" s="1">
        <v>14.42</v>
      </c>
      <c r="X517" s="1">
        <v>5713.5732500000004</v>
      </c>
      <c r="Y517" s="1">
        <v>679122.23116800003</v>
      </c>
      <c r="Z517" t="str">
        <f>VLOOKUP(G517,'Code Pro'!$A$2:$B$9,2,FALSE)</f>
        <v>จ.ตราด</v>
      </c>
      <c r="AA517" s="8">
        <f t="shared" si="73"/>
        <v>292022.55940224003</v>
      </c>
      <c r="AB517" s="8">
        <f t="shared" si="74"/>
        <v>122242.00161024</v>
      </c>
      <c r="AC517" s="8">
        <f t="shared" si="75"/>
        <v>169780.55779200001</v>
      </c>
      <c r="AD517" s="8">
        <f t="shared" si="76"/>
        <v>0</v>
      </c>
      <c r="AE517" s="8">
        <f t="shared" si="77"/>
        <v>15062931.087306241</v>
      </c>
      <c r="AF517" s="8">
        <f t="shared" si="78"/>
        <v>1976245.6926988801</v>
      </c>
      <c r="AG517" s="8">
        <f t="shared" si="79"/>
        <v>8706347.0035737604</v>
      </c>
      <c r="AH517" s="8">
        <f t="shared" si="80"/>
        <v>4414294.5025920002</v>
      </c>
      <c r="AI517" s="8">
        <f t="shared" si="81"/>
        <v>9792942.5734425597</v>
      </c>
    </row>
    <row r="518" spans="1:35" x14ac:dyDescent="0.55000000000000004">
      <c r="A518" s="1">
        <v>516</v>
      </c>
      <c r="B518" s="1" t="s">
        <v>20</v>
      </c>
      <c r="C518" s="1">
        <v>35</v>
      </c>
      <c r="D518" s="1">
        <v>5</v>
      </c>
      <c r="E518" s="1" t="s">
        <v>87</v>
      </c>
      <c r="F518" s="1" t="s">
        <v>88</v>
      </c>
      <c r="G518" s="1">
        <v>23</v>
      </c>
      <c r="H518" s="1">
        <v>2</v>
      </c>
      <c r="I518" s="1">
        <v>23050000</v>
      </c>
      <c r="J518" s="1">
        <v>381</v>
      </c>
      <c r="K518" s="1">
        <v>0</v>
      </c>
      <c r="L518" s="1">
        <v>12076</v>
      </c>
      <c r="M518" s="1">
        <v>12.230515</v>
      </c>
      <c r="N518" s="1">
        <v>102.35319</v>
      </c>
      <c r="O518" s="1">
        <v>0</v>
      </c>
      <c r="P518" s="1">
        <v>0.13</v>
      </c>
      <c r="Q518" s="1">
        <v>0.08</v>
      </c>
      <c r="R518" s="1">
        <v>0</v>
      </c>
      <c r="S518" s="1">
        <v>0.14000000000000001</v>
      </c>
      <c r="T518" s="1">
        <v>1.68</v>
      </c>
      <c r="U518" s="1">
        <v>15.86</v>
      </c>
      <c r="V518" s="1">
        <v>16.489999999999998</v>
      </c>
      <c r="W518" s="1">
        <v>42.720001000000003</v>
      </c>
      <c r="X518" s="1">
        <v>37395.406039000001</v>
      </c>
      <c r="Y518" s="1">
        <v>71409506.253800005</v>
      </c>
      <c r="Z518" t="str">
        <f>VLOOKUP(G518,'Code Pro'!$A$2:$B$9,2,FALSE)</f>
        <v>จ.ตราด</v>
      </c>
      <c r="AA518" s="8">
        <f t="shared" si="73"/>
        <v>0</v>
      </c>
      <c r="AB518" s="8">
        <f t="shared" si="74"/>
        <v>9283235.8129940014</v>
      </c>
      <c r="AC518" s="8">
        <f t="shared" si="75"/>
        <v>5712760.5003040005</v>
      </c>
      <c r="AD518" s="8">
        <f t="shared" si="76"/>
        <v>0</v>
      </c>
      <c r="AE518" s="8">
        <f t="shared" si="77"/>
        <v>9997330.8755320013</v>
      </c>
      <c r="AF518" s="8">
        <f t="shared" si="78"/>
        <v>119967970.506384</v>
      </c>
      <c r="AG518" s="8">
        <f t="shared" si="79"/>
        <v>1132554769.1852679</v>
      </c>
      <c r="AH518" s="8">
        <f t="shared" si="80"/>
        <v>1177542758.1251619</v>
      </c>
      <c r="AI518" s="8">
        <f t="shared" si="81"/>
        <v>3050614178.5718427</v>
      </c>
    </row>
    <row r="519" spans="1:35" x14ac:dyDescent="0.55000000000000004">
      <c r="A519" s="1">
        <v>517</v>
      </c>
      <c r="B519" s="1" t="s">
        <v>20</v>
      </c>
      <c r="C519" s="1">
        <v>35</v>
      </c>
      <c r="D519" s="1">
        <v>5</v>
      </c>
      <c r="E519" s="1" t="s">
        <v>87</v>
      </c>
      <c r="F519" s="1" t="s">
        <v>88</v>
      </c>
      <c r="G519" s="1">
        <v>23</v>
      </c>
      <c r="H519" s="1">
        <v>2</v>
      </c>
      <c r="I519" s="1">
        <v>23050000</v>
      </c>
      <c r="J519" s="1">
        <v>382</v>
      </c>
      <c r="K519" s="1">
        <v>0</v>
      </c>
      <c r="L519" s="1">
        <v>11956</v>
      </c>
      <c r="M519" s="1">
        <v>12.149254000000001</v>
      </c>
      <c r="N519" s="1">
        <v>102.35319</v>
      </c>
      <c r="O519" s="1">
        <v>0.69</v>
      </c>
      <c r="P519" s="1">
        <v>0.17</v>
      </c>
      <c r="Q519" s="1">
        <v>0.28999999999999998</v>
      </c>
      <c r="R519" s="1">
        <v>0.11</v>
      </c>
      <c r="S519" s="1">
        <v>2.7</v>
      </c>
      <c r="T519" s="1">
        <v>0.03</v>
      </c>
      <c r="U519" s="1">
        <v>41.110000999999997</v>
      </c>
      <c r="V519" s="1">
        <v>3.64</v>
      </c>
      <c r="W519" s="1">
        <v>13.03</v>
      </c>
      <c r="X519" s="1">
        <v>16558.372104999999</v>
      </c>
      <c r="Y519" s="1">
        <v>4815414.3451899998</v>
      </c>
      <c r="Z519" t="str">
        <f>VLOOKUP(G519,'Code Pro'!$A$2:$B$9,2,FALSE)</f>
        <v>จ.ตราด</v>
      </c>
      <c r="AA519" s="8">
        <f t="shared" si="73"/>
        <v>3322635.8981810994</v>
      </c>
      <c r="AB519" s="8">
        <f t="shared" si="74"/>
        <v>818620.43868230004</v>
      </c>
      <c r="AC519" s="8">
        <f t="shared" si="75"/>
        <v>1396470.1601050999</v>
      </c>
      <c r="AD519" s="8">
        <f t="shared" si="76"/>
        <v>529695.57797089999</v>
      </c>
      <c r="AE519" s="8">
        <f t="shared" si="77"/>
        <v>13001618.732013</v>
      </c>
      <c r="AF519" s="8">
        <f t="shared" si="78"/>
        <v>144462.43035569999</v>
      </c>
      <c r="AG519" s="8">
        <f t="shared" si="79"/>
        <v>197961688.54617521</v>
      </c>
      <c r="AH519" s="8">
        <f t="shared" si="80"/>
        <v>17528108.216491599</v>
      </c>
      <c r="AI519" s="8">
        <f t="shared" si="81"/>
        <v>62744848.917825691</v>
      </c>
    </row>
    <row r="520" spans="1:35" x14ac:dyDescent="0.55000000000000004">
      <c r="A520" s="1">
        <v>518</v>
      </c>
      <c r="B520" s="1" t="s">
        <v>20</v>
      </c>
      <c r="C520" s="1">
        <v>35</v>
      </c>
      <c r="D520" s="1">
        <v>5</v>
      </c>
      <c r="E520" s="1" t="s">
        <v>87</v>
      </c>
      <c r="F520" s="1" t="s">
        <v>88</v>
      </c>
      <c r="G520" s="1">
        <v>23</v>
      </c>
      <c r="H520" s="1">
        <v>2</v>
      </c>
      <c r="I520" s="1">
        <v>23050000</v>
      </c>
      <c r="J520" s="1">
        <v>389</v>
      </c>
      <c r="K520" s="1">
        <v>0</v>
      </c>
      <c r="L520" s="1">
        <v>12077</v>
      </c>
      <c r="M520" s="1">
        <v>12.230515</v>
      </c>
      <c r="N520" s="1">
        <v>102.436325</v>
      </c>
      <c r="O520" s="1">
        <v>1.21</v>
      </c>
      <c r="P520" s="1">
        <v>0.01</v>
      </c>
      <c r="Q520" s="1">
        <v>0.04</v>
      </c>
      <c r="R520" s="1">
        <v>0</v>
      </c>
      <c r="S520" s="1">
        <v>0</v>
      </c>
      <c r="T520" s="1">
        <v>8.19</v>
      </c>
      <c r="U520" s="1">
        <v>7.06</v>
      </c>
      <c r="V520" s="1">
        <v>9.57</v>
      </c>
      <c r="W520" s="1">
        <v>34.560001</v>
      </c>
      <c r="X520" s="1">
        <v>31223.641635</v>
      </c>
      <c r="Y520" s="1">
        <v>32449788.767700002</v>
      </c>
      <c r="Z520" t="str">
        <f>VLOOKUP(G520,'Code Pro'!$A$2:$B$9,2,FALSE)</f>
        <v>จ.ตราด</v>
      </c>
      <c r="AA520" s="8">
        <f t="shared" si="73"/>
        <v>39264244.408917002</v>
      </c>
      <c r="AB520" s="8">
        <f t="shared" si="74"/>
        <v>324497.88767700002</v>
      </c>
      <c r="AC520" s="8">
        <f t="shared" si="75"/>
        <v>1297991.5507080001</v>
      </c>
      <c r="AD520" s="8">
        <f t="shared" si="76"/>
        <v>0</v>
      </c>
      <c r="AE520" s="8">
        <f t="shared" si="77"/>
        <v>0</v>
      </c>
      <c r="AF520" s="8">
        <f t="shared" si="78"/>
        <v>265763770.00746301</v>
      </c>
      <c r="AG520" s="8">
        <f t="shared" si="79"/>
        <v>229095508.69996199</v>
      </c>
      <c r="AH520" s="8">
        <f t="shared" si="80"/>
        <v>310544478.50688905</v>
      </c>
      <c r="AI520" s="8">
        <f t="shared" si="81"/>
        <v>1121464732.2615008</v>
      </c>
    </row>
    <row r="521" spans="1:35" x14ac:dyDescent="0.55000000000000004">
      <c r="A521" s="1">
        <v>519</v>
      </c>
      <c r="B521" s="1" t="s">
        <v>20</v>
      </c>
      <c r="C521" s="1">
        <v>35</v>
      </c>
      <c r="D521" s="1">
        <v>5</v>
      </c>
      <c r="E521" s="1" t="s">
        <v>87</v>
      </c>
      <c r="F521" s="1" t="s">
        <v>88</v>
      </c>
      <c r="G521" s="1">
        <v>23</v>
      </c>
      <c r="H521" s="1">
        <v>2</v>
      </c>
      <c r="I521" s="1">
        <v>23050000</v>
      </c>
      <c r="J521" s="1">
        <v>390</v>
      </c>
      <c r="K521" s="1">
        <v>0</v>
      </c>
      <c r="L521" s="1">
        <v>11957</v>
      </c>
      <c r="M521" s="1">
        <v>12.149254000000001</v>
      </c>
      <c r="N521" s="1">
        <v>102.436325</v>
      </c>
      <c r="O521" s="1">
        <v>0.01</v>
      </c>
      <c r="P521" s="1">
        <v>0.05</v>
      </c>
      <c r="Q521" s="1">
        <v>0.11</v>
      </c>
      <c r="R521" s="1">
        <v>0.26</v>
      </c>
      <c r="S521" s="1">
        <v>0.06</v>
      </c>
      <c r="T521" s="1">
        <v>0.55000000000000004</v>
      </c>
      <c r="U521" s="1">
        <v>10.73</v>
      </c>
      <c r="V521" s="1">
        <v>5.59</v>
      </c>
      <c r="W521" s="1">
        <v>8.5500000000000007</v>
      </c>
      <c r="X521" s="1">
        <v>22649.469601000001</v>
      </c>
      <c r="Y521" s="1">
        <v>20621408.481199998</v>
      </c>
      <c r="Z521" t="str">
        <f>VLOOKUP(G521,'Code Pro'!$A$2:$B$9,2,FALSE)</f>
        <v>จ.ตราด</v>
      </c>
      <c r="AA521" s="8">
        <f t="shared" si="73"/>
        <v>206214.08481199999</v>
      </c>
      <c r="AB521" s="8">
        <f t="shared" si="74"/>
        <v>1031070.42406</v>
      </c>
      <c r="AC521" s="8">
        <f t="shared" si="75"/>
        <v>2268354.9329319997</v>
      </c>
      <c r="AD521" s="8">
        <f t="shared" si="76"/>
        <v>5361566.205112</v>
      </c>
      <c r="AE521" s="8">
        <f t="shared" si="77"/>
        <v>1237284.5088719998</v>
      </c>
      <c r="AF521" s="8">
        <f t="shared" si="78"/>
        <v>11341774.664659999</v>
      </c>
      <c r="AG521" s="8">
        <f t="shared" si="79"/>
        <v>221267713.00327599</v>
      </c>
      <c r="AH521" s="8">
        <f t="shared" si="80"/>
        <v>115273673.40990798</v>
      </c>
      <c r="AI521" s="8">
        <f t="shared" si="81"/>
        <v>176313042.51425999</v>
      </c>
    </row>
    <row r="522" spans="1:35" x14ac:dyDescent="0.55000000000000004">
      <c r="A522" s="1">
        <v>520</v>
      </c>
      <c r="B522" s="1" t="s">
        <v>20</v>
      </c>
      <c r="C522" s="1">
        <v>35</v>
      </c>
      <c r="D522" s="1">
        <v>5</v>
      </c>
      <c r="E522" s="1" t="s">
        <v>87</v>
      </c>
      <c r="F522" s="1" t="s">
        <v>88</v>
      </c>
      <c r="G522" s="1">
        <v>23</v>
      </c>
      <c r="H522" s="1">
        <v>2</v>
      </c>
      <c r="I522" s="1">
        <v>23050000</v>
      </c>
      <c r="J522" s="1">
        <v>506</v>
      </c>
      <c r="K522" s="1">
        <v>0</v>
      </c>
      <c r="L522" s="1">
        <v>12195</v>
      </c>
      <c r="M522" s="1">
        <v>12.311752</v>
      </c>
      <c r="N522" s="1">
        <v>102.27006</v>
      </c>
      <c r="O522" s="1">
        <v>0.44</v>
      </c>
      <c r="P522" s="1">
        <v>0.04</v>
      </c>
      <c r="Q522" s="1">
        <v>0.28000000000000003</v>
      </c>
      <c r="R522" s="1">
        <v>0.06</v>
      </c>
      <c r="S522" s="1">
        <v>1.67</v>
      </c>
      <c r="T522" s="1">
        <v>0.26</v>
      </c>
      <c r="U522" s="1">
        <v>16.719999000000001</v>
      </c>
      <c r="V522" s="1">
        <v>9.58</v>
      </c>
      <c r="W522" s="1">
        <v>38.689999</v>
      </c>
      <c r="X522" s="1">
        <v>13510.624763</v>
      </c>
      <c r="Y522" s="1">
        <v>4206105.6279100003</v>
      </c>
      <c r="Z522" t="str">
        <f>VLOOKUP(G522,'Code Pro'!$A$2:$B$9,2,FALSE)</f>
        <v>จ.ตราด</v>
      </c>
      <c r="AA522" s="8">
        <f t="shared" si="73"/>
        <v>1850686.4762804001</v>
      </c>
      <c r="AB522" s="8">
        <f t="shared" si="74"/>
        <v>168244.22511640002</v>
      </c>
      <c r="AC522" s="8">
        <f t="shared" si="75"/>
        <v>1177709.5758148001</v>
      </c>
      <c r="AD522" s="8">
        <f t="shared" si="76"/>
        <v>252366.33767460001</v>
      </c>
      <c r="AE522" s="8">
        <f t="shared" si="77"/>
        <v>7024196.3986097006</v>
      </c>
      <c r="AF522" s="8">
        <f t="shared" si="78"/>
        <v>1093587.4632566001</v>
      </c>
      <c r="AG522" s="8">
        <f t="shared" si="79"/>
        <v>70326081.892549589</v>
      </c>
      <c r="AH522" s="8">
        <f t="shared" si="80"/>
        <v>40294491.915377803</v>
      </c>
      <c r="AI522" s="8">
        <f t="shared" si="81"/>
        <v>162734222.53773227</v>
      </c>
    </row>
    <row r="523" spans="1:35" x14ac:dyDescent="0.55000000000000004">
      <c r="A523" s="1">
        <v>521</v>
      </c>
      <c r="B523" s="1" t="s">
        <v>20</v>
      </c>
      <c r="C523" s="1">
        <v>35</v>
      </c>
      <c r="D523" s="1">
        <v>5</v>
      </c>
      <c r="E523" s="1" t="s">
        <v>87</v>
      </c>
      <c r="F523" s="1" t="s">
        <v>88</v>
      </c>
      <c r="G523" s="1">
        <v>23</v>
      </c>
      <c r="H523" s="1">
        <v>2</v>
      </c>
      <c r="I523" s="1">
        <v>23050000</v>
      </c>
      <c r="J523" s="1">
        <v>507</v>
      </c>
      <c r="K523" s="1">
        <v>0</v>
      </c>
      <c r="L523" s="1">
        <v>12196</v>
      </c>
      <c r="M523" s="1">
        <v>12.311752</v>
      </c>
      <c r="N523" s="1">
        <v>102.35319</v>
      </c>
      <c r="O523" s="1">
        <v>0.45</v>
      </c>
      <c r="P523" s="1">
        <v>0.01</v>
      </c>
      <c r="Q523" s="1">
        <v>0.03</v>
      </c>
      <c r="R523" s="1">
        <v>0</v>
      </c>
      <c r="S523" s="1">
        <v>4.8</v>
      </c>
      <c r="T523" s="1">
        <v>1.42</v>
      </c>
      <c r="U523" s="1">
        <v>2.83</v>
      </c>
      <c r="V523" s="1">
        <v>18.850000000000001</v>
      </c>
      <c r="W523" s="1">
        <v>35.279998999999997</v>
      </c>
      <c r="X523" s="1">
        <v>9234.6542200000004</v>
      </c>
      <c r="Y523" s="1">
        <v>2780175.8919899999</v>
      </c>
      <c r="Z523" t="str">
        <f>VLOOKUP(G523,'Code Pro'!$A$2:$B$9,2,FALSE)</f>
        <v>จ.ตราด</v>
      </c>
      <c r="AA523" s="8">
        <f t="shared" si="73"/>
        <v>1251079.1513954999</v>
      </c>
      <c r="AB523" s="8">
        <f t="shared" si="74"/>
        <v>27801.758919899999</v>
      </c>
      <c r="AC523" s="8">
        <f t="shared" si="75"/>
        <v>83405.276759699991</v>
      </c>
      <c r="AD523" s="8">
        <f t="shared" si="76"/>
        <v>0</v>
      </c>
      <c r="AE523" s="8">
        <f t="shared" si="77"/>
        <v>13344844.281552</v>
      </c>
      <c r="AF523" s="8">
        <f t="shared" si="78"/>
        <v>3947849.7666257997</v>
      </c>
      <c r="AG523" s="8">
        <f t="shared" si="79"/>
        <v>7867897.7743317001</v>
      </c>
      <c r="AH523" s="8">
        <f t="shared" si="80"/>
        <v>52406315.564011499</v>
      </c>
      <c r="AI523" s="8">
        <f t="shared" si="81"/>
        <v>98084602.689231291</v>
      </c>
    </row>
    <row r="524" spans="1:35" x14ac:dyDescent="0.55000000000000004">
      <c r="A524" s="1">
        <v>522</v>
      </c>
      <c r="B524" s="1" t="s">
        <v>20</v>
      </c>
      <c r="C524" s="1">
        <v>35</v>
      </c>
      <c r="D524" s="1">
        <v>5</v>
      </c>
      <c r="E524" s="1" t="s">
        <v>87</v>
      </c>
      <c r="F524" s="1" t="s">
        <v>88</v>
      </c>
      <c r="G524" s="1">
        <v>23</v>
      </c>
      <c r="H524" s="1">
        <v>2</v>
      </c>
      <c r="I524" s="1">
        <v>23050000</v>
      </c>
      <c r="J524" s="1">
        <v>516</v>
      </c>
      <c r="K524" s="1">
        <v>0</v>
      </c>
      <c r="L524" s="1">
        <v>12197</v>
      </c>
      <c r="M524" s="1">
        <v>12.311752</v>
      </c>
      <c r="N524" s="1">
        <v>102.436325</v>
      </c>
      <c r="O524" s="1">
        <v>4.76</v>
      </c>
      <c r="P524" s="1">
        <v>0.02</v>
      </c>
      <c r="Q524" s="1">
        <v>0.05</v>
      </c>
      <c r="R524" s="1">
        <v>0.11</v>
      </c>
      <c r="S524" s="1">
        <v>1.07</v>
      </c>
      <c r="T524" s="1">
        <v>6.47</v>
      </c>
      <c r="U524" s="1">
        <v>5.94</v>
      </c>
      <c r="V524" s="1">
        <v>6.09</v>
      </c>
      <c r="W524" s="1">
        <v>55.970001000000003</v>
      </c>
      <c r="X524" s="1">
        <v>2199.0026720000001</v>
      </c>
      <c r="Y524" s="1">
        <v>86838.556379999995</v>
      </c>
      <c r="Z524" t="str">
        <f>VLOOKUP(G524,'Code Pro'!$A$2:$B$9,2,FALSE)</f>
        <v>จ.ตราด</v>
      </c>
      <c r="AA524" s="8">
        <f t="shared" si="73"/>
        <v>413351.52836879995</v>
      </c>
      <c r="AB524" s="8">
        <f t="shared" si="74"/>
        <v>1736.7711276</v>
      </c>
      <c r="AC524" s="8">
        <f t="shared" si="75"/>
        <v>4341.9278189999995</v>
      </c>
      <c r="AD524" s="8">
        <f t="shared" si="76"/>
        <v>9552.2412017999995</v>
      </c>
      <c r="AE524" s="8">
        <f t="shared" si="77"/>
        <v>92917.255326600003</v>
      </c>
      <c r="AF524" s="8">
        <f t="shared" si="78"/>
        <v>561845.45977859991</v>
      </c>
      <c r="AG524" s="8">
        <f t="shared" si="79"/>
        <v>515821.0248972</v>
      </c>
      <c r="AH524" s="8">
        <f t="shared" si="80"/>
        <v>528846.80835419998</v>
      </c>
      <c r="AI524" s="8">
        <f t="shared" si="81"/>
        <v>4860354.087427156</v>
      </c>
    </row>
    <row r="525" spans="1:35" x14ac:dyDescent="0.55000000000000004">
      <c r="A525" s="1">
        <v>523</v>
      </c>
      <c r="B525" s="1" t="s">
        <v>20</v>
      </c>
      <c r="C525" s="1">
        <v>36</v>
      </c>
      <c r="D525" s="1">
        <v>6</v>
      </c>
      <c r="E525" s="1" t="s">
        <v>89</v>
      </c>
      <c r="F525" s="1" t="s">
        <v>90</v>
      </c>
      <c r="G525" s="1">
        <v>23</v>
      </c>
      <c r="H525" s="1">
        <v>2</v>
      </c>
      <c r="I525" s="1">
        <v>23060000</v>
      </c>
      <c r="J525" s="1">
        <v>336</v>
      </c>
      <c r="K525" s="1">
        <v>0</v>
      </c>
      <c r="L525" s="1">
        <v>11476</v>
      </c>
      <c r="M525" s="1">
        <v>11.823959</v>
      </c>
      <c r="N525" s="1">
        <v>102.35319</v>
      </c>
      <c r="O525" s="1">
        <v>2.3199999999999998</v>
      </c>
      <c r="P525" s="1">
        <v>0.93</v>
      </c>
      <c r="Q525" s="1">
        <v>0.41</v>
      </c>
      <c r="R525" s="1">
        <v>0.79</v>
      </c>
      <c r="S525" s="1">
        <v>9.7100000000000009</v>
      </c>
      <c r="T525" s="1">
        <v>0.56999999999999995</v>
      </c>
      <c r="U525" s="1">
        <v>3.38</v>
      </c>
      <c r="V525" s="1">
        <v>5.88</v>
      </c>
      <c r="W525" s="1">
        <v>5.59</v>
      </c>
      <c r="X525" s="1">
        <v>11248.354501</v>
      </c>
      <c r="Y525" s="1">
        <v>2586487.6497</v>
      </c>
      <c r="Z525" t="str">
        <f>VLOOKUP(G525,'Code Pro'!$A$2:$B$9,2,FALSE)</f>
        <v>จ.ตราด</v>
      </c>
      <c r="AA525" s="8">
        <f t="shared" si="73"/>
        <v>6000651.3473039996</v>
      </c>
      <c r="AB525" s="8">
        <f t="shared" si="74"/>
        <v>2405433.514221</v>
      </c>
      <c r="AC525" s="8">
        <f t="shared" si="75"/>
        <v>1060459.9363769998</v>
      </c>
      <c r="AD525" s="8">
        <f t="shared" si="76"/>
        <v>2043325.2432630002</v>
      </c>
      <c r="AE525" s="8">
        <f t="shared" si="77"/>
        <v>25114795.078587003</v>
      </c>
      <c r="AF525" s="8">
        <f t="shared" si="78"/>
        <v>1474297.9603289999</v>
      </c>
      <c r="AG525" s="8">
        <f t="shared" si="79"/>
        <v>8742328.2559859995</v>
      </c>
      <c r="AH525" s="8">
        <f t="shared" si="80"/>
        <v>15208547.380236</v>
      </c>
      <c r="AI525" s="8">
        <f t="shared" si="81"/>
        <v>14458465.961823</v>
      </c>
    </row>
    <row r="526" spans="1:35" x14ac:dyDescent="0.55000000000000004">
      <c r="A526" s="1">
        <v>524</v>
      </c>
      <c r="B526" s="1" t="s">
        <v>20</v>
      </c>
      <c r="C526" s="1">
        <v>36</v>
      </c>
      <c r="D526" s="1">
        <v>6</v>
      </c>
      <c r="E526" s="1" t="s">
        <v>89</v>
      </c>
      <c r="F526" s="1" t="s">
        <v>90</v>
      </c>
      <c r="G526" s="1">
        <v>23</v>
      </c>
      <c r="H526" s="1">
        <v>2</v>
      </c>
      <c r="I526" s="1">
        <v>23060000</v>
      </c>
      <c r="J526" s="1">
        <v>339</v>
      </c>
      <c r="K526" s="1">
        <v>0</v>
      </c>
      <c r="L526" s="1">
        <v>11477</v>
      </c>
      <c r="M526" s="1">
        <v>11.823959</v>
      </c>
      <c r="N526" s="1">
        <v>102.436325</v>
      </c>
      <c r="O526" s="1">
        <v>0.04</v>
      </c>
      <c r="P526" s="1">
        <v>0.37</v>
      </c>
      <c r="Q526" s="1">
        <v>0.31</v>
      </c>
      <c r="R526" s="1">
        <v>0.11</v>
      </c>
      <c r="S526" s="1">
        <v>3.7</v>
      </c>
      <c r="T526" s="1">
        <v>1.38</v>
      </c>
      <c r="U526" s="1">
        <v>0.55000000000000004</v>
      </c>
      <c r="V526" s="1">
        <v>8.48</v>
      </c>
      <c r="W526" s="1">
        <v>3.32</v>
      </c>
      <c r="X526" s="1">
        <v>24572.044937999999</v>
      </c>
      <c r="Y526" s="1">
        <v>5529786.8671899997</v>
      </c>
      <c r="Z526" t="str">
        <f>VLOOKUP(G526,'Code Pro'!$A$2:$B$9,2,FALSE)</f>
        <v>จ.ตราด</v>
      </c>
      <c r="AA526" s="8">
        <f t="shared" si="73"/>
        <v>221191.47468759998</v>
      </c>
      <c r="AB526" s="8">
        <f t="shared" si="74"/>
        <v>2046021.1408602998</v>
      </c>
      <c r="AC526" s="8">
        <f t="shared" si="75"/>
        <v>1714233.9288289</v>
      </c>
      <c r="AD526" s="8">
        <f t="shared" si="76"/>
        <v>608276.5553909</v>
      </c>
      <c r="AE526" s="8">
        <f t="shared" si="77"/>
        <v>20460211.408603001</v>
      </c>
      <c r="AF526" s="8">
        <f t="shared" si="78"/>
        <v>7631105.8767221989</v>
      </c>
      <c r="AG526" s="8">
        <f t="shared" si="79"/>
        <v>3041382.7769545</v>
      </c>
      <c r="AH526" s="8">
        <f t="shared" si="80"/>
        <v>46892592.633771196</v>
      </c>
      <c r="AI526" s="8">
        <f t="shared" si="81"/>
        <v>18358892.399070799</v>
      </c>
    </row>
    <row r="527" spans="1:35" x14ac:dyDescent="0.55000000000000004">
      <c r="A527" s="1">
        <v>525</v>
      </c>
      <c r="B527" s="1" t="s">
        <v>20</v>
      </c>
      <c r="C527" s="1">
        <v>36</v>
      </c>
      <c r="D527" s="1">
        <v>6</v>
      </c>
      <c r="E527" s="1" t="s">
        <v>89</v>
      </c>
      <c r="F527" s="1" t="s">
        <v>90</v>
      </c>
      <c r="G527" s="1">
        <v>23</v>
      </c>
      <c r="H527" s="1">
        <v>2</v>
      </c>
      <c r="I527" s="1">
        <v>23060000</v>
      </c>
      <c r="J527" s="1">
        <v>340</v>
      </c>
      <c r="K527" s="1">
        <v>0</v>
      </c>
      <c r="L527" s="1">
        <v>11356</v>
      </c>
      <c r="M527" s="1">
        <v>11.742577000000001</v>
      </c>
      <c r="N527" s="1">
        <v>102.35319</v>
      </c>
      <c r="O527" s="1">
        <v>0.1</v>
      </c>
      <c r="P527" s="1">
        <v>0.77</v>
      </c>
      <c r="Q527" s="1">
        <v>0.05</v>
      </c>
      <c r="R527" s="1">
        <v>1.38</v>
      </c>
      <c r="S527" s="1">
        <v>4.79</v>
      </c>
      <c r="T527" s="1">
        <v>1.64</v>
      </c>
      <c r="U527" s="1">
        <v>3.46</v>
      </c>
      <c r="V527" s="1">
        <v>6.26</v>
      </c>
      <c r="W527" s="1">
        <v>6.57</v>
      </c>
      <c r="X527" s="1">
        <v>4563.0259429999996</v>
      </c>
      <c r="Y527" s="1">
        <v>596462.78671100002</v>
      </c>
      <c r="Z527" t="str">
        <f>VLOOKUP(G527,'Code Pro'!$A$2:$B$9,2,FALSE)</f>
        <v>จ.ตราด</v>
      </c>
      <c r="AA527" s="8">
        <f t="shared" si="73"/>
        <v>59646.278671100008</v>
      </c>
      <c r="AB527" s="8">
        <f t="shared" si="74"/>
        <v>459276.34576747002</v>
      </c>
      <c r="AC527" s="8">
        <f t="shared" si="75"/>
        <v>29823.139335550004</v>
      </c>
      <c r="AD527" s="8">
        <f t="shared" si="76"/>
        <v>823118.64566118002</v>
      </c>
      <c r="AE527" s="8">
        <f t="shared" si="77"/>
        <v>2857056.7483456903</v>
      </c>
      <c r="AF527" s="8">
        <f t="shared" si="78"/>
        <v>978198.97020603996</v>
      </c>
      <c r="AG527" s="8">
        <f t="shared" si="79"/>
        <v>2063761.2420200601</v>
      </c>
      <c r="AH527" s="8">
        <f t="shared" si="80"/>
        <v>3733857.04481086</v>
      </c>
      <c r="AI527" s="8">
        <f t="shared" si="81"/>
        <v>3918760.5086912704</v>
      </c>
    </row>
    <row r="528" spans="1:35" x14ac:dyDescent="0.55000000000000004">
      <c r="A528" s="1">
        <v>526</v>
      </c>
      <c r="B528" s="1" t="s">
        <v>20</v>
      </c>
      <c r="C528" s="1">
        <v>36</v>
      </c>
      <c r="D528" s="1">
        <v>6</v>
      </c>
      <c r="E528" s="1" t="s">
        <v>89</v>
      </c>
      <c r="F528" s="1" t="s">
        <v>90</v>
      </c>
      <c r="G528" s="1">
        <v>23</v>
      </c>
      <c r="H528" s="1">
        <v>2</v>
      </c>
      <c r="I528" s="1">
        <v>23060000</v>
      </c>
      <c r="J528" s="1">
        <v>343</v>
      </c>
      <c r="K528" s="1">
        <v>0</v>
      </c>
      <c r="L528" s="1">
        <v>11238</v>
      </c>
      <c r="M528" s="1">
        <v>11.661171</v>
      </c>
      <c r="N528" s="1">
        <v>102.51946</v>
      </c>
      <c r="O528" s="1">
        <v>0.85</v>
      </c>
      <c r="P528" s="1">
        <v>1.02</v>
      </c>
      <c r="Q528" s="1">
        <v>0.35</v>
      </c>
      <c r="R528" s="1">
        <v>0.02</v>
      </c>
      <c r="S528" s="1">
        <v>0.8</v>
      </c>
      <c r="T528" s="1">
        <v>1.58</v>
      </c>
      <c r="U528" s="1">
        <v>3.86</v>
      </c>
      <c r="V528" s="1">
        <v>7.49</v>
      </c>
      <c r="W528" s="1">
        <v>2.2400000000000002</v>
      </c>
      <c r="X528" s="1">
        <v>34045.299353000002</v>
      </c>
      <c r="Y528" s="1">
        <v>25864121.8717</v>
      </c>
      <c r="Z528" t="str">
        <f>VLOOKUP(G528,'Code Pro'!$A$2:$B$9,2,FALSE)</f>
        <v>จ.ตราด</v>
      </c>
      <c r="AA528" s="8">
        <f t="shared" si="73"/>
        <v>21984503.590944998</v>
      </c>
      <c r="AB528" s="8">
        <f t="shared" si="74"/>
        <v>26381404.309133999</v>
      </c>
      <c r="AC528" s="8">
        <f t="shared" si="75"/>
        <v>9052442.6550949998</v>
      </c>
      <c r="AD528" s="8">
        <f t="shared" si="76"/>
        <v>517282.43743400002</v>
      </c>
      <c r="AE528" s="8">
        <f t="shared" si="77"/>
        <v>20691297.497360002</v>
      </c>
      <c r="AF528" s="8">
        <f t="shared" si="78"/>
        <v>40865312.557286002</v>
      </c>
      <c r="AG528" s="8">
        <f t="shared" si="79"/>
        <v>99835510.424761996</v>
      </c>
      <c r="AH528" s="8">
        <f t="shared" si="80"/>
        <v>193722272.819033</v>
      </c>
      <c r="AI528" s="8">
        <f t="shared" si="81"/>
        <v>57935632.992608003</v>
      </c>
    </row>
    <row r="529" spans="1:35" x14ac:dyDescent="0.55000000000000004">
      <c r="A529" s="1">
        <v>527</v>
      </c>
      <c r="B529" s="1" t="s">
        <v>20</v>
      </c>
      <c r="C529" s="1">
        <v>36</v>
      </c>
      <c r="D529" s="1">
        <v>6</v>
      </c>
      <c r="E529" s="1" t="s">
        <v>89</v>
      </c>
      <c r="F529" s="1" t="s">
        <v>90</v>
      </c>
      <c r="G529" s="1">
        <v>23</v>
      </c>
      <c r="H529" s="1">
        <v>2</v>
      </c>
      <c r="I529" s="1">
        <v>23060000</v>
      </c>
      <c r="J529" s="1">
        <v>345</v>
      </c>
      <c r="K529" s="1">
        <v>0</v>
      </c>
      <c r="L529" s="1">
        <v>11118</v>
      </c>
      <c r="M529" s="1">
        <v>11.579734999999999</v>
      </c>
      <c r="N529" s="1">
        <v>102.51946</v>
      </c>
      <c r="O529" s="1">
        <v>0.34</v>
      </c>
      <c r="P529" s="1">
        <v>2.14</v>
      </c>
      <c r="Q529" s="1">
        <v>7.0000000000000007E-2</v>
      </c>
      <c r="R529" s="1">
        <v>0.39</v>
      </c>
      <c r="S529" s="1">
        <v>6.77</v>
      </c>
      <c r="T529" s="1">
        <v>0.94</v>
      </c>
      <c r="U529" s="1">
        <v>4.07</v>
      </c>
      <c r="V529" s="1">
        <v>7.41</v>
      </c>
      <c r="W529" s="1">
        <v>2.88</v>
      </c>
      <c r="X529" s="1">
        <v>15668.316220000001</v>
      </c>
      <c r="Y529" s="1">
        <v>8196039.6891599996</v>
      </c>
      <c r="Z529" t="str">
        <f>VLOOKUP(G529,'Code Pro'!$A$2:$B$9,2,FALSE)</f>
        <v>จ.ตราด</v>
      </c>
      <c r="AA529" s="8">
        <f t="shared" si="73"/>
        <v>2786653.4943144</v>
      </c>
      <c r="AB529" s="8">
        <f t="shared" si="74"/>
        <v>17539524.934802402</v>
      </c>
      <c r="AC529" s="8">
        <f t="shared" si="75"/>
        <v>573722.77824120002</v>
      </c>
      <c r="AD529" s="8">
        <f t="shared" si="76"/>
        <v>3196455.4787723999</v>
      </c>
      <c r="AE529" s="8">
        <f t="shared" si="77"/>
        <v>55487188.695613191</v>
      </c>
      <c r="AF529" s="8">
        <f t="shared" si="78"/>
        <v>7704277.3078103988</v>
      </c>
      <c r="AG529" s="8">
        <f t="shared" si="79"/>
        <v>33357881.534881201</v>
      </c>
      <c r="AH529" s="8">
        <f t="shared" si="80"/>
        <v>60732654.096675597</v>
      </c>
      <c r="AI529" s="8">
        <f t="shared" si="81"/>
        <v>23604594.304780796</v>
      </c>
    </row>
    <row r="530" spans="1:35" x14ac:dyDescent="0.55000000000000004">
      <c r="A530" s="1">
        <v>528</v>
      </c>
      <c r="B530" s="1" t="s">
        <v>20</v>
      </c>
      <c r="C530" s="1">
        <v>36</v>
      </c>
      <c r="D530" s="1">
        <v>6</v>
      </c>
      <c r="E530" s="1" t="s">
        <v>89</v>
      </c>
      <c r="F530" s="1" t="s">
        <v>90</v>
      </c>
      <c r="G530" s="1">
        <v>23</v>
      </c>
      <c r="H530" s="1">
        <v>2</v>
      </c>
      <c r="I530" s="1">
        <v>23060000</v>
      </c>
      <c r="J530" s="1">
        <v>346</v>
      </c>
      <c r="K530" s="1">
        <v>0</v>
      </c>
      <c r="L530" s="1">
        <v>11478</v>
      </c>
      <c r="M530" s="1">
        <v>11.823959</v>
      </c>
      <c r="N530" s="1">
        <v>102.51946</v>
      </c>
      <c r="O530" s="1">
        <v>0</v>
      </c>
      <c r="P530" s="1">
        <v>1.94</v>
      </c>
      <c r="Q530" s="1">
        <v>0.03</v>
      </c>
      <c r="R530" s="1">
        <v>0</v>
      </c>
      <c r="S530" s="1">
        <v>0.89</v>
      </c>
      <c r="T530" s="1">
        <v>0.45</v>
      </c>
      <c r="U530" s="1">
        <v>2.2000000000000002</v>
      </c>
      <c r="V530" s="1">
        <v>7.43</v>
      </c>
      <c r="W530" s="1">
        <v>5.21</v>
      </c>
      <c r="X530" s="1">
        <v>24343.539338999999</v>
      </c>
      <c r="Y530" s="1">
        <v>9445276.0653300006</v>
      </c>
      <c r="Z530" t="str">
        <f>VLOOKUP(G530,'Code Pro'!$A$2:$B$9,2,FALSE)</f>
        <v>จ.ตราด</v>
      </c>
      <c r="AA530" s="8">
        <f t="shared" si="73"/>
        <v>0</v>
      </c>
      <c r="AB530" s="8">
        <f t="shared" si="74"/>
        <v>18323835.5667402</v>
      </c>
      <c r="AC530" s="8">
        <f t="shared" si="75"/>
        <v>283358.28195989999</v>
      </c>
      <c r="AD530" s="8">
        <f t="shared" si="76"/>
        <v>0</v>
      </c>
      <c r="AE530" s="8">
        <f t="shared" si="77"/>
        <v>8406295.6981437001</v>
      </c>
      <c r="AF530" s="8">
        <f t="shared" si="78"/>
        <v>4250374.2293985002</v>
      </c>
      <c r="AG530" s="8">
        <f t="shared" si="79"/>
        <v>20779607.343726002</v>
      </c>
      <c r="AH530" s="8">
        <f t="shared" si="80"/>
        <v>70178401.165401906</v>
      </c>
      <c r="AI530" s="8">
        <f t="shared" si="81"/>
        <v>49209888.3003693</v>
      </c>
    </row>
    <row r="531" spans="1:35" x14ac:dyDescent="0.55000000000000004">
      <c r="A531" s="1">
        <v>529</v>
      </c>
      <c r="B531" s="1" t="s">
        <v>20</v>
      </c>
      <c r="C531" s="1">
        <v>36</v>
      </c>
      <c r="D531" s="1">
        <v>6</v>
      </c>
      <c r="E531" s="1" t="s">
        <v>89</v>
      </c>
      <c r="F531" s="1" t="s">
        <v>90</v>
      </c>
      <c r="G531" s="1">
        <v>23</v>
      </c>
      <c r="H531" s="1">
        <v>2</v>
      </c>
      <c r="I531" s="1">
        <v>23060000</v>
      </c>
      <c r="J531" s="1">
        <v>347</v>
      </c>
      <c r="K531" s="1">
        <v>0</v>
      </c>
      <c r="L531" s="1">
        <v>11357</v>
      </c>
      <c r="M531" s="1">
        <v>11.742577000000001</v>
      </c>
      <c r="N531" s="1">
        <v>102.436325</v>
      </c>
      <c r="O531" s="1">
        <v>0.56999999999999995</v>
      </c>
      <c r="P531" s="1">
        <v>0.35</v>
      </c>
      <c r="Q531" s="1">
        <v>0.02</v>
      </c>
      <c r="R531" s="1">
        <v>0.25</v>
      </c>
      <c r="S531" s="1">
        <v>0.91</v>
      </c>
      <c r="T531" s="1">
        <v>1.3</v>
      </c>
      <c r="U531" s="1">
        <v>2.68</v>
      </c>
      <c r="V531" s="1">
        <v>8.77</v>
      </c>
      <c r="W531" s="1">
        <v>4.9400000000000004</v>
      </c>
      <c r="X531" s="1">
        <v>1007.889349</v>
      </c>
      <c r="Y531" s="1">
        <v>17922.939208</v>
      </c>
      <c r="Z531" t="str">
        <f>VLOOKUP(G531,'Code Pro'!$A$2:$B$9,2,FALSE)</f>
        <v>จ.ตราด</v>
      </c>
      <c r="AA531" s="8">
        <f t="shared" si="73"/>
        <v>10216.07534856</v>
      </c>
      <c r="AB531" s="8">
        <f t="shared" si="74"/>
        <v>6273.0287227999997</v>
      </c>
      <c r="AC531" s="8">
        <f t="shared" si="75"/>
        <v>358.45878415999999</v>
      </c>
      <c r="AD531" s="8">
        <f t="shared" si="76"/>
        <v>4480.7348019999999</v>
      </c>
      <c r="AE531" s="8">
        <f t="shared" si="77"/>
        <v>16309.874679280001</v>
      </c>
      <c r="AF531" s="8">
        <f t="shared" si="78"/>
        <v>23299.8209704</v>
      </c>
      <c r="AG531" s="8">
        <f t="shared" si="79"/>
        <v>48033.477077440002</v>
      </c>
      <c r="AH531" s="8">
        <f t="shared" si="80"/>
        <v>157184.17685416</v>
      </c>
      <c r="AI531" s="8">
        <f t="shared" si="81"/>
        <v>88539.319687520008</v>
      </c>
    </row>
    <row r="532" spans="1:35" x14ac:dyDescent="0.55000000000000004">
      <c r="A532" s="1">
        <v>530</v>
      </c>
      <c r="B532" s="1" t="s">
        <v>20</v>
      </c>
      <c r="C532" s="1">
        <v>36</v>
      </c>
      <c r="D532" s="1">
        <v>6</v>
      </c>
      <c r="E532" s="1" t="s">
        <v>89</v>
      </c>
      <c r="F532" s="1" t="s">
        <v>90</v>
      </c>
      <c r="G532" s="1">
        <v>23</v>
      </c>
      <c r="H532" s="1">
        <v>2</v>
      </c>
      <c r="I532" s="1">
        <v>23060000</v>
      </c>
      <c r="J532" s="1">
        <v>350</v>
      </c>
      <c r="K532" s="1">
        <v>0</v>
      </c>
      <c r="L532" s="1">
        <v>11358</v>
      </c>
      <c r="M532" s="1">
        <v>11.742577000000001</v>
      </c>
      <c r="N532" s="1">
        <v>102.51946</v>
      </c>
      <c r="O532" s="1">
        <v>0</v>
      </c>
      <c r="P532" s="1">
        <v>0.2</v>
      </c>
      <c r="Q532" s="1">
        <v>0.27</v>
      </c>
      <c r="R532" s="1">
        <v>7.0000000000000007E-2</v>
      </c>
      <c r="S532" s="1">
        <v>0.6</v>
      </c>
      <c r="T532" s="1">
        <v>2.37</v>
      </c>
      <c r="U532" s="1">
        <v>3.36</v>
      </c>
      <c r="V532" s="1">
        <v>2.5099999999999998</v>
      </c>
      <c r="W532" s="1">
        <v>3.75</v>
      </c>
      <c r="X532" s="1">
        <v>24732.341789999999</v>
      </c>
      <c r="Y532" s="1">
        <v>15179642.4263</v>
      </c>
      <c r="Z532" t="str">
        <f>VLOOKUP(G532,'Code Pro'!$A$2:$B$9,2,FALSE)</f>
        <v>จ.ตราด</v>
      </c>
      <c r="AA532" s="8">
        <f t="shared" si="73"/>
        <v>0</v>
      </c>
      <c r="AB532" s="8">
        <f t="shared" si="74"/>
        <v>3035928.4852600005</v>
      </c>
      <c r="AC532" s="8">
        <f t="shared" si="75"/>
        <v>4098503.4551010001</v>
      </c>
      <c r="AD532" s="8">
        <f t="shared" si="76"/>
        <v>1062574.9698410002</v>
      </c>
      <c r="AE532" s="8">
        <f t="shared" si="77"/>
        <v>9107785.4557799995</v>
      </c>
      <c r="AF532" s="8">
        <f t="shared" si="78"/>
        <v>35975752.550331004</v>
      </c>
      <c r="AG532" s="8">
        <f t="shared" si="79"/>
        <v>51003598.552368</v>
      </c>
      <c r="AH532" s="8">
        <f t="shared" si="80"/>
        <v>38100902.490012996</v>
      </c>
      <c r="AI532" s="8">
        <f t="shared" si="81"/>
        <v>56923659.098625004</v>
      </c>
    </row>
    <row r="533" spans="1:35" x14ac:dyDescent="0.55000000000000004">
      <c r="A533" s="1">
        <v>531</v>
      </c>
      <c r="B533" s="1" t="s">
        <v>20</v>
      </c>
      <c r="C533" s="1">
        <v>36</v>
      </c>
      <c r="D533" s="1">
        <v>6</v>
      </c>
      <c r="E533" s="1" t="s">
        <v>89</v>
      </c>
      <c r="F533" s="1" t="s">
        <v>90</v>
      </c>
      <c r="G533" s="1">
        <v>23</v>
      </c>
      <c r="H533" s="1">
        <v>2</v>
      </c>
      <c r="I533" s="1">
        <v>23060000</v>
      </c>
      <c r="J533" s="1">
        <v>398</v>
      </c>
      <c r="K533" s="1">
        <v>0</v>
      </c>
      <c r="L533" s="1">
        <v>11119</v>
      </c>
      <c r="M533" s="1">
        <v>11.579734999999999</v>
      </c>
      <c r="N533" s="1">
        <v>102.6026</v>
      </c>
      <c r="O533" s="1">
        <v>0.49</v>
      </c>
      <c r="P533" s="1">
        <v>0.94</v>
      </c>
      <c r="Q533" s="1">
        <v>0</v>
      </c>
      <c r="R533" s="1">
        <v>0.04</v>
      </c>
      <c r="S533" s="1">
        <v>21.99</v>
      </c>
      <c r="T533" s="1">
        <v>0.86</v>
      </c>
      <c r="U533" s="1">
        <v>3.23</v>
      </c>
      <c r="V533" s="1">
        <v>3.97</v>
      </c>
      <c r="W533" s="1">
        <v>3.44</v>
      </c>
      <c r="X533" s="1">
        <v>23691.058828000001</v>
      </c>
      <c r="Y533" s="1">
        <v>18426647.271699999</v>
      </c>
      <c r="Z533" t="str">
        <f>VLOOKUP(G533,'Code Pro'!$A$2:$B$9,2,FALSE)</f>
        <v>จ.ตราด</v>
      </c>
      <c r="AA533" s="8">
        <f t="shared" si="73"/>
        <v>9029057.1631329991</v>
      </c>
      <c r="AB533" s="8">
        <f t="shared" si="74"/>
        <v>17321048.435397997</v>
      </c>
      <c r="AC533" s="8">
        <f t="shared" si="75"/>
        <v>0</v>
      </c>
      <c r="AD533" s="8">
        <f t="shared" si="76"/>
        <v>737065.89086799999</v>
      </c>
      <c r="AE533" s="8">
        <f t="shared" si="77"/>
        <v>405201973.50468296</v>
      </c>
      <c r="AF533" s="8">
        <f t="shared" si="78"/>
        <v>15846916.653661998</v>
      </c>
      <c r="AG533" s="8">
        <f t="shared" si="79"/>
        <v>59518070.687590994</v>
      </c>
      <c r="AH533" s="8">
        <f t="shared" si="80"/>
        <v>73153789.668649003</v>
      </c>
      <c r="AI533" s="8">
        <f t="shared" si="81"/>
        <v>63387666.614647992</v>
      </c>
    </row>
    <row r="534" spans="1:35" x14ac:dyDescent="0.55000000000000004">
      <c r="A534" s="1">
        <v>532</v>
      </c>
      <c r="B534" s="1" t="s">
        <v>20</v>
      </c>
      <c r="C534" s="1">
        <v>36</v>
      </c>
      <c r="D534" s="1">
        <v>6</v>
      </c>
      <c r="E534" s="1" t="s">
        <v>89</v>
      </c>
      <c r="F534" s="1" t="s">
        <v>90</v>
      </c>
      <c r="G534" s="1">
        <v>23</v>
      </c>
      <c r="H534" s="1">
        <v>2</v>
      </c>
      <c r="I534" s="1">
        <v>23060000</v>
      </c>
      <c r="J534" s="1">
        <v>405</v>
      </c>
      <c r="K534" s="1">
        <v>0</v>
      </c>
      <c r="L534" s="1">
        <v>11359</v>
      </c>
      <c r="M534" s="1">
        <v>11.742577000000001</v>
      </c>
      <c r="N534" s="1">
        <v>102.6026</v>
      </c>
      <c r="O534" s="1">
        <v>0.11</v>
      </c>
      <c r="P534" s="1">
        <v>0.3</v>
      </c>
      <c r="Q534" s="1">
        <v>0.87</v>
      </c>
      <c r="R534" s="1">
        <v>0</v>
      </c>
      <c r="S534" s="1">
        <v>0</v>
      </c>
      <c r="T534" s="1">
        <v>0.06</v>
      </c>
      <c r="U534" s="1">
        <v>2.61</v>
      </c>
      <c r="V534" s="1">
        <v>8.08</v>
      </c>
      <c r="W534" s="1">
        <v>4.8499999999999996</v>
      </c>
      <c r="X534" s="1">
        <v>18947.642624</v>
      </c>
      <c r="Y534" s="1">
        <v>3649926.43487</v>
      </c>
      <c r="Z534" t="str">
        <f>VLOOKUP(G534,'Code Pro'!$A$2:$B$9,2,FALSE)</f>
        <v>จ.ตราด</v>
      </c>
      <c r="AA534" s="8">
        <f t="shared" si="73"/>
        <v>401491.90783570003</v>
      </c>
      <c r="AB534" s="8">
        <f t="shared" si="74"/>
        <v>1094977.930461</v>
      </c>
      <c r="AC534" s="8">
        <f t="shared" si="75"/>
        <v>3175435.9983369</v>
      </c>
      <c r="AD534" s="8">
        <f t="shared" si="76"/>
        <v>0</v>
      </c>
      <c r="AE534" s="8">
        <f t="shared" si="77"/>
        <v>0</v>
      </c>
      <c r="AF534" s="8">
        <f t="shared" si="78"/>
        <v>218995.58609219998</v>
      </c>
      <c r="AG534" s="8">
        <f t="shared" si="79"/>
        <v>9526307.9950107001</v>
      </c>
      <c r="AH534" s="8">
        <f t="shared" si="80"/>
        <v>29491405.593749601</v>
      </c>
      <c r="AI534" s="8">
        <f t="shared" si="81"/>
        <v>17702143.209119499</v>
      </c>
    </row>
    <row r="535" spans="1:35" x14ac:dyDescent="0.55000000000000004">
      <c r="A535" s="1">
        <v>533</v>
      </c>
      <c r="B535" s="1" t="s">
        <v>20</v>
      </c>
      <c r="C535" s="1">
        <v>36</v>
      </c>
      <c r="D535" s="1">
        <v>6</v>
      </c>
      <c r="E535" s="1" t="s">
        <v>89</v>
      </c>
      <c r="F535" s="1" t="s">
        <v>90</v>
      </c>
      <c r="G535" s="1">
        <v>23</v>
      </c>
      <c r="H535" s="1">
        <v>2</v>
      </c>
      <c r="I535" s="1">
        <v>23060000</v>
      </c>
      <c r="J535" s="1">
        <v>406</v>
      </c>
      <c r="K535" s="1">
        <v>0</v>
      </c>
      <c r="L535" s="1">
        <v>11239</v>
      </c>
      <c r="M535" s="1">
        <v>11.661171</v>
      </c>
      <c r="N535" s="1">
        <v>102.6026</v>
      </c>
      <c r="O535" s="1">
        <v>0.1</v>
      </c>
      <c r="P535" s="1">
        <v>5.04</v>
      </c>
      <c r="Q535" s="1">
        <v>0.03</v>
      </c>
      <c r="R535" s="1">
        <v>0.25</v>
      </c>
      <c r="S535" s="1">
        <v>2.74</v>
      </c>
      <c r="T535" s="1">
        <v>7.07</v>
      </c>
      <c r="U535" s="1">
        <v>8.19</v>
      </c>
      <c r="V535" s="1">
        <v>8.77</v>
      </c>
      <c r="W535" s="1">
        <v>5.07</v>
      </c>
      <c r="X535" s="1">
        <v>30642.312088999999</v>
      </c>
      <c r="Y535" s="1">
        <v>41444922.778300002</v>
      </c>
      <c r="Z535" t="str">
        <f>VLOOKUP(G535,'Code Pro'!$A$2:$B$9,2,FALSE)</f>
        <v>จ.ตราด</v>
      </c>
      <c r="AA535" s="8">
        <f t="shared" si="73"/>
        <v>4144492.2778300005</v>
      </c>
      <c r="AB535" s="8">
        <f t="shared" si="74"/>
        <v>208882410.802632</v>
      </c>
      <c r="AC535" s="8">
        <f t="shared" si="75"/>
        <v>1243347.6833490001</v>
      </c>
      <c r="AD535" s="8">
        <f t="shared" si="76"/>
        <v>10361230.694575001</v>
      </c>
      <c r="AE535" s="8">
        <f t="shared" si="77"/>
        <v>113559088.41254202</v>
      </c>
      <c r="AF535" s="8">
        <f t="shared" si="78"/>
        <v>293015604.04258102</v>
      </c>
      <c r="AG535" s="8">
        <f t="shared" si="79"/>
        <v>339433917.554277</v>
      </c>
      <c r="AH535" s="8">
        <f t="shared" si="80"/>
        <v>363471972.76569098</v>
      </c>
      <c r="AI535" s="8">
        <f t="shared" si="81"/>
        <v>210125758.48598102</v>
      </c>
    </row>
    <row r="536" spans="1:35" x14ac:dyDescent="0.55000000000000004">
      <c r="A536" s="1">
        <v>534</v>
      </c>
      <c r="B536" s="1" t="s">
        <v>20</v>
      </c>
      <c r="C536" s="1">
        <v>37</v>
      </c>
      <c r="D536" s="1">
        <v>7</v>
      </c>
      <c r="E536" s="1" t="s">
        <v>91</v>
      </c>
      <c r="F536" s="1" t="s">
        <v>92</v>
      </c>
      <c r="G536" s="1">
        <v>23</v>
      </c>
      <c r="H536" s="1">
        <v>2</v>
      </c>
      <c r="I536" s="1">
        <v>23070000</v>
      </c>
      <c r="J536" s="1">
        <v>375</v>
      </c>
      <c r="K536" s="1">
        <v>0</v>
      </c>
      <c r="L536" s="1">
        <v>11836</v>
      </c>
      <c r="M536" s="1">
        <v>12.067970000000001</v>
      </c>
      <c r="N536" s="1">
        <v>102.35319</v>
      </c>
      <c r="O536" s="1">
        <v>10.92</v>
      </c>
      <c r="P536" s="1">
        <v>0.18</v>
      </c>
      <c r="Q536" s="1">
        <v>0.06</v>
      </c>
      <c r="R536" s="1">
        <v>2.63</v>
      </c>
      <c r="S536" s="1">
        <v>56.360000999999997</v>
      </c>
      <c r="T536" s="1">
        <v>9.9499999999999993</v>
      </c>
      <c r="U536" s="1">
        <v>54.439999</v>
      </c>
      <c r="V536" s="1">
        <v>3.01</v>
      </c>
      <c r="W536" s="1">
        <v>14.59</v>
      </c>
      <c r="X536" s="1">
        <v>34228.023959999999</v>
      </c>
      <c r="Y536" s="1">
        <v>66174366.960500002</v>
      </c>
      <c r="Z536" t="str">
        <f>VLOOKUP(G536,'Code Pro'!$A$2:$B$9,2,FALSE)</f>
        <v>จ.ตราด</v>
      </c>
      <c r="AA536" s="8">
        <f t="shared" si="73"/>
        <v>722624087.20866001</v>
      </c>
      <c r="AB536" s="8">
        <f t="shared" si="74"/>
        <v>11911386.052889999</v>
      </c>
      <c r="AC536" s="8">
        <f t="shared" si="75"/>
        <v>3970462.0176300001</v>
      </c>
      <c r="AD536" s="8">
        <f t="shared" si="76"/>
        <v>174038585.10611498</v>
      </c>
      <c r="AE536" s="8">
        <f t="shared" si="77"/>
        <v>3729587388.0681467</v>
      </c>
      <c r="AF536" s="8">
        <f t="shared" si="78"/>
        <v>658434951.25697494</v>
      </c>
      <c r="AG536" s="8">
        <f t="shared" si="79"/>
        <v>3602532471.1552529</v>
      </c>
      <c r="AH536" s="8">
        <f t="shared" si="80"/>
        <v>199184844.55110499</v>
      </c>
      <c r="AI536" s="8">
        <f t="shared" si="81"/>
        <v>965484013.95369506</v>
      </c>
    </row>
    <row r="537" spans="1:35" x14ac:dyDescent="0.55000000000000004">
      <c r="A537" s="1">
        <v>535</v>
      </c>
      <c r="B537" s="1" t="s">
        <v>20</v>
      </c>
      <c r="C537" s="1">
        <v>37</v>
      </c>
      <c r="D537" s="1">
        <v>7</v>
      </c>
      <c r="E537" s="1" t="s">
        <v>91</v>
      </c>
      <c r="F537" s="1" t="s">
        <v>92</v>
      </c>
      <c r="G537" s="1">
        <v>23</v>
      </c>
      <c r="H537" s="1">
        <v>2</v>
      </c>
      <c r="I537" s="1">
        <v>23070000</v>
      </c>
      <c r="J537" s="1">
        <v>376</v>
      </c>
      <c r="K537" s="1">
        <v>0</v>
      </c>
      <c r="L537" s="1">
        <v>11715</v>
      </c>
      <c r="M537" s="1">
        <v>11.986656</v>
      </c>
      <c r="N537" s="1">
        <v>102.27006</v>
      </c>
      <c r="O537" s="1">
        <v>2.59</v>
      </c>
      <c r="P537" s="1">
        <v>7.81</v>
      </c>
      <c r="Q537" s="1">
        <v>0.02</v>
      </c>
      <c r="R537" s="1">
        <v>3.11</v>
      </c>
      <c r="S537" s="1">
        <v>11.96</v>
      </c>
      <c r="T537" s="1">
        <v>4.47</v>
      </c>
      <c r="U537" s="1">
        <v>6.11</v>
      </c>
      <c r="V537" s="1">
        <v>3.09</v>
      </c>
      <c r="W537" s="1">
        <v>7.91</v>
      </c>
      <c r="X537" s="1">
        <v>19940.051678</v>
      </c>
      <c r="Y537" s="1">
        <v>12846274.979699999</v>
      </c>
      <c r="Z537" t="str">
        <f>VLOOKUP(G537,'Code Pro'!$A$2:$B$9,2,FALSE)</f>
        <v>จ.ตราด</v>
      </c>
      <c r="AA537" s="8">
        <f t="shared" si="73"/>
        <v>33271852.197422996</v>
      </c>
      <c r="AB537" s="8">
        <f t="shared" si="74"/>
        <v>100329407.59145699</v>
      </c>
      <c r="AC537" s="8">
        <f t="shared" si="75"/>
        <v>256925.49959399999</v>
      </c>
      <c r="AD537" s="8">
        <f t="shared" si="76"/>
        <v>39951915.186866999</v>
      </c>
      <c r="AE537" s="8">
        <f t="shared" si="77"/>
        <v>153641448.75721201</v>
      </c>
      <c r="AF537" s="8">
        <f t="shared" si="78"/>
        <v>57422849.159258991</v>
      </c>
      <c r="AG537" s="8">
        <f t="shared" si="79"/>
        <v>78490740.125966996</v>
      </c>
      <c r="AH537" s="8">
        <f t="shared" si="80"/>
        <v>39694989.687272996</v>
      </c>
      <c r="AI537" s="8">
        <f t="shared" si="81"/>
        <v>101614035.08942699</v>
      </c>
    </row>
    <row r="538" spans="1:35" x14ac:dyDescent="0.55000000000000004">
      <c r="A538" s="1">
        <v>536</v>
      </c>
      <c r="B538" s="1" t="s">
        <v>20</v>
      </c>
      <c r="C538" s="1">
        <v>37</v>
      </c>
      <c r="D538" s="1">
        <v>7</v>
      </c>
      <c r="E538" s="1" t="s">
        <v>91</v>
      </c>
      <c r="F538" s="1" t="s">
        <v>92</v>
      </c>
      <c r="G538" s="1">
        <v>23</v>
      </c>
      <c r="H538" s="1">
        <v>2</v>
      </c>
      <c r="I538" s="1">
        <v>23070000</v>
      </c>
      <c r="J538" s="1">
        <v>377</v>
      </c>
      <c r="K538" s="1">
        <v>0</v>
      </c>
      <c r="L538" s="1">
        <v>11716</v>
      </c>
      <c r="M538" s="1">
        <v>11.986656</v>
      </c>
      <c r="N538" s="1">
        <v>102.35319</v>
      </c>
      <c r="O538" s="1">
        <v>0.22</v>
      </c>
      <c r="P538" s="1">
        <v>0.38</v>
      </c>
      <c r="Q538" s="1">
        <v>0.2</v>
      </c>
      <c r="R538" s="1">
        <v>0.92</v>
      </c>
      <c r="S538" s="1">
        <v>0.2</v>
      </c>
      <c r="T538" s="1">
        <v>1.06</v>
      </c>
      <c r="U538" s="1">
        <v>6.92</v>
      </c>
      <c r="V538" s="1">
        <v>13.38</v>
      </c>
      <c r="W538" s="1">
        <v>21.780000999999999</v>
      </c>
      <c r="X538" s="1">
        <v>40124.736556999997</v>
      </c>
      <c r="Y538" s="1">
        <v>53175496.392999999</v>
      </c>
      <c r="Z538" t="str">
        <f>VLOOKUP(G538,'Code Pro'!$A$2:$B$9,2,FALSE)</f>
        <v>จ.ตราด</v>
      </c>
      <c r="AA538" s="8">
        <f t="shared" si="73"/>
        <v>11698609.206459999</v>
      </c>
      <c r="AB538" s="8">
        <f t="shared" si="74"/>
        <v>20206688.62934</v>
      </c>
      <c r="AC538" s="8">
        <f t="shared" si="75"/>
        <v>10635099.2786</v>
      </c>
      <c r="AD538" s="8">
        <f t="shared" si="76"/>
        <v>48921456.681560002</v>
      </c>
      <c r="AE538" s="8">
        <f t="shared" si="77"/>
        <v>10635099.2786</v>
      </c>
      <c r="AF538" s="8">
        <f t="shared" si="78"/>
        <v>56366026.176580004</v>
      </c>
      <c r="AG538" s="8">
        <f t="shared" si="79"/>
        <v>367974435.03956002</v>
      </c>
      <c r="AH538" s="8">
        <f t="shared" si="80"/>
        <v>711488141.73834002</v>
      </c>
      <c r="AI538" s="8">
        <f t="shared" si="81"/>
        <v>1158162364.6150362</v>
      </c>
    </row>
    <row r="539" spans="1:35" x14ac:dyDescent="0.55000000000000004">
      <c r="A539" s="1">
        <v>537</v>
      </c>
      <c r="B539" s="1" t="s">
        <v>20</v>
      </c>
      <c r="C539" s="1">
        <v>37</v>
      </c>
      <c r="D539" s="1">
        <v>7</v>
      </c>
      <c r="E539" s="1" t="s">
        <v>91</v>
      </c>
      <c r="F539" s="1" t="s">
        <v>92</v>
      </c>
      <c r="G539" s="1">
        <v>23</v>
      </c>
      <c r="H539" s="1">
        <v>2</v>
      </c>
      <c r="I539" s="1">
        <v>23070000</v>
      </c>
      <c r="J539" s="1">
        <v>379</v>
      </c>
      <c r="K539" s="1">
        <v>0</v>
      </c>
      <c r="L539" s="1">
        <v>11835</v>
      </c>
      <c r="M539" s="1">
        <v>12.067970000000001</v>
      </c>
      <c r="N539" s="1">
        <v>102.27006</v>
      </c>
      <c r="O539" s="1">
        <v>3.83</v>
      </c>
      <c r="P539" s="1">
        <v>1.3</v>
      </c>
      <c r="Q539" s="1">
        <v>0.75</v>
      </c>
      <c r="R539" s="1">
        <v>0.06</v>
      </c>
      <c r="S539" s="1">
        <v>22.18</v>
      </c>
      <c r="T539" s="1">
        <v>2.7</v>
      </c>
      <c r="U539" s="1">
        <v>20.540001</v>
      </c>
      <c r="V539" s="1">
        <v>1.55</v>
      </c>
      <c r="W539" s="1">
        <v>6.92</v>
      </c>
      <c r="X539" s="1">
        <v>27099.086136999998</v>
      </c>
      <c r="Y539" s="1">
        <v>29707466.7894</v>
      </c>
      <c r="Z539" t="str">
        <f>VLOOKUP(G539,'Code Pro'!$A$2:$B$9,2,FALSE)</f>
        <v>จ.ตราด</v>
      </c>
      <c r="AA539" s="8">
        <f t="shared" si="73"/>
        <v>113779597.80340201</v>
      </c>
      <c r="AB539" s="8">
        <f t="shared" si="74"/>
        <v>38619706.826219998</v>
      </c>
      <c r="AC539" s="8">
        <f t="shared" si="75"/>
        <v>22280600.092050001</v>
      </c>
      <c r="AD539" s="8">
        <f t="shared" si="76"/>
        <v>1782448.007364</v>
      </c>
      <c r="AE539" s="8">
        <f t="shared" si="77"/>
        <v>658911613.38889194</v>
      </c>
      <c r="AF539" s="8">
        <f t="shared" si="78"/>
        <v>80210160.33138001</v>
      </c>
      <c r="AG539" s="8">
        <f t="shared" si="79"/>
        <v>610191397.56174278</v>
      </c>
      <c r="AH539" s="8">
        <f t="shared" si="80"/>
        <v>46046573.523570001</v>
      </c>
      <c r="AI539" s="8">
        <f t="shared" si="81"/>
        <v>205575670.182648</v>
      </c>
    </row>
    <row r="540" spans="1:35" x14ac:dyDescent="0.55000000000000004">
      <c r="A540" s="1">
        <v>538</v>
      </c>
      <c r="B540" s="1" t="s">
        <v>20</v>
      </c>
      <c r="C540" s="1">
        <v>37</v>
      </c>
      <c r="D540" s="1">
        <v>7</v>
      </c>
      <c r="E540" s="1" t="s">
        <v>91</v>
      </c>
      <c r="F540" s="1" t="s">
        <v>92</v>
      </c>
      <c r="G540" s="1">
        <v>23</v>
      </c>
      <c r="H540" s="1">
        <v>2</v>
      </c>
      <c r="I540" s="1">
        <v>23070000</v>
      </c>
      <c r="J540" s="1">
        <v>380</v>
      </c>
      <c r="K540" s="1">
        <v>0</v>
      </c>
      <c r="L540" s="1">
        <v>11955</v>
      </c>
      <c r="M540" s="1">
        <v>12.149254000000001</v>
      </c>
      <c r="N540" s="1">
        <v>102.27006</v>
      </c>
      <c r="O540" s="1">
        <v>0.43</v>
      </c>
      <c r="P540" s="1">
        <v>0.18</v>
      </c>
      <c r="Q540" s="1">
        <v>0.25</v>
      </c>
      <c r="R540" s="1">
        <v>0</v>
      </c>
      <c r="S540" s="1">
        <v>22.18</v>
      </c>
      <c r="T540" s="1">
        <v>2.91</v>
      </c>
      <c r="U540" s="1">
        <v>12.82</v>
      </c>
      <c r="V540" s="1">
        <v>6.5</v>
      </c>
      <c r="W540" s="1">
        <v>14.42</v>
      </c>
      <c r="X540" s="1">
        <v>27943.449927000001</v>
      </c>
      <c r="Y540" s="1">
        <v>22830145.2128</v>
      </c>
      <c r="Z540" t="str">
        <f>VLOOKUP(G540,'Code Pro'!$A$2:$B$9,2,FALSE)</f>
        <v>จ.ตราด</v>
      </c>
      <c r="AA540" s="8">
        <f t="shared" si="73"/>
        <v>9816962.4415039998</v>
      </c>
      <c r="AB540" s="8">
        <f t="shared" si="74"/>
        <v>4109426.1383039998</v>
      </c>
      <c r="AC540" s="8">
        <f t="shared" si="75"/>
        <v>5707536.3032</v>
      </c>
      <c r="AD540" s="8">
        <f t="shared" si="76"/>
        <v>0</v>
      </c>
      <c r="AE540" s="8">
        <f t="shared" si="77"/>
        <v>506372620.81990397</v>
      </c>
      <c r="AF540" s="8">
        <f t="shared" si="78"/>
        <v>66435722.569248006</v>
      </c>
      <c r="AG540" s="8">
        <f t="shared" si="79"/>
        <v>292682461.62809598</v>
      </c>
      <c r="AH540" s="8">
        <f t="shared" si="80"/>
        <v>148395943.88319999</v>
      </c>
      <c r="AI540" s="8">
        <f t="shared" si="81"/>
        <v>329210693.96857601</v>
      </c>
    </row>
    <row r="541" spans="1:35" x14ac:dyDescent="0.55000000000000004">
      <c r="A541" s="1">
        <v>539</v>
      </c>
      <c r="B541" s="1" t="s">
        <v>20</v>
      </c>
      <c r="C541" s="1">
        <v>37</v>
      </c>
      <c r="D541" s="1">
        <v>7</v>
      </c>
      <c r="E541" s="1" t="s">
        <v>91</v>
      </c>
      <c r="F541" s="1" t="s">
        <v>92</v>
      </c>
      <c r="G541" s="1">
        <v>23</v>
      </c>
      <c r="H541" s="1">
        <v>2</v>
      </c>
      <c r="I541" s="1">
        <v>23070000</v>
      </c>
      <c r="J541" s="1">
        <v>382</v>
      </c>
      <c r="K541" s="1">
        <v>0</v>
      </c>
      <c r="L541" s="1">
        <v>11956</v>
      </c>
      <c r="M541" s="1">
        <v>12.149254000000001</v>
      </c>
      <c r="N541" s="1">
        <v>102.35319</v>
      </c>
      <c r="O541" s="1">
        <v>0.69</v>
      </c>
      <c r="P541" s="1">
        <v>0.17</v>
      </c>
      <c r="Q541" s="1">
        <v>0.28999999999999998</v>
      </c>
      <c r="R541" s="1">
        <v>0.11</v>
      </c>
      <c r="S541" s="1">
        <v>2.7</v>
      </c>
      <c r="T541" s="1">
        <v>0.03</v>
      </c>
      <c r="U541" s="1">
        <v>41.110000999999997</v>
      </c>
      <c r="V541" s="1">
        <v>3.64</v>
      </c>
      <c r="W541" s="1">
        <v>13.03</v>
      </c>
      <c r="X541" s="1">
        <v>15109.124454999999</v>
      </c>
      <c r="Y541" s="1">
        <v>9652221.3493799996</v>
      </c>
      <c r="Z541" t="str">
        <f>VLOOKUP(G541,'Code Pro'!$A$2:$B$9,2,FALSE)</f>
        <v>จ.ตราด</v>
      </c>
      <c r="AA541" s="8">
        <f t="shared" si="73"/>
        <v>6660032.7310721995</v>
      </c>
      <c r="AB541" s="8">
        <f t="shared" si="74"/>
        <v>1640877.6293945999</v>
      </c>
      <c r="AC541" s="8">
        <f t="shared" si="75"/>
        <v>2799144.1913201995</v>
      </c>
      <c r="AD541" s="8">
        <f t="shared" si="76"/>
        <v>1061744.3484318</v>
      </c>
      <c r="AE541" s="8">
        <f t="shared" si="77"/>
        <v>26060997.643325999</v>
      </c>
      <c r="AF541" s="8">
        <f t="shared" si="78"/>
        <v>289566.64048139995</v>
      </c>
      <c r="AG541" s="8">
        <f t="shared" si="79"/>
        <v>396802829.3252331</v>
      </c>
      <c r="AH541" s="8">
        <f t="shared" si="80"/>
        <v>35134085.711743198</v>
      </c>
      <c r="AI541" s="8">
        <f t="shared" si="81"/>
        <v>125768444.18242139</v>
      </c>
    </row>
    <row r="542" spans="1:35" x14ac:dyDescent="0.55000000000000004">
      <c r="A542" s="1">
        <v>540</v>
      </c>
      <c r="B542" s="1" t="s">
        <v>20</v>
      </c>
      <c r="C542" s="1">
        <v>37</v>
      </c>
      <c r="D542" s="1">
        <v>7</v>
      </c>
      <c r="E542" s="1" t="s">
        <v>91</v>
      </c>
      <c r="F542" s="1" t="s">
        <v>92</v>
      </c>
      <c r="G542" s="1">
        <v>23</v>
      </c>
      <c r="H542" s="1">
        <v>2</v>
      </c>
      <c r="I542" s="1">
        <v>23070000</v>
      </c>
      <c r="J542" s="1">
        <v>386</v>
      </c>
      <c r="K542" s="1">
        <v>0</v>
      </c>
      <c r="L542" s="1">
        <v>11717</v>
      </c>
      <c r="M542" s="1">
        <v>11.986656</v>
      </c>
      <c r="N542" s="1">
        <v>102.436325</v>
      </c>
      <c r="O542" s="1">
        <v>0.01</v>
      </c>
      <c r="P542" s="1">
        <v>0.27</v>
      </c>
      <c r="Q542" s="1">
        <v>0.02</v>
      </c>
      <c r="R542" s="1">
        <v>0.11</v>
      </c>
      <c r="S542" s="1">
        <v>4.1100000000000003</v>
      </c>
      <c r="T542" s="1">
        <v>1.45</v>
      </c>
      <c r="U542" s="1">
        <v>2.1</v>
      </c>
      <c r="V542" s="1">
        <v>21.129999000000002</v>
      </c>
      <c r="W542" s="1">
        <v>23.16</v>
      </c>
      <c r="X542" s="1">
        <v>24507.810223</v>
      </c>
      <c r="Y542" s="1">
        <v>23610733.352299999</v>
      </c>
      <c r="Z542" t="str">
        <f>VLOOKUP(G542,'Code Pro'!$A$2:$B$9,2,FALSE)</f>
        <v>จ.ตราด</v>
      </c>
      <c r="AA542" s="8">
        <f t="shared" si="73"/>
        <v>236107.33352300001</v>
      </c>
      <c r="AB542" s="8">
        <f t="shared" si="74"/>
        <v>6374898.0051210001</v>
      </c>
      <c r="AC542" s="8">
        <f t="shared" si="75"/>
        <v>472214.66704600002</v>
      </c>
      <c r="AD542" s="8">
        <f t="shared" si="76"/>
        <v>2597180.668753</v>
      </c>
      <c r="AE542" s="8">
        <f t="shared" si="77"/>
        <v>97040114.077953011</v>
      </c>
      <c r="AF542" s="8">
        <f t="shared" si="78"/>
        <v>34235563.360835001</v>
      </c>
      <c r="AG542" s="8">
        <f t="shared" si="79"/>
        <v>49582540.039829999</v>
      </c>
      <c r="AH542" s="8">
        <f t="shared" si="80"/>
        <v>498894772.1233657</v>
      </c>
      <c r="AI542" s="8">
        <f t="shared" si="81"/>
        <v>546824584.43926799</v>
      </c>
    </row>
    <row r="543" spans="1:35" x14ac:dyDescent="0.55000000000000004">
      <c r="A543" s="1">
        <v>541</v>
      </c>
      <c r="B543" s="1" t="s">
        <v>20</v>
      </c>
      <c r="C543" s="1">
        <v>37</v>
      </c>
      <c r="D543" s="1">
        <v>7</v>
      </c>
      <c r="E543" s="1" t="s">
        <v>91</v>
      </c>
      <c r="F543" s="1" t="s">
        <v>92</v>
      </c>
      <c r="G543" s="1">
        <v>23</v>
      </c>
      <c r="H543" s="1">
        <v>2</v>
      </c>
      <c r="I543" s="1">
        <v>23070000</v>
      </c>
      <c r="J543" s="1">
        <v>391</v>
      </c>
      <c r="K543" s="1">
        <v>0</v>
      </c>
      <c r="L543" s="1">
        <v>11837</v>
      </c>
      <c r="M543" s="1">
        <v>12.067970000000001</v>
      </c>
      <c r="N543" s="1">
        <v>102.436325</v>
      </c>
      <c r="O543" s="1">
        <v>0.37</v>
      </c>
      <c r="P543" s="1">
        <v>0.31</v>
      </c>
      <c r="Q543" s="1">
        <v>0.06</v>
      </c>
      <c r="R543" s="1">
        <v>5.67</v>
      </c>
      <c r="S543" s="1">
        <v>6.67</v>
      </c>
      <c r="T543" s="1">
        <v>0.06</v>
      </c>
      <c r="U543" s="1">
        <v>6.48</v>
      </c>
      <c r="V543" s="1">
        <v>3.28</v>
      </c>
      <c r="W543" s="1">
        <v>4.55</v>
      </c>
      <c r="X543" s="1">
        <v>7706.4942019999999</v>
      </c>
      <c r="Y543" s="1">
        <v>1509542.03987</v>
      </c>
      <c r="Z543" t="str">
        <f>VLOOKUP(G543,'Code Pro'!$A$2:$B$9,2,FALSE)</f>
        <v>จ.ตราด</v>
      </c>
      <c r="AA543" s="8">
        <f t="shared" si="73"/>
        <v>558530.55475190002</v>
      </c>
      <c r="AB543" s="8">
        <f t="shared" si="74"/>
        <v>467958.03235970001</v>
      </c>
      <c r="AC543" s="8">
        <f t="shared" si="75"/>
        <v>90572.5223922</v>
      </c>
      <c r="AD543" s="8">
        <f t="shared" si="76"/>
        <v>8559103.3660629001</v>
      </c>
      <c r="AE543" s="8">
        <f t="shared" si="77"/>
        <v>10068645.4059329</v>
      </c>
      <c r="AF543" s="8">
        <f t="shared" si="78"/>
        <v>90572.5223922</v>
      </c>
      <c r="AG543" s="8">
        <f t="shared" si="79"/>
        <v>9781832.4183576014</v>
      </c>
      <c r="AH543" s="8">
        <f t="shared" si="80"/>
        <v>4951297.8907736</v>
      </c>
      <c r="AI543" s="8">
        <f t="shared" si="81"/>
        <v>6868416.2814084999</v>
      </c>
    </row>
    <row r="544" spans="1:35" x14ac:dyDescent="0.55000000000000004">
      <c r="A544" s="1">
        <v>542</v>
      </c>
      <c r="B544" s="1" t="s">
        <v>20</v>
      </c>
      <c r="C544" s="1">
        <v>38</v>
      </c>
      <c r="D544" s="1">
        <v>1</v>
      </c>
      <c r="E544" s="1" t="s">
        <v>93</v>
      </c>
      <c r="F544" s="1" t="s">
        <v>94</v>
      </c>
      <c r="G544" s="1">
        <v>24</v>
      </c>
      <c r="H544" s="1">
        <v>2</v>
      </c>
      <c r="I544" s="1">
        <v>24010000</v>
      </c>
      <c r="J544" s="1">
        <v>716</v>
      </c>
      <c r="K544" s="1">
        <v>0</v>
      </c>
      <c r="L544" s="1">
        <v>14101</v>
      </c>
      <c r="M544" s="1">
        <v>13.608017</v>
      </c>
      <c r="N544" s="1">
        <v>101.10615</v>
      </c>
      <c r="O544" s="1">
        <v>9.66</v>
      </c>
      <c r="P544" s="1">
        <v>0.01</v>
      </c>
      <c r="Q544" s="1">
        <v>0.54</v>
      </c>
      <c r="R544" s="1">
        <v>0.17</v>
      </c>
      <c r="S544" s="1">
        <v>1.17</v>
      </c>
      <c r="T544" s="1">
        <v>7.87</v>
      </c>
      <c r="U544" s="1">
        <v>21.27</v>
      </c>
      <c r="V544" s="1">
        <v>0</v>
      </c>
      <c r="W544" s="1">
        <v>0</v>
      </c>
      <c r="X544" s="1">
        <v>16937.983918000002</v>
      </c>
      <c r="Y544" s="1">
        <v>6556316.2326100003</v>
      </c>
      <c r="Z544" t="str">
        <f>VLOOKUP(G544,'Code Pro'!$A$2:$B$9,2,FALSE)</f>
        <v>จ.ฉะเชิงเทรา</v>
      </c>
      <c r="AA544" s="8">
        <f t="shared" si="73"/>
        <v>63334014.807012603</v>
      </c>
      <c r="AB544" s="8">
        <f t="shared" si="74"/>
        <v>65563.162326100006</v>
      </c>
      <c r="AC544" s="8">
        <f t="shared" si="75"/>
        <v>3540410.7656094003</v>
      </c>
      <c r="AD544" s="8">
        <f t="shared" si="76"/>
        <v>1114573.7595437001</v>
      </c>
      <c r="AE544" s="8">
        <f t="shared" si="77"/>
        <v>7670889.9921536995</v>
      </c>
      <c r="AF544" s="8">
        <f t="shared" si="78"/>
        <v>51598208.750640705</v>
      </c>
      <c r="AG544" s="8">
        <f t="shared" si="79"/>
        <v>139452846.26761469</v>
      </c>
      <c r="AH544" s="8">
        <f t="shared" si="80"/>
        <v>0</v>
      </c>
      <c r="AI544" s="8">
        <f t="shared" si="81"/>
        <v>0</v>
      </c>
    </row>
    <row r="545" spans="1:35" x14ac:dyDescent="0.55000000000000004">
      <c r="A545" s="1">
        <v>543</v>
      </c>
      <c r="B545" s="1" t="s">
        <v>20</v>
      </c>
      <c r="C545" s="1">
        <v>38</v>
      </c>
      <c r="D545" s="1">
        <v>1</v>
      </c>
      <c r="E545" s="1" t="s">
        <v>93</v>
      </c>
      <c r="F545" s="1" t="s">
        <v>94</v>
      </c>
      <c r="G545" s="1">
        <v>24</v>
      </c>
      <c r="H545" s="1">
        <v>2</v>
      </c>
      <c r="I545" s="1">
        <v>24010000</v>
      </c>
      <c r="J545" s="1">
        <v>717</v>
      </c>
      <c r="K545" s="1">
        <v>0</v>
      </c>
      <c r="L545" s="1">
        <v>14218</v>
      </c>
      <c r="M545" s="1">
        <v>13.688805</v>
      </c>
      <c r="N545" s="1">
        <v>100.85674</v>
      </c>
      <c r="O545" s="1">
        <v>0.93</v>
      </c>
      <c r="P545" s="1">
        <v>5.98</v>
      </c>
      <c r="Q545" s="1">
        <v>13.89</v>
      </c>
      <c r="R545" s="1">
        <v>0.22</v>
      </c>
      <c r="S545" s="1">
        <v>27.93</v>
      </c>
      <c r="T545" s="1">
        <v>13.29</v>
      </c>
      <c r="U545" s="1">
        <v>1.56</v>
      </c>
      <c r="V545" s="1">
        <v>0.56000000000000005</v>
      </c>
      <c r="W545" s="1">
        <v>0</v>
      </c>
      <c r="X545" s="1">
        <v>16584.462815999999</v>
      </c>
      <c r="Y545" s="1">
        <v>16459627.5447</v>
      </c>
      <c r="Z545" t="str">
        <f>VLOOKUP(G545,'Code Pro'!$A$2:$B$9,2,FALSE)</f>
        <v>จ.ฉะเชิงเทรา</v>
      </c>
      <c r="AA545" s="8">
        <f t="shared" si="73"/>
        <v>15307453.616571002</v>
      </c>
      <c r="AB545" s="8">
        <f t="shared" si="74"/>
        <v>98428572.717306003</v>
      </c>
      <c r="AC545" s="8">
        <f t="shared" si="75"/>
        <v>228624226.59588301</v>
      </c>
      <c r="AD545" s="8">
        <f t="shared" si="76"/>
        <v>3621118.0598340002</v>
      </c>
      <c r="AE545" s="8">
        <f t="shared" si="77"/>
        <v>459717397.32347101</v>
      </c>
      <c r="AF545" s="8">
        <f t="shared" si="78"/>
        <v>218748450.06906298</v>
      </c>
      <c r="AG545" s="8">
        <f t="shared" si="79"/>
        <v>25677018.969732001</v>
      </c>
      <c r="AH545" s="8">
        <f t="shared" si="80"/>
        <v>9217391.425032001</v>
      </c>
      <c r="AI545" s="8">
        <f t="shared" si="81"/>
        <v>0</v>
      </c>
    </row>
    <row r="546" spans="1:35" x14ac:dyDescent="0.55000000000000004">
      <c r="A546" s="1">
        <v>544</v>
      </c>
      <c r="B546" s="1" t="s">
        <v>20</v>
      </c>
      <c r="C546" s="1">
        <v>38</v>
      </c>
      <c r="D546" s="1">
        <v>1</v>
      </c>
      <c r="E546" s="1" t="s">
        <v>93</v>
      </c>
      <c r="F546" s="1" t="s">
        <v>94</v>
      </c>
      <c r="G546" s="1">
        <v>24</v>
      </c>
      <c r="H546" s="1">
        <v>2</v>
      </c>
      <c r="I546" s="1">
        <v>24010000</v>
      </c>
      <c r="J546" s="1">
        <v>722</v>
      </c>
      <c r="K546" s="1">
        <v>0</v>
      </c>
      <c r="L546" s="1">
        <v>14219</v>
      </c>
      <c r="M546" s="1">
        <v>13.688805</v>
      </c>
      <c r="N546" s="1">
        <v>100.93988</v>
      </c>
      <c r="O546" s="1">
        <v>2.09</v>
      </c>
      <c r="P546" s="1">
        <v>3.29</v>
      </c>
      <c r="Q546" s="1">
        <v>7.77</v>
      </c>
      <c r="R546" s="1">
        <v>0.81</v>
      </c>
      <c r="S546" s="1">
        <v>0.87</v>
      </c>
      <c r="T546" s="1">
        <v>8.94</v>
      </c>
      <c r="U546" s="1">
        <v>8.8699999999999992</v>
      </c>
      <c r="V546" s="1">
        <v>0.61</v>
      </c>
      <c r="W546" s="1">
        <v>0</v>
      </c>
      <c r="X546" s="1">
        <v>37377.842322999997</v>
      </c>
      <c r="Y546" s="1">
        <v>47199505.788500004</v>
      </c>
      <c r="Z546" t="str">
        <f>VLOOKUP(G546,'Code Pro'!$A$2:$B$9,2,FALSE)</f>
        <v>จ.ฉะเชิงเทรา</v>
      </c>
      <c r="AA546" s="8">
        <f t="shared" si="73"/>
        <v>98646967.097965002</v>
      </c>
      <c r="AB546" s="8">
        <f t="shared" si="74"/>
        <v>155286374.04416502</v>
      </c>
      <c r="AC546" s="8">
        <f t="shared" si="75"/>
        <v>366740159.97664499</v>
      </c>
      <c r="AD546" s="8">
        <f t="shared" si="76"/>
        <v>38231599.688685007</v>
      </c>
      <c r="AE546" s="8">
        <f t="shared" si="77"/>
        <v>41063570.035995007</v>
      </c>
      <c r="AF546" s="8">
        <f t="shared" si="78"/>
        <v>421963581.74919003</v>
      </c>
      <c r="AG546" s="8">
        <f t="shared" si="79"/>
        <v>418659616.34399498</v>
      </c>
      <c r="AH546" s="8">
        <f t="shared" si="80"/>
        <v>28791698.530985001</v>
      </c>
      <c r="AI546" s="8">
        <f t="shared" si="81"/>
        <v>0</v>
      </c>
    </row>
    <row r="547" spans="1:35" x14ac:dyDescent="0.55000000000000004">
      <c r="A547" s="1">
        <v>545</v>
      </c>
      <c r="B547" s="1" t="s">
        <v>20</v>
      </c>
      <c r="C547" s="1">
        <v>38</v>
      </c>
      <c r="D547" s="1">
        <v>1</v>
      </c>
      <c r="E547" s="1" t="s">
        <v>93</v>
      </c>
      <c r="F547" s="1" t="s">
        <v>94</v>
      </c>
      <c r="G547" s="1">
        <v>24</v>
      </c>
      <c r="H547" s="1">
        <v>2</v>
      </c>
      <c r="I547" s="1">
        <v>24010000</v>
      </c>
      <c r="J547" s="1">
        <v>723</v>
      </c>
      <c r="K547" s="1">
        <v>0</v>
      </c>
      <c r="L547" s="1">
        <v>14100</v>
      </c>
      <c r="M547" s="1">
        <v>13.608017</v>
      </c>
      <c r="N547" s="1">
        <v>101.02302</v>
      </c>
      <c r="O547" s="1">
        <v>1.5</v>
      </c>
      <c r="P547" s="1">
        <v>0.04</v>
      </c>
      <c r="Q547" s="1">
        <v>1.64</v>
      </c>
      <c r="R547" s="1">
        <v>8.5500000000000007</v>
      </c>
      <c r="S547" s="1">
        <v>1.58</v>
      </c>
      <c r="T547" s="1">
        <v>9.66</v>
      </c>
      <c r="U547" s="1">
        <v>21.65</v>
      </c>
      <c r="V547" s="1">
        <v>0.2</v>
      </c>
      <c r="W547" s="1">
        <v>0</v>
      </c>
      <c r="X547" s="1">
        <v>15399.565817000001</v>
      </c>
      <c r="Y547" s="1">
        <v>4810315.4577700002</v>
      </c>
      <c r="Z547" t="str">
        <f>VLOOKUP(G547,'Code Pro'!$A$2:$B$9,2,FALSE)</f>
        <v>จ.ฉะเชิงเทรา</v>
      </c>
      <c r="AA547" s="8">
        <f t="shared" si="73"/>
        <v>7215473.1866549999</v>
      </c>
      <c r="AB547" s="8">
        <f t="shared" si="74"/>
        <v>192412.61831080003</v>
      </c>
      <c r="AC547" s="8">
        <f t="shared" si="75"/>
        <v>7888917.3507428002</v>
      </c>
      <c r="AD547" s="8">
        <f t="shared" si="76"/>
        <v>41128197.163933508</v>
      </c>
      <c r="AE547" s="8">
        <f t="shared" si="77"/>
        <v>7600298.4232766004</v>
      </c>
      <c r="AF547" s="8">
        <f t="shared" si="78"/>
        <v>46467647.322058201</v>
      </c>
      <c r="AG547" s="8">
        <f t="shared" si="79"/>
        <v>104143329.6607205</v>
      </c>
      <c r="AH547" s="8">
        <f t="shared" si="80"/>
        <v>962063.09155400004</v>
      </c>
      <c r="AI547" s="8">
        <f t="shared" si="81"/>
        <v>0</v>
      </c>
    </row>
    <row r="548" spans="1:35" x14ac:dyDescent="0.55000000000000004">
      <c r="A548" s="1">
        <v>546</v>
      </c>
      <c r="B548" s="1" t="s">
        <v>20</v>
      </c>
      <c r="C548" s="1">
        <v>38</v>
      </c>
      <c r="D548" s="1">
        <v>1</v>
      </c>
      <c r="E548" s="1" t="s">
        <v>93</v>
      </c>
      <c r="F548" s="1" t="s">
        <v>94</v>
      </c>
      <c r="G548" s="1">
        <v>24</v>
      </c>
      <c r="H548" s="1">
        <v>2</v>
      </c>
      <c r="I548" s="1">
        <v>24010000</v>
      </c>
      <c r="J548" s="1">
        <v>724</v>
      </c>
      <c r="K548" s="1">
        <v>0</v>
      </c>
      <c r="L548" s="1">
        <v>14339</v>
      </c>
      <c r="M548" s="1">
        <v>13.769569000000001</v>
      </c>
      <c r="N548" s="1">
        <v>100.93988</v>
      </c>
      <c r="O548" s="1">
        <v>7.61</v>
      </c>
      <c r="P548" s="1">
        <v>0.26</v>
      </c>
      <c r="Q548" s="1">
        <v>37.810001</v>
      </c>
      <c r="R548" s="1">
        <v>0</v>
      </c>
      <c r="S548" s="1">
        <v>0.74</v>
      </c>
      <c r="T548" s="1">
        <v>52.41</v>
      </c>
      <c r="U548" s="1">
        <v>2.73</v>
      </c>
      <c r="V548" s="1">
        <v>0</v>
      </c>
      <c r="W548" s="1">
        <v>0</v>
      </c>
      <c r="X548" s="1">
        <v>32551.813870999998</v>
      </c>
      <c r="Y548" s="1">
        <v>58318795.576099999</v>
      </c>
      <c r="Z548" t="str">
        <f>VLOOKUP(G548,'Code Pro'!$A$2:$B$9,2,FALSE)</f>
        <v>จ.ฉะเชิงเทรา</v>
      </c>
      <c r="AA548" s="8">
        <f t="shared" si="73"/>
        <v>443806034.33412099</v>
      </c>
      <c r="AB548" s="8">
        <f t="shared" si="74"/>
        <v>15162886.849786</v>
      </c>
      <c r="AC548" s="8">
        <f t="shared" si="75"/>
        <v>2205033719.0511365</v>
      </c>
      <c r="AD548" s="8">
        <f t="shared" si="76"/>
        <v>0</v>
      </c>
      <c r="AE548" s="8">
        <f t="shared" si="77"/>
        <v>43155908.726314001</v>
      </c>
      <c r="AF548" s="8">
        <f t="shared" si="78"/>
        <v>3056488076.1434007</v>
      </c>
      <c r="AG548" s="8">
        <f t="shared" si="79"/>
        <v>159210311.92275301</v>
      </c>
      <c r="AH548" s="8">
        <f t="shared" si="80"/>
        <v>0</v>
      </c>
      <c r="AI548" s="8">
        <f t="shared" si="81"/>
        <v>0</v>
      </c>
    </row>
    <row r="549" spans="1:35" x14ac:dyDescent="0.55000000000000004">
      <c r="A549" s="1">
        <v>547</v>
      </c>
      <c r="B549" s="1" t="s">
        <v>20</v>
      </c>
      <c r="C549" s="1">
        <v>38</v>
      </c>
      <c r="D549" s="1">
        <v>1</v>
      </c>
      <c r="E549" s="1" t="s">
        <v>93</v>
      </c>
      <c r="F549" s="1" t="s">
        <v>94</v>
      </c>
      <c r="G549" s="1">
        <v>24</v>
      </c>
      <c r="H549" s="1">
        <v>2</v>
      </c>
      <c r="I549" s="1">
        <v>24010000</v>
      </c>
      <c r="J549" s="1">
        <v>725</v>
      </c>
      <c r="K549" s="1">
        <v>0</v>
      </c>
      <c r="L549" s="1">
        <v>14338</v>
      </c>
      <c r="M549" s="1">
        <v>13.769569000000001</v>
      </c>
      <c r="N549" s="1">
        <v>100.85674</v>
      </c>
      <c r="O549" s="1">
        <v>1.1399999999999999</v>
      </c>
      <c r="P549" s="1">
        <v>0.06</v>
      </c>
      <c r="Q549" s="1">
        <v>36.779998999999997</v>
      </c>
      <c r="R549" s="1">
        <v>0</v>
      </c>
      <c r="S549" s="1">
        <v>1.38</v>
      </c>
      <c r="T549" s="1">
        <v>17.469999000000001</v>
      </c>
      <c r="U549" s="1">
        <v>0.87</v>
      </c>
      <c r="V549" s="1">
        <v>0</v>
      </c>
      <c r="W549" s="1">
        <v>0</v>
      </c>
      <c r="X549" s="1">
        <v>12660.266191000001</v>
      </c>
      <c r="Y549" s="1">
        <v>6159255.58158</v>
      </c>
      <c r="Z549" t="str">
        <f>VLOOKUP(G549,'Code Pro'!$A$2:$B$9,2,FALSE)</f>
        <v>จ.ฉะเชิงเทรา</v>
      </c>
      <c r="AA549" s="8">
        <f t="shared" si="73"/>
        <v>7021551.3630011994</v>
      </c>
      <c r="AB549" s="8">
        <f t="shared" si="74"/>
        <v>369555.33489479998</v>
      </c>
      <c r="AC549" s="8">
        <f t="shared" si="75"/>
        <v>226537414.13125679</v>
      </c>
      <c r="AD549" s="8">
        <f t="shared" si="76"/>
        <v>0</v>
      </c>
      <c r="AE549" s="8">
        <f t="shared" si="77"/>
        <v>8499772.7025803998</v>
      </c>
      <c r="AF549" s="8">
        <f t="shared" si="78"/>
        <v>107602188.85094702</v>
      </c>
      <c r="AG549" s="8">
        <f t="shared" si="79"/>
        <v>5358552.3559745997</v>
      </c>
      <c r="AH549" s="8">
        <f t="shared" si="80"/>
        <v>0</v>
      </c>
      <c r="AI549" s="8">
        <f t="shared" si="81"/>
        <v>0</v>
      </c>
    </row>
    <row r="550" spans="1:35" x14ac:dyDescent="0.55000000000000004">
      <c r="A550" s="1">
        <v>548</v>
      </c>
      <c r="B550" s="1" t="s">
        <v>20</v>
      </c>
      <c r="C550" s="1">
        <v>38</v>
      </c>
      <c r="D550" s="1">
        <v>1</v>
      </c>
      <c r="E550" s="1" t="s">
        <v>93</v>
      </c>
      <c r="F550" s="1" t="s">
        <v>94</v>
      </c>
      <c r="G550" s="1">
        <v>24</v>
      </c>
      <c r="H550" s="1">
        <v>2</v>
      </c>
      <c r="I550" s="1">
        <v>24010000</v>
      </c>
      <c r="J550" s="1">
        <v>728</v>
      </c>
      <c r="K550" s="1">
        <v>0</v>
      </c>
      <c r="L550" s="1">
        <v>14220</v>
      </c>
      <c r="M550" s="1">
        <v>13.688805</v>
      </c>
      <c r="N550" s="1">
        <v>101.02302</v>
      </c>
      <c r="O550" s="1">
        <v>3.87</v>
      </c>
      <c r="P550" s="1">
        <v>0</v>
      </c>
      <c r="Q550" s="1">
        <v>6.1</v>
      </c>
      <c r="R550" s="1">
        <v>7.65</v>
      </c>
      <c r="S550" s="1">
        <v>0.39</v>
      </c>
      <c r="T550" s="1">
        <v>6.36</v>
      </c>
      <c r="U550" s="1">
        <v>28.030000999999999</v>
      </c>
      <c r="V550" s="1">
        <v>0</v>
      </c>
      <c r="W550" s="1">
        <v>0</v>
      </c>
      <c r="X550" s="1">
        <v>35222.283452000003</v>
      </c>
      <c r="Y550" s="1">
        <v>78768432.046200007</v>
      </c>
      <c r="Z550" t="str">
        <f>VLOOKUP(G550,'Code Pro'!$A$2:$B$9,2,FALSE)</f>
        <v>จ.ฉะเชิงเทรา</v>
      </c>
      <c r="AA550" s="8">
        <f t="shared" si="73"/>
        <v>304833832.01879406</v>
      </c>
      <c r="AB550" s="8">
        <f t="shared" si="74"/>
        <v>0</v>
      </c>
      <c r="AC550" s="8">
        <f t="shared" si="75"/>
        <v>480487435.48181999</v>
      </c>
      <c r="AD550" s="8">
        <f t="shared" si="76"/>
        <v>602578505.1534301</v>
      </c>
      <c r="AE550" s="8">
        <f t="shared" si="77"/>
        <v>30719688.498018004</v>
      </c>
      <c r="AF550" s="8">
        <f t="shared" si="78"/>
        <v>500967227.81383204</v>
      </c>
      <c r="AG550" s="8">
        <f t="shared" si="79"/>
        <v>2207879229.0234179</v>
      </c>
      <c r="AH550" s="8">
        <f t="shared" si="80"/>
        <v>0</v>
      </c>
      <c r="AI550" s="8">
        <f t="shared" si="81"/>
        <v>0</v>
      </c>
    </row>
    <row r="551" spans="1:35" x14ac:dyDescent="0.55000000000000004">
      <c r="A551" s="1">
        <v>549</v>
      </c>
      <c r="B551" s="1" t="s">
        <v>20</v>
      </c>
      <c r="C551" s="1">
        <v>38</v>
      </c>
      <c r="D551" s="1">
        <v>1</v>
      </c>
      <c r="E551" s="1" t="s">
        <v>93</v>
      </c>
      <c r="F551" s="1" t="s">
        <v>94</v>
      </c>
      <c r="G551" s="1">
        <v>24</v>
      </c>
      <c r="H551" s="1">
        <v>2</v>
      </c>
      <c r="I551" s="1">
        <v>24010000</v>
      </c>
      <c r="J551" s="1">
        <v>729</v>
      </c>
      <c r="K551" s="1">
        <v>0</v>
      </c>
      <c r="L551" s="1">
        <v>14341</v>
      </c>
      <c r="M551" s="1">
        <v>13.769569000000001</v>
      </c>
      <c r="N551" s="1">
        <v>101.10615</v>
      </c>
      <c r="O551" s="1">
        <v>63.450001</v>
      </c>
      <c r="P551" s="1">
        <v>0.01</v>
      </c>
      <c r="Q551" s="1">
        <v>9.68</v>
      </c>
      <c r="R551" s="1">
        <v>0.17</v>
      </c>
      <c r="S551" s="1">
        <v>0.84</v>
      </c>
      <c r="T551" s="1">
        <v>8.25</v>
      </c>
      <c r="U551" s="1">
        <v>34.369999</v>
      </c>
      <c r="V551" s="1">
        <v>0</v>
      </c>
      <c r="W551" s="1">
        <v>0</v>
      </c>
      <c r="X551" s="1">
        <v>32188.674450999999</v>
      </c>
      <c r="Y551" s="1">
        <v>33018890.522500001</v>
      </c>
      <c r="Z551" t="str">
        <f>VLOOKUP(G551,'Code Pro'!$A$2:$B$9,2,FALSE)</f>
        <v>จ.ฉะเชิงเทรา</v>
      </c>
      <c r="AA551" s="8">
        <f t="shared" si="73"/>
        <v>2095048636.6715157</v>
      </c>
      <c r="AB551" s="8">
        <f t="shared" si="74"/>
        <v>330188.90522499999</v>
      </c>
      <c r="AC551" s="8">
        <f t="shared" si="75"/>
        <v>319622860.25779998</v>
      </c>
      <c r="AD551" s="8">
        <f t="shared" si="76"/>
        <v>5613211.3888250003</v>
      </c>
      <c r="AE551" s="8">
        <f t="shared" si="77"/>
        <v>27735868.038899999</v>
      </c>
      <c r="AF551" s="8">
        <f t="shared" si="78"/>
        <v>272405846.81062502</v>
      </c>
      <c r="AG551" s="8">
        <f t="shared" si="79"/>
        <v>1134859234.2394345</v>
      </c>
      <c r="AH551" s="8">
        <f t="shared" si="80"/>
        <v>0</v>
      </c>
      <c r="AI551" s="8">
        <f t="shared" si="81"/>
        <v>0</v>
      </c>
    </row>
    <row r="552" spans="1:35" x14ac:dyDescent="0.55000000000000004">
      <c r="A552" s="1">
        <v>550</v>
      </c>
      <c r="B552" s="1" t="s">
        <v>20</v>
      </c>
      <c r="C552" s="1">
        <v>38</v>
      </c>
      <c r="D552" s="1">
        <v>1</v>
      </c>
      <c r="E552" s="1" t="s">
        <v>93</v>
      </c>
      <c r="F552" s="1" t="s">
        <v>94</v>
      </c>
      <c r="G552" s="1">
        <v>24</v>
      </c>
      <c r="H552" s="1">
        <v>2</v>
      </c>
      <c r="I552" s="1">
        <v>24010000</v>
      </c>
      <c r="J552" s="1">
        <v>730</v>
      </c>
      <c r="K552" s="1">
        <v>0</v>
      </c>
      <c r="L552" s="1">
        <v>14340</v>
      </c>
      <c r="M552" s="1">
        <v>13.769569000000001</v>
      </c>
      <c r="N552" s="1">
        <v>101.02302</v>
      </c>
      <c r="O552" s="1">
        <v>25.07</v>
      </c>
      <c r="P552" s="1">
        <v>1.26</v>
      </c>
      <c r="Q552" s="1">
        <v>6.41</v>
      </c>
      <c r="R552" s="1">
        <v>0.04</v>
      </c>
      <c r="S552" s="1">
        <v>0.55000000000000004</v>
      </c>
      <c r="T552" s="1">
        <v>9.2200000000000006</v>
      </c>
      <c r="U552" s="1">
        <v>15.16</v>
      </c>
      <c r="V552" s="1">
        <v>0</v>
      </c>
      <c r="W552" s="1">
        <v>0</v>
      </c>
      <c r="X552" s="1">
        <v>35443.126579999996</v>
      </c>
      <c r="Y552" s="1">
        <v>61214754.2223</v>
      </c>
      <c r="Z552" t="str">
        <f>VLOOKUP(G552,'Code Pro'!$A$2:$B$9,2,FALSE)</f>
        <v>จ.ฉะเชิงเทรา</v>
      </c>
      <c r="AA552" s="8">
        <f t="shared" si="73"/>
        <v>1534653888.353061</v>
      </c>
      <c r="AB552" s="8">
        <f t="shared" si="74"/>
        <v>77130590.320097998</v>
      </c>
      <c r="AC552" s="8">
        <f t="shared" si="75"/>
        <v>392386574.56494302</v>
      </c>
      <c r="AD552" s="8">
        <f t="shared" si="76"/>
        <v>2448590.1688919999</v>
      </c>
      <c r="AE552" s="8">
        <f t="shared" si="77"/>
        <v>33668114.822265007</v>
      </c>
      <c r="AF552" s="8">
        <f t="shared" si="78"/>
        <v>564400033.92960608</v>
      </c>
      <c r="AG552" s="8">
        <f t="shared" si="79"/>
        <v>928015674.01006806</v>
      </c>
      <c r="AH552" s="8">
        <f t="shared" si="80"/>
        <v>0</v>
      </c>
      <c r="AI552" s="8">
        <f t="shared" si="81"/>
        <v>0</v>
      </c>
    </row>
    <row r="553" spans="1:35" x14ac:dyDescent="0.55000000000000004">
      <c r="A553" s="1">
        <v>551</v>
      </c>
      <c r="B553" s="1" t="s">
        <v>20</v>
      </c>
      <c r="C553" s="1">
        <v>38</v>
      </c>
      <c r="D553" s="1">
        <v>1</v>
      </c>
      <c r="E553" s="1" t="s">
        <v>93</v>
      </c>
      <c r="F553" s="1" t="s">
        <v>94</v>
      </c>
      <c r="G553" s="1">
        <v>24</v>
      </c>
      <c r="H553" s="1">
        <v>2</v>
      </c>
      <c r="I553" s="1">
        <v>24010000</v>
      </c>
      <c r="J553" s="1">
        <v>731</v>
      </c>
      <c r="K553" s="1">
        <v>0</v>
      </c>
      <c r="L553" s="1">
        <v>14221</v>
      </c>
      <c r="M553" s="1">
        <v>13.688805</v>
      </c>
      <c r="N553" s="1">
        <v>101.10615</v>
      </c>
      <c r="O553" s="1">
        <v>18.200001</v>
      </c>
      <c r="P553" s="1">
        <v>0</v>
      </c>
      <c r="Q553" s="1">
        <v>3.39</v>
      </c>
      <c r="R553" s="1">
        <v>0.27</v>
      </c>
      <c r="S553" s="1">
        <v>0.08</v>
      </c>
      <c r="T553" s="1">
        <v>8.5500000000000007</v>
      </c>
      <c r="U553" s="1">
        <v>31.200001</v>
      </c>
      <c r="V553" s="1">
        <v>0</v>
      </c>
      <c r="W553" s="1">
        <v>0</v>
      </c>
      <c r="X553" s="1">
        <v>34636.628103000003</v>
      </c>
      <c r="Y553" s="1">
        <v>72587760.791500002</v>
      </c>
      <c r="Z553" t="str">
        <f>VLOOKUP(G553,'Code Pro'!$A$2:$B$9,2,FALSE)</f>
        <v>จ.ฉะเชิงเทรา</v>
      </c>
      <c r="AA553" s="8">
        <f t="shared" si="73"/>
        <v>1321097318.9930608</v>
      </c>
      <c r="AB553" s="8">
        <f t="shared" si="74"/>
        <v>0</v>
      </c>
      <c r="AC553" s="8">
        <f t="shared" si="75"/>
        <v>246072509.08318502</v>
      </c>
      <c r="AD553" s="8">
        <f t="shared" si="76"/>
        <v>19598695.413705003</v>
      </c>
      <c r="AE553" s="8">
        <f t="shared" si="77"/>
        <v>5807020.8633200005</v>
      </c>
      <c r="AF553" s="8">
        <f t="shared" si="78"/>
        <v>620625354.76732504</v>
      </c>
      <c r="AG553" s="8">
        <f t="shared" si="79"/>
        <v>2264738209.2825608</v>
      </c>
      <c r="AH553" s="8">
        <f t="shared" si="80"/>
        <v>0</v>
      </c>
      <c r="AI553" s="8">
        <f t="shared" si="81"/>
        <v>0</v>
      </c>
    </row>
    <row r="554" spans="1:35" x14ac:dyDescent="0.55000000000000004">
      <c r="A554" s="1">
        <v>552</v>
      </c>
      <c r="B554" s="1" t="s">
        <v>20</v>
      </c>
      <c r="C554" s="1">
        <v>39</v>
      </c>
      <c r="D554" s="1">
        <v>2</v>
      </c>
      <c r="E554" s="1" t="s">
        <v>95</v>
      </c>
      <c r="F554" s="1" t="s">
        <v>96</v>
      </c>
      <c r="G554" s="1">
        <v>24</v>
      </c>
      <c r="H554" s="1">
        <v>2</v>
      </c>
      <c r="I554" s="1">
        <v>24020000</v>
      </c>
      <c r="J554" s="1">
        <v>716</v>
      </c>
      <c r="K554" s="1">
        <v>0</v>
      </c>
      <c r="L554" s="1">
        <v>14101</v>
      </c>
      <c r="M554" s="1">
        <v>13.608017</v>
      </c>
      <c r="N554" s="1">
        <v>101.10615</v>
      </c>
      <c r="O554" s="1">
        <v>9.66</v>
      </c>
      <c r="P554" s="1">
        <v>0.01</v>
      </c>
      <c r="Q554" s="1">
        <v>0.54</v>
      </c>
      <c r="R554" s="1">
        <v>0.17</v>
      </c>
      <c r="S554" s="1">
        <v>1.17</v>
      </c>
      <c r="T554" s="1">
        <v>7.87</v>
      </c>
      <c r="U554" s="1">
        <v>21.27</v>
      </c>
      <c r="V554" s="1">
        <v>0</v>
      </c>
      <c r="W554" s="1">
        <v>0</v>
      </c>
      <c r="X554" s="1">
        <v>202.26491799999999</v>
      </c>
      <c r="Y554" s="1">
        <v>1452.3411160000001</v>
      </c>
      <c r="Z554" t="str">
        <f>VLOOKUP(G554,'Code Pro'!$A$2:$B$9,2,FALSE)</f>
        <v>จ.ฉะเชิงเทรา</v>
      </c>
      <c r="AA554" s="8">
        <f t="shared" si="73"/>
        <v>14029.61518056</v>
      </c>
      <c r="AB554" s="8">
        <f t="shared" si="74"/>
        <v>14.52341116</v>
      </c>
      <c r="AC554" s="8">
        <f t="shared" si="75"/>
        <v>784.26420264000012</v>
      </c>
      <c r="AD554" s="8">
        <f t="shared" si="76"/>
        <v>246.89798972000003</v>
      </c>
      <c r="AE554" s="8">
        <f t="shared" si="77"/>
        <v>1699.23910572</v>
      </c>
      <c r="AF554" s="8">
        <f t="shared" si="78"/>
        <v>11429.924582920001</v>
      </c>
      <c r="AG554" s="8">
        <f t="shared" si="79"/>
        <v>30891.295537320002</v>
      </c>
      <c r="AH554" s="8">
        <f t="shared" si="80"/>
        <v>0</v>
      </c>
      <c r="AI554" s="8">
        <f t="shared" si="81"/>
        <v>0</v>
      </c>
    </row>
    <row r="555" spans="1:35" x14ac:dyDescent="0.55000000000000004">
      <c r="A555" s="1">
        <v>553</v>
      </c>
      <c r="B555" s="1" t="s">
        <v>20</v>
      </c>
      <c r="C555" s="1">
        <v>39</v>
      </c>
      <c r="D555" s="1">
        <v>2</v>
      </c>
      <c r="E555" s="1" t="s">
        <v>95</v>
      </c>
      <c r="F555" s="1" t="s">
        <v>96</v>
      </c>
      <c r="G555" s="1">
        <v>24</v>
      </c>
      <c r="H555" s="1">
        <v>2</v>
      </c>
      <c r="I555" s="1">
        <v>24020000</v>
      </c>
      <c r="J555" s="1">
        <v>731</v>
      </c>
      <c r="K555" s="1">
        <v>0</v>
      </c>
      <c r="L555" s="1">
        <v>14221</v>
      </c>
      <c r="M555" s="1">
        <v>13.688805</v>
      </c>
      <c r="N555" s="1">
        <v>101.10615</v>
      </c>
      <c r="O555" s="1">
        <v>18.200001</v>
      </c>
      <c r="P555" s="1">
        <v>0</v>
      </c>
      <c r="Q555" s="1">
        <v>3.39</v>
      </c>
      <c r="R555" s="1">
        <v>0.27</v>
      </c>
      <c r="S555" s="1">
        <v>0.08</v>
      </c>
      <c r="T555" s="1">
        <v>8.5500000000000007</v>
      </c>
      <c r="U555" s="1">
        <v>31.200001</v>
      </c>
      <c r="V555" s="1">
        <v>0</v>
      </c>
      <c r="W555" s="1">
        <v>0</v>
      </c>
      <c r="X555" s="1">
        <v>15155.559889</v>
      </c>
      <c r="Y555" s="1">
        <v>4946179.4743299996</v>
      </c>
      <c r="Z555" t="str">
        <f>VLOOKUP(G555,'Code Pro'!$A$2:$B$9,2,FALSE)</f>
        <v>จ.ฉะเชิงเทรา</v>
      </c>
      <c r="AA555" s="8">
        <f t="shared" si="73"/>
        <v>90020471.378985465</v>
      </c>
      <c r="AB555" s="8">
        <f t="shared" si="74"/>
        <v>0</v>
      </c>
      <c r="AC555" s="8">
        <f t="shared" si="75"/>
        <v>16767548.4179787</v>
      </c>
      <c r="AD555" s="8">
        <f t="shared" si="76"/>
        <v>1335468.4580691</v>
      </c>
      <c r="AE555" s="8">
        <f t="shared" si="77"/>
        <v>395694.35794640001</v>
      </c>
      <c r="AF555" s="8">
        <f t="shared" si="78"/>
        <v>42289834.505521499</v>
      </c>
      <c r="AG555" s="8">
        <f t="shared" si="79"/>
        <v>154320804.54527548</v>
      </c>
      <c r="AH555" s="8">
        <f t="shared" si="80"/>
        <v>0</v>
      </c>
      <c r="AI555" s="8">
        <f t="shared" si="81"/>
        <v>0</v>
      </c>
    </row>
    <row r="556" spans="1:35" x14ac:dyDescent="0.55000000000000004">
      <c r="A556" s="1">
        <v>554</v>
      </c>
      <c r="B556" s="1" t="s">
        <v>20</v>
      </c>
      <c r="C556" s="1">
        <v>39</v>
      </c>
      <c r="D556" s="1">
        <v>2</v>
      </c>
      <c r="E556" s="1" t="s">
        <v>95</v>
      </c>
      <c r="F556" s="1" t="s">
        <v>96</v>
      </c>
      <c r="G556" s="1">
        <v>24</v>
      </c>
      <c r="H556" s="1">
        <v>2</v>
      </c>
      <c r="I556" s="1">
        <v>24020000</v>
      </c>
      <c r="J556" s="1">
        <v>776</v>
      </c>
      <c r="K556" s="1">
        <v>0</v>
      </c>
      <c r="L556" s="1">
        <v>14102</v>
      </c>
      <c r="M556" s="1">
        <v>13.608017</v>
      </c>
      <c r="N556" s="1">
        <v>101.189285</v>
      </c>
      <c r="O556" s="1">
        <v>43.639999000000003</v>
      </c>
      <c r="P556" s="1">
        <v>0</v>
      </c>
      <c r="Q556" s="1">
        <v>0.56000000000000005</v>
      </c>
      <c r="R556" s="1">
        <v>0.14000000000000001</v>
      </c>
      <c r="S556" s="1">
        <v>1.47</v>
      </c>
      <c r="T556" s="1">
        <v>8.0399999999999991</v>
      </c>
      <c r="U556" s="1">
        <v>8.4600000000000009</v>
      </c>
      <c r="V556" s="1">
        <v>0.19</v>
      </c>
      <c r="W556" s="1">
        <v>0</v>
      </c>
      <c r="X556" s="1">
        <v>21474.012901999999</v>
      </c>
      <c r="Y556" s="1">
        <v>20911863.453699999</v>
      </c>
      <c r="Z556" t="str">
        <f>VLOOKUP(G556,'Code Pro'!$A$2:$B$9,2,FALSE)</f>
        <v>จ.ฉะเชิงเทรา</v>
      </c>
      <c r="AA556" s="8">
        <f t="shared" si="73"/>
        <v>912593700.20760453</v>
      </c>
      <c r="AB556" s="8">
        <f t="shared" si="74"/>
        <v>0</v>
      </c>
      <c r="AC556" s="8">
        <f t="shared" si="75"/>
        <v>11710643.534072001</v>
      </c>
      <c r="AD556" s="8">
        <f t="shared" si="76"/>
        <v>2927660.8835180001</v>
      </c>
      <c r="AE556" s="8">
        <f t="shared" si="77"/>
        <v>30740439.276938997</v>
      </c>
      <c r="AF556" s="8">
        <f t="shared" si="78"/>
        <v>168131382.16774797</v>
      </c>
      <c r="AG556" s="8">
        <f t="shared" si="79"/>
        <v>176914364.81830201</v>
      </c>
      <c r="AH556" s="8">
        <f t="shared" si="80"/>
        <v>3973254.0562029998</v>
      </c>
      <c r="AI556" s="8">
        <f t="shared" si="81"/>
        <v>0</v>
      </c>
    </row>
    <row r="557" spans="1:35" x14ac:dyDescent="0.55000000000000004">
      <c r="A557" s="1">
        <v>555</v>
      </c>
      <c r="B557" s="1" t="s">
        <v>20</v>
      </c>
      <c r="C557" s="1">
        <v>39</v>
      </c>
      <c r="D557" s="1">
        <v>2</v>
      </c>
      <c r="E557" s="1" t="s">
        <v>95</v>
      </c>
      <c r="F557" s="1" t="s">
        <v>96</v>
      </c>
      <c r="G557" s="1">
        <v>24</v>
      </c>
      <c r="H557" s="1">
        <v>2</v>
      </c>
      <c r="I557" s="1">
        <v>24020000</v>
      </c>
      <c r="J557" s="1">
        <v>777</v>
      </c>
      <c r="K557" s="1">
        <v>0</v>
      </c>
      <c r="L557" s="1">
        <v>14223</v>
      </c>
      <c r="M557" s="1">
        <v>13.688805</v>
      </c>
      <c r="N557" s="1">
        <v>101.27242</v>
      </c>
      <c r="O557" s="1">
        <v>23.59</v>
      </c>
      <c r="P557" s="1">
        <v>0.16</v>
      </c>
      <c r="Q557" s="1">
        <v>7.06</v>
      </c>
      <c r="R557" s="1">
        <v>0.03</v>
      </c>
      <c r="S557" s="1">
        <v>0.77</v>
      </c>
      <c r="T557" s="1">
        <v>9.77</v>
      </c>
      <c r="U557" s="1">
        <v>12.61</v>
      </c>
      <c r="V557" s="1">
        <v>2.08</v>
      </c>
      <c r="W557" s="1">
        <v>0</v>
      </c>
      <c r="X557" s="1">
        <v>23254.496369</v>
      </c>
      <c r="Y557" s="1">
        <v>20303147.437899999</v>
      </c>
      <c r="Z557" t="str">
        <f>VLOOKUP(G557,'Code Pro'!$A$2:$B$9,2,FALSE)</f>
        <v>จ.ฉะเชิงเทรา</v>
      </c>
      <c r="AA557" s="8">
        <f t="shared" si="73"/>
        <v>478951248.06006098</v>
      </c>
      <c r="AB557" s="8">
        <f t="shared" si="74"/>
        <v>3248503.5900639999</v>
      </c>
      <c r="AC557" s="8">
        <f t="shared" si="75"/>
        <v>143340220.91157398</v>
      </c>
      <c r="AD557" s="8">
        <f t="shared" si="76"/>
        <v>609094.42313699995</v>
      </c>
      <c r="AE557" s="8">
        <f t="shared" si="77"/>
        <v>15633423.527183</v>
      </c>
      <c r="AF557" s="8">
        <f t="shared" si="78"/>
        <v>198361750.468283</v>
      </c>
      <c r="AG557" s="8">
        <f t="shared" si="79"/>
        <v>256022689.19191897</v>
      </c>
      <c r="AH557" s="8">
        <f t="shared" si="80"/>
        <v>42230546.670832001</v>
      </c>
      <c r="AI557" s="8">
        <f t="shared" si="81"/>
        <v>0</v>
      </c>
    </row>
    <row r="558" spans="1:35" x14ac:dyDescent="0.55000000000000004">
      <c r="A558" s="1">
        <v>556</v>
      </c>
      <c r="B558" s="1" t="s">
        <v>20</v>
      </c>
      <c r="C558" s="1">
        <v>39</v>
      </c>
      <c r="D558" s="1">
        <v>2</v>
      </c>
      <c r="E558" s="1" t="s">
        <v>95</v>
      </c>
      <c r="F558" s="1" t="s">
        <v>96</v>
      </c>
      <c r="G558" s="1">
        <v>24</v>
      </c>
      <c r="H558" s="1">
        <v>2</v>
      </c>
      <c r="I558" s="1">
        <v>24020000</v>
      </c>
      <c r="J558" s="1">
        <v>778</v>
      </c>
      <c r="K558" s="1">
        <v>0</v>
      </c>
      <c r="L558" s="1">
        <v>14222</v>
      </c>
      <c r="M558" s="1">
        <v>13.688805</v>
      </c>
      <c r="N558" s="1">
        <v>101.189285</v>
      </c>
      <c r="O558" s="1">
        <v>53.779998999999997</v>
      </c>
      <c r="P558" s="1">
        <v>0</v>
      </c>
      <c r="Q558" s="1">
        <v>12.64</v>
      </c>
      <c r="R558" s="1">
        <v>0.01</v>
      </c>
      <c r="S558" s="1">
        <v>2.96</v>
      </c>
      <c r="T558" s="1">
        <v>13.06</v>
      </c>
      <c r="U558" s="1">
        <v>16.760000000000002</v>
      </c>
      <c r="V558" s="1">
        <v>0.04</v>
      </c>
      <c r="W558" s="1">
        <v>0</v>
      </c>
      <c r="X558" s="1">
        <v>38080.811452000002</v>
      </c>
      <c r="Y558" s="1">
        <v>67986935.610499993</v>
      </c>
      <c r="Z558" t="str">
        <f>VLOOKUP(G558,'Code Pro'!$A$2:$B$9,2,FALSE)</f>
        <v>จ.ฉะเชิงเทรา</v>
      </c>
      <c r="AA558" s="8">
        <f t="shared" si="73"/>
        <v>3656337329.1457539</v>
      </c>
      <c r="AB558" s="8">
        <f t="shared" si="74"/>
        <v>0</v>
      </c>
      <c r="AC558" s="8">
        <f t="shared" si="75"/>
        <v>859354866.11671996</v>
      </c>
      <c r="AD558" s="8">
        <f t="shared" si="76"/>
        <v>679869.3561049999</v>
      </c>
      <c r="AE558" s="8">
        <f t="shared" si="77"/>
        <v>201241329.40707996</v>
      </c>
      <c r="AF558" s="8">
        <f t="shared" si="78"/>
        <v>887909379.07312989</v>
      </c>
      <c r="AG558" s="8">
        <f t="shared" si="79"/>
        <v>1139461040.83198</v>
      </c>
      <c r="AH558" s="8">
        <f t="shared" si="80"/>
        <v>2719477.4244199996</v>
      </c>
      <c r="AI558" s="8">
        <f t="shared" si="81"/>
        <v>0</v>
      </c>
    </row>
    <row r="559" spans="1:35" x14ac:dyDescent="0.55000000000000004">
      <c r="A559" s="1">
        <v>557</v>
      </c>
      <c r="B559" s="1" t="s">
        <v>20</v>
      </c>
      <c r="C559" s="1">
        <v>39</v>
      </c>
      <c r="D559" s="1">
        <v>2</v>
      </c>
      <c r="E559" s="1" t="s">
        <v>95</v>
      </c>
      <c r="F559" s="1" t="s">
        <v>96</v>
      </c>
      <c r="G559" s="1">
        <v>24</v>
      </c>
      <c r="H559" s="1">
        <v>2</v>
      </c>
      <c r="I559" s="1">
        <v>24020000</v>
      </c>
      <c r="J559" s="1">
        <v>780</v>
      </c>
      <c r="K559" s="1">
        <v>0</v>
      </c>
      <c r="L559" s="1">
        <v>14343</v>
      </c>
      <c r="M559" s="1">
        <v>13.769569000000001</v>
      </c>
      <c r="N559" s="1">
        <v>101.27242</v>
      </c>
      <c r="O559" s="1">
        <v>49.41</v>
      </c>
      <c r="P559" s="1">
        <v>1.31</v>
      </c>
      <c r="Q559" s="1">
        <v>9.1199999999999992</v>
      </c>
      <c r="R559" s="1">
        <v>0.08</v>
      </c>
      <c r="S559" s="1">
        <v>1.01</v>
      </c>
      <c r="T559" s="1">
        <v>9.6999999999999993</v>
      </c>
      <c r="U559" s="1">
        <v>4.63</v>
      </c>
      <c r="V559" s="1">
        <v>0.05</v>
      </c>
      <c r="W559" s="1">
        <v>0</v>
      </c>
      <c r="X559" s="1">
        <v>28675.075755000002</v>
      </c>
      <c r="Y559" s="1">
        <v>17542465.759300001</v>
      </c>
      <c r="Z559" t="str">
        <f>VLOOKUP(G559,'Code Pro'!$A$2:$B$9,2,FALSE)</f>
        <v>จ.ฉะเชิงเทรา</v>
      </c>
      <c r="AA559" s="8">
        <f t="shared" si="73"/>
        <v>866773233.16701293</v>
      </c>
      <c r="AB559" s="8">
        <f t="shared" si="74"/>
        <v>22980630.144683003</v>
      </c>
      <c r="AC559" s="8">
        <f t="shared" si="75"/>
        <v>159987287.72481599</v>
      </c>
      <c r="AD559" s="8">
        <f t="shared" si="76"/>
        <v>1403397.2607440001</v>
      </c>
      <c r="AE559" s="8">
        <f t="shared" si="77"/>
        <v>17717890.416893002</v>
      </c>
      <c r="AF559" s="8">
        <f t="shared" si="78"/>
        <v>170161917.86521</v>
      </c>
      <c r="AG559" s="8">
        <f t="shared" si="79"/>
        <v>81221616.465559006</v>
      </c>
      <c r="AH559" s="8">
        <f t="shared" si="80"/>
        <v>877123.28796500014</v>
      </c>
      <c r="AI559" s="8">
        <f t="shared" si="81"/>
        <v>0</v>
      </c>
    </row>
    <row r="560" spans="1:35" x14ac:dyDescent="0.55000000000000004">
      <c r="A560" s="1">
        <v>558</v>
      </c>
      <c r="B560" s="1" t="s">
        <v>20</v>
      </c>
      <c r="C560" s="1">
        <v>39</v>
      </c>
      <c r="D560" s="1">
        <v>2</v>
      </c>
      <c r="E560" s="1" t="s">
        <v>95</v>
      </c>
      <c r="F560" s="1" t="s">
        <v>96</v>
      </c>
      <c r="G560" s="1">
        <v>24</v>
      </c>
      <c r="H560" s="1">
        <v>2</v>
      </c>
      <c r="I560" s="1">
        <v>24020000</v>
      </c>
      <c r="J560" s="1">
        <v>781</v>
      </c>
      <c r="K560" s="1">
        <v>0</v>
      </c>
      <c r="L560" s="1">
        <v>14342</v>
      </c>
      <c r="M560" s="1">
        <v>13.769569000000001</v>
      </c>
      <c r="N560" s="1">
        <v>101.189285</v>
      </c>
      <c r="O560" s="1">
        <v>76.089995999999999</v>
      </c>
      <c r="P560" s="1">
        <v>5.27</v>
      </c>
      <c r="Q560" s="1">
        <v>5.12</v>
      </c>
      <c r="R560" s="1">
        <v>0.22</v>
      </c>
      <c r="S560" s="1">
        <v>1.91</v>
      </c>
      <c r="T560" s="1">
        <v>10.66</v>
      </c>
      <c r="U560" s="1">
        <v>41.119999</v>
      </c>
      <c r="V560" s="1">
        <v>0</v>
      </c>
      <c r="W560" s="1">
        <v>0</v>
      </c>
      <c r="X560" s="1">
        <v>38439.518360000002</v>
      </c>
      <c r="Y560" s="1">
        <v>38725498.648599997</v>
      </c>
      <c r="Z560" t="str">
        <f>VLOOKUP(G560,'Code Pro'!$A$2:$B$9,2,FALSE)</f>
        <v>จ.ฉะเชิงเทรา</v>
      </c>
      <c r="AA560" s="8">
        <f t="shared" si="73"/>
        <v>2946623037.269979</v>
      </c>
      <c r="AB560" s="8">
        <f t="shared" si="74"/>
        <v>204083377.87812197</v>
      </c>
      <c r="AC560" s="8">
        <f t="shared" si="75"/>
        <v>198274553.08083197</v>
      </c>
      <c r="AD560" s="8">
        <f t="shared" si="76"/>
        <v>8519609.7026920002</v>
      </c>
      <c r="AE560" s="8">
        <f t="shared" si="77"/>
        <v>73965702.418825999</v>
      </c>
      <c r="AF560" s="8">
        <f t="shared" si="78"/>
        <v>412813815.59407598</v>
      </c>
      <c r="AG560" s="8">
        <f t="shared" si="79"/>
        <v>1592392465.7049332</v>
      </c>
      <c r="AH560" s="8">
        <f t="shared" si="80"/>
        <v>0</v>
      </c>
      <c r="AI560" s="8">
        <f t="shared" si="81"/>
        <v>0</v>
      </c>
    </row>
    <row r="561" spans="1:35" x14ac:dyDescent="0.55000000000000004">
      <c r="A561" s="1">
        <v>559</v>
      </c>
      <c r="B561" s="1" t="s">
        <v>20</v>
      </c>
      <c r="C561" s="1">
        <v>39</v>
      </c>
      <c r="D561" s="1">
        <v>2</v>
      </c>
      <c r="E561" s="1" t="s">
        <v>95</v>
      </c>
      <c r="F561" s="1" t="s">
        <v>96</v>
      </c>
      <c r="G561" s="1">
        <v>24</v>
      </c>
      <c r="H561" s="1">
        <v>2</v>
      </c>
      <c r="I561" s="1">
        <v>24020000</v>
      </c>
      <c r="J561" s="1">
        <v>782</v>
      </c>
      <c r="K561" s="1">
        <v>0</v>
      </c>
      <c r="L561" s="1">
        <v>14463</v>
      </c>
      <c r="M561" s="1">
        <v>13.850304</v>
      </c>
      <c r="N561" s="1">
        <v>101.27242</v>
      </c>
      <c r="O561" s="1">
        <v>22.059999000000001</v>
      </c>
      <c r="P561" s="1">
        <v>7.43</v>
      </c>
      <c r="Q561" s="1">
        <v>11.1</v>
      </c>
      <c r="R561" s="1">
        <v>0.03</v>
      </c>
      <c r="S561" s="1">
        <v>0.18</v>
      </c>
      <c r="T561" s="1">
        <v>9.36</v>
      </c>
      <c r="U561" s="1">
        <v>41.029998999999997</v>
      </c>
      <c r="V561" s="1">
        <v>0</v>
      </c>
      <c r="W561" s="1">
        <v>0</v>
      </c>
      <c r="X561" s="1">
        <v>22416.847722999999</v>
      </c>
      <c r="Y561" s="1">
        <v>17091367.313000001</v>
      </c>
      <c r="Z561" t="str">
        <f>VLOOKUP(G561,'Code Pro'!$A$2:$B$9,2,FALSE)</f>
        <v>จ.ฉะเชิงเทรา</v>
      </c>
      <c r="AA561" s="8">
        <f t="shared" si="73"/>
        <v>377035545.83341271</v>
      </c>
      <c r="AB561" s="8">
        <f t="shared" si="74"/>
        <v>126988859.13559</v>
      </c>
      <c r="AC561" s="8">
        <f t="shared" si="75"/>
        <v>189714177.17430001</v>
      </c>
      <c r="AD561" s="8">
        <f t="shared" si="76"/>
        <v>512741.01939000003</v>
      </c>
      <c r="AE561" s="8">
        <f t="shared" si="77"/>
        <v>3076446.1163400002</v>
      </c>
      <c r="AF561" s="8">
        <f t="shared" si="78"/>
        <v>159975198.04967999</v>
      </c>
      <c r="AG561" s="8">
        <f t="shared" si="79"/>
        <v>701258783.76102269</v>
      </c>
      <c r="AH561" s="8">
        <f t="shared" si="80"/>
        <v>0</v>
      </c>
      <c r="AI561" s="8">
        <f t="shared" si="81"/>
        <v>0</v>
      </c>
    </row>
    <row r="562" spans="1:35" x14ac:dyDescent="0.55000000000000004">
      <c r="A562" s="1">
        <v>560</v>
      </c>
      <c r="B562" s="1" t="s">
        <v>20</v>
      </c>
      <c r="C562" s="1">
        <v>39</v>
      </c>
      <c r="D562" s="1">
        <v>2</v>
      </c>
      <c r="E562" s="1" t="s">
        <v>95</v>
      </c>
      <c r="F562" s="1" t="s">
        <v>96</v>
      </c>
      <c r="G562" s="1">
        <v>24</v>
      </c>
      <c r="H562" s="1">
        <v>2</v>
      </c>
      <c r="I562" s="1">
        <v>24020000</v>
      </c>
      <c r="J562" s="1">
        <v>783</v>
      </c>
      <c r="K562" s="1">
        <v>0</v>
      </c>
      <c r="L562" s="1">
        <v>14462</v>
      </c>
      <c r="M562" s="1">
        <v>13.850304</v>
      </c>
      <c r="N562" s="1">
        <v>101.189285</v>
      </c>
      <c r="O562" s="1">
        <v>26.26</v>
      </c>
      <c r="P562" s="1">
        <v>0.56999999999999995</v>
      </c>
      <c r="Q562" s="1">
        <v>8.17</v>
      </c>
      <c r="R562" s="1">
        <v>0.02</v>
      </c>
      <c r="S562" s="1">
        <v>0.4</v>
      </c>
      <c r="T562" s="1">
        <v>30.01</v>
      </c>
      <c r="U562" s="1">
        <v>27.219999000000001</v>
      </c>
      <c r="V562" s="1">
        <v>0</v>
      </c>
      <c r="W562" s="1">
        <v>0</v>
      </c>
      <c r="X562" s="1">
        <v>31297.834303</v>
      </c>
      <c r="Y562" s="1">
        <v>48089839.7676</v>
      </c>
      <c r="Z562" t="str">
        <f>VLOOKUP(G562,'Code Pro'!$A$2:$B$9,2,FALSE)</f>
        <v>จ.ฉะเชิงเทรา</v>
      </c>
      <c r="AA562" s="8">
        <f t="shared" si="73"/>
        <v>1262839192.2971761</v>
      </c>
      <c r="AB562" s="8">
        <f t="shared" si="74"/>
        <v>27411208.667531997</v>
      </c>
      <c r="AC562" s="8">
        <f t="shared" si="75"/>
        <v>392893990.90129197</v>
      </c>
      <c r="AD562" s="8">
        <f t="shared" si="76"/>
        <v>961796.79535200004</v>
      </c>
      <c r="AE562" s="8">
        <f t="shared" si="77"/>
        <v>19235935.90704</v>
      </c>
      <c r="AF562" s="8">
        <f t="shared" si="78"/>
        <v>1443176091.4256761</v>
      </c>
      <c r="AG562" s="8">
        <f t="shared" si="79"/>
        <v>1309005390.3842323</v>
      </c>
      <c r="AH562" s="8">
        <f t="shared" si="80"/>
        <v>0</v>
      </c>
      <c r="AI562" s="8">
        <f t="shared" si="81"/>
        <v>0</v>
      </c>
    </row>
    <row r="563" spans="1:35" x14ac:dyDescent="0.55000000000000004">
      <c r="A563" s="1">
        <v>561</v>
      </c>
      <c r="B563" s="1" t="s">
        <v>20</v>
      </c>
      <c r="C563" s="1">
        <v>40</v>
      </c>
      <c r="D563" s="1">
        <v>3</v>
      </c>
      <c r="E563" s="1" t="s">
        <v>97</v>
      </c>
      <c r="F563" s="1" t="s">
        <v>98</v>
      </c>
      <c r="G563" s="1">
        <v>24</v>
      </c>
      <c r="H563" s="1">
        <v>2</v>
      </c>
      <c r="I563" s="1">
        <v>24030000</v>
      </c>
      <c r="J563" s="1">
        <v>724</v>
      </c>
      <c r="K563" s="1">
        <v>0</v>
      </c>
      <c r="L563" s="1">
        <v>14339</v>
      </c>
      <c r="M563" s="1">
        <v>13.769569000000001</v>
      </c>
      <c r="N563" s="1">
        <v>100.93988</v>
      </c>
      <c r="O563" s="1">
        <v>7.61</v>
      </c>
      <c r="P563" s="1">
        <v>0.26</v>
      </c>
      <c r="Q563" s="1">
        <v>37.810001</v>
      </c>
      <c r="R563" s="1">
        <v>0</v>
      </c>
      <c r="S563" s="1">
        <v>0.74</v>
      </c>
      <c r="T563" s="1">
        <v>52.41</v>
      </c>
      <c r="U563" s="1">
        <v>2.73</v>
      </c>
      <c r="V563" s="1">
        <v>0</v>
      </c>
      <c r="W563" s="1">
        <v>0</v>
      </c>
      <c r="X563" s="1">
        <v>16498.190399999999</v>
      </c>
      <c r="Y563" s="1">
        <v>14670159.389799999</v>
      </c>
      <c r="Z563" t="str">
        <f>VLOOKUP(G563,'Code Pro'!$A$2:$B$9,2,FALSE)</f>
        <v>จ.ฉะเชิงเทรา</v>
      </c>
      <c r="AA563" s="8">
        <f t="shared" si="73"/>
        <v>111639912.956378</v>
      </c>
      <c r="AB563" s="8">
        <f t="shared" si="74"/>
        <v>3814241.441348</v>
      </c>
      <c r="AC563" s="8">
        <f t="shared" si="75"/>
        <v>554678741.1984973</v>
      </c>
      <c r="AD563" s="8">
        <f t="shared" si="76"/>
        <v>0</v>
      </c>
      <c r="AE563" s="8">
        <f t="shared" si="77"/>
        <v>10855917.948452</v>
      </c>
      <c r="AF563" s="8">
        <f t="shared" si="78"/>
        <v>768863053.61941791</v>
      </c>
      <c r="AG563" s="8">
        <f t="shared" si="79"/>
        <v>40049535.134153999</v>
      </c>
      <c r="AH563" s="8">
        <f t="shared" si="80"/>
        <v>0</v>
      </c>
      <c r="AI563" s="8">
        <f t="shared" si="81"/>
        <v>0</v>
      </c>
    </row>
    <row r="564" spans="1:35" x14ac:dyDescent="0.55000000000000004">
      <c r="A564" s="1">
        <v>562</v>
      </c>
      <c r="B564" s="1" t="s">
        <v>20</v>
      </c>
      <c r="C564" s="1">
        <v>40</v>
      </c>
      <c r="D564" s="1">
        <v>3</v>
      </c>
      <c r="E564" s="1" t="s">
        <v>97</v>
      </c>
      <c r="F564" s="1" t="s">
        <v>98</v>
      </c>
      <c r="G564" s="1">
        <v>24</v>
      </c>
      <c r="H564" s="1">
        <v>2</v>
      </c>
      <c r="I564" s="1">
        <v>24030000</v>
      </c>
      <c r="J564" s="1">
        <v>726</v>
      </c>
      <c r="K564" s="1">
        <v>0</v>
      </c>
      <c r="L564" s="1">
        <v>14459</v>
      </c>
      <c r="M564" s="1">
        <v>13.850304</v>
      </c>
      <c r="N564" s="1">
        <v>100.93988</v>
      </c>
      <c r="O564" s="1">
        <v>1.86</v>
      </c>
      <c r="P564" s="1">
        <v>0</v>
      </c>
      <c r="Q564" s="1">
        <v>62.779998999999997</v>
      </c>
      <c r="R564" s="1">
        <v>0.24</v>
      </c>
      <c r="S564" s="1">
        <v>0.85</v>
      </c>
      <c r="T564" s="1">
        <v>22.469999000000001</v>
      </c>
      <c r="U564" s="1">
        <v>6.77</v>
      </c>
      <c r="V564" s="1">
        <v>0</v>
      </c>
      <c r="W564" s="1">
        <v>0</v>
      </c>
      <c r="X564" s="1">
        <v>33555.558525</v>
      </c>
      <c r="Y564" s="1">
        <v>66126182.4168</v>
      </c>
      <c r="Z564" t="str">
        <f>VLOOKUP(G564,'Code Pro'!$A$2:$B$9,2,FALSE)</f>
        <v>จ.ฉะเชิงเทรา</v>
      </c>
      <c r="AA564" s="8">
        <f t="shared" si="73"/>
        <v>122994699.295248</v>
      </c>
      <c r="AB564" s="8">
        <f t="shared" si="74"/>
        <v>0</v>
      </c>
      <c r="AC564" s="8">
        <f t="shared" si="75"/>
        <v>4151401666.0005212</v>
      </c>
      <c r="AD564" s="8">
        <f t="shared" si="76"/>
        <v>15870283.780032</v>
      </c>
      <c r="AE564" s="8">
        <f t="shared" si="77"/>
        <v>56207255.054279998</v>
      </c>
      <c r="AF564" s="8">
        <f t="shared" si="78"/>
        <v>1485855252.7793136</v>
      </c>
      <c r="AG564" s="8">
        <f t="shared" si="79"/>
        <v>447674254.96173596</v>
      </c>
      <c r="AH564" s="8">
        <f t="shared" si="80"/>
        <v>0</v>
      </c>
      <c r="AI564" s="8">
        <f t="shared" si="81"/>
        <v>0</v>
      </c>
    </row>
    <row r="565" spans="1:35" x14ac:dyDescent="0.55000000000000004">
      <c r="A565" s="1">
        <v>563</v>
      </c>
      <c r="B565" s="1" t="s">
        <v>20</v>
      </c>
      <c r="C565" s="1">
        <v>40</v>
      </c>
      <c r="D565" s="1">
        <v>3</v>
      </c>
      <c r="E565" s="1" t="s">
        <v>97</v>
      </c>
      <c r="F565" s="1" t="s">
        <v>98</v>
      </c>
      <c r="G565" s="1">
        <v>24</v>
      </c>
      <c r="H565" s="1">
        <v>2</v>
      </c>
      <c r="I565" s="1">
        <v>24030000</v>
      </c>
      <c r="J565" s="1">
        <v>729</v>
      </c>
      <c r="K565" s="1">
        <v>0</v>
      </c>
      <c r="L565" s="1">
        <v>14341</v>
      </c>
      <c r="M565" s="1">
        <v>13.769569000000001</v>
      </c>
      <c r="N565" s="1">
        <v>101.10615</v>
      </c>
      <c r="O565" s="1">
        <v>63.450001</v>
      </c>
      <c r="P565" s="1">
        <v>0.01</v>
      </c>
      <c r="Q565" s="1">
        <v>9.68</v>
      </c>
      <c r="R565" s="1">
        <v>0.17</v>
      </c>
      <c r="S565" s="1">
        <v>0.84</v>
      </c>
      <c r="T565" s="1">
        <v>8.25</v>
      </c>
      <c r="U565" s="1">
        <v>34.369999</v>
      </c>
      <c r="V565" s="1">
        <v>0</v>
      </c>
      <c r="W565" s="1">
        <v>0</v>
      </c>
      <c r="X565" s="1">
        <v>20511.636773999999</v>
      </c>
      <c r="Y565" s="1">
        <v>19996459.015000001</v>
      </c>
      <c r="Z565" t="str">
        <f>VLOOKUP(G565,'Code Pro'!$A$2:$B$9,2,FALSE)</f>
        <v>จ.ฉะเชิงเทรา</v>
      </c>
      <c r="AA565" s="8">
        <f t="shared" si="73"/>
        <v>1268775344.498209</v>
      </c>
      <c r="AB565" s="8">
        <f t="shared" si="74"/>
        <v>199964.59015</v>
      </c>
      <c r="AC565" s="8">
        <f t="shared" si="75"/>
        <v>193565723.26519999</v>
      </c>
      <c r="AD565" s="8">
        <f t="shared" si="76"/>
        <v>3399398.0325500001</v>
      </c>
      <c r="AE565" s="8">
        <f t="shared" si="77"/>
        <v>16797025.5726</v>
      </c>
      <c r="AF565" s="8">
        <f t="shared" si="78"/>
        <v>164970786.87375</v>
      </c>
      <c r="AG565" s="8">
        <f t="shared" si="79"/>
        <v>687278276.34909105</v>
      </c>
      <c r="AH565" s="8">
        <f t="shared" si="80"/>
        <v>0</v>
      </c>
      <c r="AI565" s="8">
        <f t="shared" si="81"/>
        <v>0</v>
      </c>
    </row>
    <row r="566" spans="1:35" x14ac:dyDescent="0.55000000000000004">
      <c r="A566" s="1">
        <v>564</v>
      </c>
      <c r="B566" s="1" t="s">
        <v>20</v>
      </c>
      <c r="C566" s="1">
        <v>40</v>
      </c>
      <c r="D566" s="1">
        <v>3</v>
      </c>
      <c r="E566" s="1" t="s">
        <v>97</v>
      </c>
      <c r="F566" s="1" t="s">
        <v>98</v>
      </c>
      <c r="G566" s="1">
        <v>24</v>
      </c>
      <c r="H566" s="1">
        <v>2</v>
      </c>
      <c r="I566" s="1">
        <v>24030000</v>
      </c>
      <c r="J566" s="1">
        <v>730</v>
      </c>
      <c r="K566" s="1">
        <v>0</v>
      </c>
      <c r="L566" s="1">
        <v>14340</v>
      </c>
      <c r="M566" s="1">
        <v>13.769569000000001</v>
      </c>
      <c r="N566" s="1">
        <v>101.02302</v>
      </c>
      <c r="O566" s="1">
        <v>25.07</v>
      </c>
      <c r="P566" s="1">
        <v>1.26</v>
      </c>
      <c r="Q566" s="1">
        <v>6.41</v>
      </c>
      <c r="R566" s="1">
        <v>0.04</v>
      </c>
      <c r="S566" s="1">
        <v>0.55000000000000004</v>
      </c>
      <c r="T566" s="1">
        <v>9.2200000000000006</v>
      </c>
      <c r="U566" s="1">
        <v>15.16</v>
      </c>
      <c r="V566" s="1">
        <v>0</v>
      </c>
      <c r="W566" s="1">
        <v>0</v>
      </c>
      <c r="X566" s="1">
        <v>26741.218961999999</v>
      </c>
      <c r="Y566" s="1">
        <v>19134349.668299999</v>
      </c>
      <c r="Z566" t="str">
        <f>VLOOKUP(G566,'Code Pro'!$A$2:$B$9,2,FALSE)</f>
        <v>จ.ฉะเชิงเทรา</v>
      </c>
      <c r="AA566" s="8">
        <f t="shared" si="73"/>
        <v>479698146.18428099</v>
      </c>
      <c r="AB566" s="8">
        <f t="shared" si="74"/>
        <v>24109280.582057998</v>
      </c>
      <c r="AC566" s="8">
        <f t="shared" si="75"/>
        <v>122651181.37380299</v>
      </c>
      <c r="AD566" s="8">
        <f t="shared" si="76"/>
        <v>765373.98673200002</v>
      </c>
      <c r="AE566" s="8">
        <f t="shared" si="77"/>
        <v>10523892.317565</v>
      </c>
      <c r="AF566" s="8">
        <f t="shared" si="78"/>
        <v>176418703.941726</v>
      </c>
      <c r="AG566" s="8">
        <f t="shared" si="79"/>
        <v>290076740.97142798</v>
      </c>
      <c r="AH566" s="8">
        <f t="shared" si="80"/>
        <v>0</v>
      </c>
      <c r="AI566" s="8">
        <f t="shared" si="81"/>
        <v>0</v>
      </c>
    </row>
    <row r="567" spans="1:35" x14ac:dyDescent="0.55000000000000004">
      <c r="A567" s="1">
        <v>565</v>
      </c>
      <c r="B567" s="1" t="s">
        <v>20</v>
      </c>
      <c r="C567" s="1">
        <v>40</v>
      </c>
      <c r="D567" s="1">
        <v>3</v>
      </c>
      <c r="E567" s="1" t="s">
        <v>97</v>
      </c>
      <c r="F567" s="1" t="s">
        <v>98</v>
      </c>
      <c r="G567" s="1">
        <v>24</v>
      </c>
      <c r="H567" s="1">
        <v>2</v>
      </c>
      <c r="I567" s="1">
        <v>24030000</v>
      </c>
      <c r="J567" s="1">
        <v>732</v>
      </c>
      <c r="K567" s="1">
        <v>0</v>
      </c>
      <c r="L567" s="1">
        <v>14461</v>
      </c>
      <c r="M567" s="1">
        <v>13.850304</v>
      </c>
      <c r="N567" s="1">
        <v>101.10615</v>
      </c>
      <c r="O567" s="1">
        <v>39.360000999999997</v>
      </c>
      <c r="P567" s="1">
        <v>0.01</v>
      </c>
      <c r="Q567" s="1">
        <v>9.23</v>
      </c>
      <c r="R567" s="1">
        <v>0.04</v>
      </c>
      <c r="S567" s="1">
        <v>0</v>
      </c>
      <c r="T567" s="1">
        <v>11.64</v>
      </c>
      <c r="U567" s="1">
        <v>7.03</v>
      </c>
      <c r="V567" s="1">
        <v>0</v>
      </c>
      <c r="W567" s="1">
        <v>0</v>
      </c>
      <c r="X567" s="1">
        <v>38156.764335</v>
      </c>
      <c r="Y567" s="1">
        <v>63454513.456</v>
      </c>
      <c r="Z567" t="str">
        <f>VLOOKUP(G567,'Code Pro'!$A$2:$B$9,2,FALSE)</f>
        <v>จ.ฉะเชิงเทรา</v>
      </c>
      <c r="AA567" s="8">
        <f t="shared" si="73"/>
        <v>2497569713.0826731</v>
      </c>
      <c r="AB567" s="8">
        <f t="shared" si="74"/>
        <v>634545.13456000003</v>
      </c>
      <c r="AC567" s="8">
        <f t="shared" si="75"/>
        <v>585685159.19888008</v>
      </c>
      <c r="AD567" s="8">
        <f t="shared" si="76"/>
        <v>2538180.5382400001</v>
      </c>
      <c r="AE567" s="8">
        <f t="shared" si="77"/>
        <v>0</v>
      </c>
      <c r="AF567" s="8">
        <f t="shared" si="78"/>
        <v>738610536.62784004</v>
      </c>
      <c r="AG567" s="8">
        <f t="shared" si="79"/>
        <v>446085229.59568</v>
      </c>
      <c r="AH567" s="8">
        <f t="shared" si="80"/>
        <v>0</v>
      </c>
      <c r="AI567" s="8">
        <f t="shared" si="81"/>
        <v>0</v>
      </c>
    </row>
    <row r="568" spans="1:35" x14ac:dyDescent="0.55000000000000004">
      <c r="A568" s="1">
        <v>566</v>
      </c>
      <c r="B568" s="1" t="s">
        <v>20</v>
      </c>
      <c r="C568" s="1">
        <v>40</v>
      </c>
      <c r="D568" s="1">
        <v>3</v>
      </c>
      <c r="E568" s="1" t="s">
        <v>97</v>
      </c>
      <c r="F568" s="1" t="s">
        <v>98</v>
      </c>
      <c r="G568" s="1">
        <v>24</v>
      </c>
      <c r="H568" s="1">
        <v>2</v>
      </c>
      <c r="I568" s="1">
        <v>24030000</v>
      </c>
      <c r="J568" s="1">
        <v>733</v>
      </c>
      <c r="K568" s="1">
        <v>0</v>
      </c>
      <c r="L568" s="1">
        <v>14460</v>
      </c>
      <c r="M568" s="1">
        <v>13.850304</v>
      </c>
      <c r="N568" s="1">
        <v>101.02302</v>
      </c>
      <c r="O568" s="1">
        <v>23.790001</v>
      </c>
      <c r="P568" s="1">
        <v>0.17</v>
      </c>
      <c r="Q568" s="1">
        <v>44.470001000000003</v>
      </c>
      <c r="R568" s="1">
        <v>0.03</v>
      </c>
      <c r="S568" s="1">
        <v>0.77</v>
      </c>
      <c r="T568" s="1">
        <v>7.86</v>
      </c>
      <c r="U568" s="1">
        <v>5.76</v>
      </c>
      <c r="V568" s="1">
        <v>0</v>
      </c>
      <c r="W568" s="1">
        <v>0</v>
      </c>
      <c r="X568" s="1">
        <v>35842.406014</v>
      </c>
      <c r="Y568" s="1">
        <v>80291576.809699997</v>
      </c>
      <c r="Z568" t="str">
        <f>VLOOKUP(G568,'Code Pro'!$A$2:$B$9,2,FALSE)</f>
        <v>จ.ฉะเชิงเทรา</v>
      </c>
      <c r="AA568" s="8">
        <f t="shared" si="73"/>
        <v>1910136692.5943398</v>
      </c>
      <c r="AB568" s="8">
        <f t="shared" si="74"/>
        <v>13649568.057649</v>
      </c>
      <c r="AC568" s="8">
        <f t="shared" si="75"/>
        <v>3570566501.0189362</v>
      </c>
      <c r="AD568" s="8">
        <f t="shared" si="76"/>
        <v>2408747.3042909997</v>
      </c>
      <c r="AE568" s="8">
        <f t="shared" si="77"/>
        <v>61824514.143468998</v>
      </c>
      <c r="AF568" s="8">
        <f t="shared" si="78"/>
        <v>631091793.72424197</v>
      </c>
      <c r="AG568" s="8">
        <f t="shared" si="79"/>
        <v>462479482.42387199</v>
      </c>
      <c r="AH568" s="8">
        <f t="shared" si="80"/>
        <v>0</v>
      </c>
      <c r="AI568" s="8">
        <f t="shared" si="81"/>
        <v>0</v>
      </c>
    </row>
    <row r="569" spans="1:35" x14ac:dyDescent="0.55000000000000004">
      <c r="A569" s="1">
        <v>567</v>
      </c>
      <c r="B569" s="1" t="s">
        <v>20</v>
      </c>
      <c r="C569" s="1">
        <v>40</v>
      </c>
      <c r="D569" s="1">
        <v>3</v>
      </c>
      <c r="E569" s="1" t="s">
        <v>97</v>
      </c>
      <c r="F569" s="1" t="s">
        <v>98</v>
      </c>
      <c r="G569" s="1">
        <v>24</v>
      </c>
      <c r="H569" s="1">
        <v>2</v>
      </c>
      <c r="I569" s="1">
        <v>24030000</v>
      </c>
      <c r="J569" s="1">
        <v>783</v>
      </c>
      <c r="K569" s="1">
        <v>0</v>
      </c>
      <c r="L569" s="1">
        <v>14462</v>
      </c>
      <c r="M569" s="1">
        <v>13.850304</v>
      </c>
      <c r="N569" s="1">
        <v>101.189285</v>
      </c>
      <c r="O569" s="1">
        <v>26.26</v>
      </c>
      <c r="P569" s="1">
        <v>0.56999999999999995</v>
      </c>
      <c r="Q569" s="1">
        <v>8.17</v>
      </c>
      <c r="R569" s="1">
        <v>0.02</v>
      </c>
      <c r="S569" s="1">
        <v>0.4</v>
      </c>
      <c r="T569" s="1">
        <v>30.01</v>
      </c>
      <c r="U569" s="1">
        <v>27.219999000000001</v>
      </c>
      <c r="V569" s="1">
        <v>0</v>
      </c>
      <c r="W569" s="1">
        <v>0</v>
      </c>
      <c r="X569" s="1">
        <v>10934.635238999999</v>
      </c>
      <c r="Y569" s="1">
        <v>2624603.5027399999</v>
      </c>
      <c r="Z569" t="str">
        <f>VLOOKUP(G569,'Code Pro'!$A$2:$B$9,2,FALSE)</f>
        <v>จ.ฉะเชิงเทรา</v>
      </c>
      <c r="AA569" s="8">
        <f t="shared" si="73"/>
        <v>68922087.981952399</v>
      </c>
      <c r="AB569" s="8">
        <f t="shared" si="74"/>
        <v>1496023.9965617999</v>
      </c>
      <c r="AC569" s="8">
        <f t="shared" si="75"/>
        <v>21443010.617385801</v>
      </c>
      <c r="AD569" s="8">
        <f t="shared" si="76"/>
        <v>52492.070054800002</v>
      </c>
      <c r="AE569" s="8">
        <f t="shared" si="77"/>
        <v>1049841.4010960001</v>
      </c>
      <c r="AF569" s="8">
        <f t="shared" si="78"/>
        <v>78764351.117227405</v>
      </c>
      <c r="AG569" s="8">
        <f t="shared" si="79"/>
        <v>71441704.719979301</v>
      </c>
      <c r="AH569" s="8">
        <f t="shared" si="80"/>
        <v>0</v>
      </c>
      <c r="AI569" s="8">
        <f t="shared" si="81"/>
        <v>0</v>
      </c>
    </row>
    <row r="570" spans="1:35" x14ac:dyDescent="0.55000000000000004">
      <c r="A570" s="1">
        <v>568</v>
      </c>
      <c r="B570" s="1" t="s">
        <v>20</v>
      </c>
      <c r="C570" s="1">
        <v>40</v>
      </c>
      <c r="D570" s="1">
        <v>3</v>
      </c>
      <c r="E570" s="1" t="s">
        <v>97</v>
      </c>
      <c r="F570" s="1" t="s">
        <v>98</v>
      </c>
      <c r="G570" s="1">
        <v>24</v>
      </c>
      <c r="H570" s="1">
        <v>2</v>
      </c>
      <c r="I570" s="1">
        <v>24030000</v>
      </c>
      <c r="J570" s="1">
        <v>833</v>
      </c>
      <c r="K570" s="1">
        <v>0</v>
      </c>
      <c r="L570" s="1">
        <v>14579</v>
      </c>
      <c r="M570" s="1">
        <v>13.931006999999999</v>
      </c>
      <c r="N570" s="1">
        <v>100.93988</v>
      </c>
      <c r="O570" s="1">
        <v>0.36</v>
      </c>
      <c r="P570" s="1">
        <v>0.03</v>
      </c>
      <c r="Q570" s="1">
        <v>6.83</v>
      </c>
      <c r="R570" s="1">
        <v>1.21</v>
      </c>
      <c r="S570" s="1">
        <v>1.29</v>
      </c>
      <c r="T570" s="1">
        <v>17.209999</v>
      </c>
      <c r="U570" s="1">
        <v>4.32</v>
      </c>
      <c r="V570" s="1">
        <v>0</v>
      </c>
      <c r="W570" s="1">
        <v>0</v>
      </c>
      <c r="X570" s="1">
        <v>32106.833655999999</v>
      </c>
      <c r="Y570" s="1">
        <v>63135093.841799997</v>
      </c>
      <c r="Z570" t="str">
        <f>VLOOKUP(G570,'Code Pro'!$A$2:$B$9,2,FALSE)</f>
        <v>จ.ฉะเชิงเทรา</v>
      </c>
      <c r="AA570" s="8">
        <f t="shared" si="73"/>
        <v>22728633.783047996</v>
      </c>
      <c r="AB570" s="8">
        <f t="shared" si="74"/>
        <v>1894052.8152539998</v>
      </c>
      <c r="AC570" s="8">
        <f t="shared" si="75"/>
        <v>431212690.93949395</v>
      </c>
      <c r="AD570" s="8">
        <f t="shared" si="76"/>
        <v>76393463.548577994</v>
      </c>
      <c r="AE570" s="8">
        <f t="shared" si="77"/>
        <v>81444271.055922002</v>
      </c>
      <c r="AF570" s="8">
        <f t="shared" si="78"/>
        <v>1086554901.8822842</v>
      </c>
      <c r="AG570" s="8">
        <f t="shared" si="79"/>
        <v>272743605.39657599</v>
      </c>
      <c r="AH570" s="8">
        <f t="shared" si="80"/>
        <v>0</v>
      </c>
      <c r="AI570" s="8">
        <f t="shared" si="81"/>
        <v>0</v>
      </c>
    </row>
    <row r="571" spans="1:35" x14ac:dyDescent="0.55000000000000004">
      <c r="A571" s="1">
        <v>569</v>
      </c>
      <c r="B571" s="1" t="s">
        <v>20</v>
      </c>
      <c r="C571" s="1">
        <v>40</v>
      </c>
      <c r="D571" s="1">
        <v>3</v>
      </c>
      <c r="E571" s="1" t="s">
        <v>97</v>
      </c>
      <c r="F571" s="1" t="s">
        <v>98</v>
      </c>
      <c r="G571" s="1">
        <v>24</v>
      </c>
      <c r="H571" s="1">
        <v>2</v>
      </c>
      <c r="I571" s="1">
        <v>24030000</v>
      </c>
      <c r="J571" s="1">
        <v>842</v>
      </c>
      <c r="K571" s="1">
        <v>0</v>
      </c>
      <c r="L571" s="1">
        <v>14580</v>
      </c>
      <c r="M571" s="1">
        <v>13.931006999999999</v>
      </c>
      <c r="N571" s="1">
        <v>101.02302</v>
      </c>
      <c r="O571" s="1">
        <v>2.29</v>
      </c>
      <c r="P571" s="1">
        <v>0.08</v>
      </c>
      <c r="Q571" s="1">
        <v>30.299999</v>
      </c>
      <c r="R571" s="1">
        <v>1.9</v>
      </c>
      <c r="S571" s="1">
        <v>0.27</v>
      </c>
      <c r="T571" s="1">
        <v>5.6</v>
      </c>
      <c r="U571" s="1">
        <v>1.43</v>
      </c>
      <c r="V571" s="1">
        <v>0</v>
      </c>
      <c r="W571" s="1">
        <v>0</v>
      </c>
      <c r="X571" s="1">
        <v>35684.725572000003</v>
      </c>
      <c r="Y571" s="1">
        <v>79673542.612599999</v>
      </c>
      <c r="Z571" t="str">
        <f>VLOOKUP(G571,'Code Pro'!$A$2:$B$9,2,FALSE)</f>
        <v>จ.ฉะเชิงเทรา</v>
      </c>
      <c r="AA571" s="8">
        <f t="shared" si="73"/>
        <v>182452412.582854</v>
      </c>
      <c r="AB571" s="8">
        <f t="shared" si="74"/>
        <v>6373883.409008</v>
      </c>
      <c r="AC571" s="8">
        <f t="shared" si="75"/>
        <v>2414108261.4882374</v>
      </c>
      <c r="AD571" s="8">
        <f t="shared" si="76"/>
        <v>151379730.96393999</v>
      </c>
      <c r="AE571" s="8">
        <f t="shared" si="77"/>
        <v>21511856.505402002</v>
      </c>
      <c r="AF571" s="8">
        <f t="shared" si="78"/>
        <v>446171838.63055998</v>
      </c>
      <c r="AG571" s="8">
        <f t="shared" si="79"/>
        <v>113933165.93601799</v>
      </c>
      <c r="AH571" s="8">
        <f t="shared" si="80"/>
        <v>0</v>
      </c>
      <c r="AI571" s="8">
        <f t="shared" si="81"/>
        <v>0</v>
      </c>
    </row>
    <row r="572" spans="1:35" x14ac:dyDescent="0.55000000000000004">
      <c r="A572" s="1">
        <v>570</v>
      </c>
      <c r="B572" s="1" t="s">
        <v>20</v>
      </c>
      <c r="C572" s="1">
        <v>40</v>
      </c>
      <c r="D572" s="1">
        <v>3</v>
      </c>
      <c r="E572" s="1" t="s">
        <v>97</v>
      </c>
      <c r="F572" s="1" t="s">
        <v>98</v>
      </c>
      <c r="G572" s="1">
        <v>24</v>
      </c>
      <c r="H572" s="1">
        <v>2</v>
      </c>
      <c r="I572" s="1">
        <v>24030000</v>
      </c>
      <c r="J572" s="1">
        <v>843</v>
      </c>
      <c r="K572" s="1">
        <v>0</v>
      </c>
      <c r="L572" s="1">
        <v>14700</v>
      </c>
      <c r="M572" s="1">
        <v>14.011680999999999</v>
      </c>
      <c r="N572" s="1">
        <v>101.02302</v>
      </c>
      <c r="O572" s="1">
        <v>0.38</v>
      </c>
      <c r="P572" s="1">
        <v>0.53</v>
      </c>
      <c r="Q572" s="1">
        <v>3.4</v>
      </c>
      <c r="R572" s="1">
        <v>1.02</v>
      </c>
      <c r="S572" s="1">
        <v>0.01</v>
      </c>
      <c r="T572" s="1">
        <v>24.860001</v>
      </c>
      <c r="U572" s="1">
        <v>5.36</v>
      </c>
      <c r="V572" s="1">
        <v>0</v>
      </c>
      <c r="W572" s="1">
        <v>0</v>
      </c>
      <c r="X572" s="1">
        <v>9202.8420470000001</v>
      </c>
      <c r="Y572" s="1">
        <v>1745417.65741</v>
      </c>
      <c r="Z572" t="str">
        <f>VLOOKUP(G572,'Code Pro'!$A$2:$B$9,2,FALSE)</f>
        <v>จ.ฉะเชิงเทรา</v>
      </c>
      <c r="AA572" s="8">
        <f t="shared" si="73"/>
        <v>663258.70981579996</v>
      </c>
      <c r="AB572" s="8">
        <f t="shared" si="74"/>
        <v>925071.3584273</v>
      </c>
      <c r="AC572" s="8">
        <f t="shared" si="75"/>
        <v>5934420.0351940002</v>
      </c>
      <c r="AD572" s="8">
        <f t="shared" si="76"/>
        <v>1780326.0105582001</v>
      </c>
      <c r="AE572" s="8">
        <f t="shared" si="77"/>
        <v>17454.176574100002</v>
      </c>
      <c r="AF572" s="8">
        <f t="shared" si="78"/>
        <v>43391084.708630256</v>
      </c>
      <c r="AG572" s="8">
        <f t="shared" si="79"/>
        <v>9355438.6437176</v>
      </c>
      <c r="AH572" s="8">
        <f t="shared" si="80"/>
        <v>0</v>
      </c>
      <c r="AI572" s="8">
        <f t="shared" si="81"/>
        <v>0</v>
      </c>
    </row>
    <row r="573" spans="1:35" x14ac:dyDescent="0.55000000000000004">
      <c r="A573" s="1">
        <v>571</v>
      </c>
      <c r="B573" s="1" t="s">
        <v>20</v>
      </c>
      <c r="C573" s="1">
        <v>40</v>
      </c>
      <c r="D573" s="1">
        <v>3</v>
      </c>
      <c r="E573" s="1" t="s">
        <v>97</v>
      </c>
      <c r="F573" s="1" t="s">
        <v>98</v>
      </c>
      <c r="G573" s="1">
        <v>24</v>
      </c>
      <c r="H573" s="1">
        <v>2</v>
      </c>
      <c r="I573" s="1">
        <v>24030000</v>
      </c>
      <c r="J573" s="1">
        <v>844</v>
      </c>
      <c r="K573" s="1">
        <v>0</v>
      </c>
      <c r="L573" s="1">
        <v>14581</v>
      </c>
      <c r="M573" s="1">
        <v>13.931006999999999</v>
      </c>
      <c r="N573" s="1">
        <v>101.10615</v>
      </c>
      <c r="O573" s="1">
        <v>2.35</v>
      </c>
      <c r="P573" s="1">
        <v>0.08</v>
      </c>
      <c r="Q573" s="1">
        <v>32.509998000000003</v>
      </c>
      <c r="R573" s="1">
        <v>1.54</v>
      </c>
      <c r="S573" s="1">
        <v>0</v>
      </c>
      <c r="T573" s="1">
        <v>11.13</v>
      </c>
      <c r="U573" s="1">
        <v>2.62</v>
      </c>
      <c r="V573" s="1">
        <v>0</v>
      </c>
      <c r="W573" s="1">
        <v>0</v>
      </c>
      <c r="X573" s="1">
        <v>35297.957049999997</v>
      </c>
      <c r="Y573" s="1">
        <v>78993730.155599996</v>
      </c>
      <c r="Z573" t="str">
        <f>VLOOKUP(G573,'Code Pro'!$A$2:$B$9,2,FALSE)</f>
        <v>จ.ฉะเชิงเทรา</v>
      </c>
      <c r="AA573" s="8">
        <f t="shared" si="73"/>
        <v>185635265.86566001</v>
      </c>
      <c r="AB573" s="8">
        <f t="shared" si="74"/>
        <v>6319498.4124480002</v>
      </c>
      <c r="AC573" s="8">
        <f t="shared" si="75"/>
        <v>2568086009.3710957</v>
      </c>
      <c r="AD573" s="8">
        <f t="shared" si="76"/>
        <v>121650344.439624</v>
      </c>
      <c r="AE573" s="8">
        <f t="shared" si="77"/>
        <v>0</v>
      </c>
      <c r="AF573" s="8">
        <f t="shared" si="78"/>
        <v>879200216.63182807</v>
      </c>
      <c r="AG573" s="8">
        <f t="shared" si="79"/>
        <v>206963573.00767201</v>
      </c>
      <c r="AH573" s="8">
        <f t="shared" si="80"/>
        <v>0</v>
      </c>
      <c r="AI573" s="8">
        <f t="shared" si="81"/>
        <v>0</v>
      </c>
    </row>
    <row r="574" spans="1:35" x14ac:dyDescent="0.55000000000000004">
      <c r="A574" s="1">
        <v>572</v>
      </c>
      <c r="B574" s="1" t="s">
        <v>20</v>
      </c>
      <c r="C574" s="1">
        <v>40</v>
      </c>
      <c r="D574" s="1">
        <v>3</v>
      </c>
      <c r="E574" s="1" t="s">
        <v>97</v>
      </c>
      <c r="F574" s="1" t="s">
        <v>98</v>
      </c>
      <c r="G574" s="1">
        <v>24</v>
      </c>
      <c r="H574" s="1">
        <v>2</v>
      </c>
      <c r="I574" s="1">
        <v>24030000</v>
      </c>
      <c r="J574" s="1">
        <v>845</v>
      </c>
      <c r="K574" s="1">
        <v>0</v>
      </c>
      <c r="L574" s="1">
        <v>14701</v>
      </c>
      <c r="M574" s="1">
        <v>14.011680999999999</v>
      </c>
      <c r="N574" s="1">
        <v>101.10615</v>
      </c>
      <c r="O574" s="1">
        <v>0.08</v>
      </c>
      <c r="P574" s="1">
        <v>0.31</v>
      </c>
      <c r="Q574" s="1">
        <v>22.43</v>
      </c>
      <c r="R574" s="1">
        <v>2.87</v>
      </c>
      <c r="S574" s="1">
        <v>0</v>
      </c>
      <c r="T574" s="1">
        <v>11.88</v>
      </c>
      <c r="U574" s="1">
        <v>11.18</v>
      </c>
      <c r="V574" s="1">
        <v>0</v>
      </c>
      <c r="W574" s="1">
        <v>0</v>
      </c>
      <c r="X574" s="1">
        <v>13270.041938</v>
      </c>
      <c r="Y574" s="1">
        <v>1830270.6943699999</v>
      </c>
      <c r="Z574" t="str">
        <f>VLOOKUP(G574,'Code Pro'!$A$2:$B$9,2,FALSE)</f>
        <v>จ.ฉะเชิงเทรา</v>
      </c>
      <c r="AA574" s="8">
        <f t="shared" si="73"/>
        <v>146421.65554959999</v>
      </c>
      <c r="AB574" s="8">
        <f t="shared" si="74"/>
        <v>567383.9152547</v>
      </c>
      <c r="AC574" s="8">
        <f t="shared" si="75"/>
        <v>41052971.674719095</v>
      </c>
      <c r="AD574" s="8">
        <f t="shared" si="76"/>
        <v>5252876.8928418998</v>
      </c>
      <c r="AE574" s="8">
        <f t="shared" si="77"/>
        <v>0</v>
      </c>
      <c r="AF574" s="8">
        <f t="shared" si="78"/>
        <v>21743615.849115599</v>
      </c>
      <c r="AG574" s="8">
        <f t="shared" si="79"/>
        <v>20462426.3630566</v>
      </c>
      <c r="AH574" s="8">
        <f t="shared" si="80"/>
        <v>0</v>
      </c>
      <c r="AI574" s="8">
        <f t="shared" si="81"/>
        <v>0</v>
      </c>
    </row>
    <row r="575" spans="1:35" x14ac:dyDescent="0.55000000000000004">
      <c r="A575" s="1">
        <v>573</v>
      </c>
      <c r="B575" s="1" t="s">
        <v>20</v>
      </c>
      <c r="C575" s="1">
        <v>40</v>
      </c>
      <c r="D575" s="1">
        <v>3</v>
      </c>
      <c r="E575" s="1" t="s">
        <v>97</v>
      </c>
      <c r="F575" s="1" t="s">
        <v>98</v>
      </c>
      <c r="G575" s="1">
        <v>24</v>
      </c>
      <c r="H575" s="1">
        <v>2</v>
      </c>
      <c r="I575" s="1">
        <v>24030000</v>
      </c>
      <c r="J575" s="1">
        <v>846</v>
      </c>
      <c r="K575" s="1">
        <v>0</v>
      </c>
      <c r="L575" s="1">
        <v>14582</v>
      </c>
      <c r="M575" s="1">
        <v>13.931006999999999</v>
      </c>
      <c r="N575" s="1">
        <v>101.189285</v>
      </c>
      <c r="O575" s="1">
        <v>0.97</v>
      </c>
      <c r="P575" s="1">
        <v>0.31</v>
      </c>
      <c r="Q575" s="1">
        <v>25.959999</v>
      </c>
      <c r="R575" s="1">
        <v>2.39</v>
      </c>
      <c r="S575" s="1">
        <v>0.94</v>
      </c>
      <c r="T575" s="1">
        <v>7.26</v>
      </c>
      <c r="U575" s="1">
        <v>7.1</v>
      </c>
      <c r="V575" s="1">
        <v>0</v>
      </c>
      <c r="W575" s="1">
        <v>0</v>
      </c>
      <c r="X575" s="1">
        <v>19669.057884000002</v>
      </c>
      <c r="Y575" s="1">
        <v>5109599.7289399998</v>
      </c>
      <c r="Z575" t="str">
        <f>VLOOKUP(G575,'Code Pro'!$A$2:$B$9,2,FALSE)</f>
        <v>จ.ฉะเชิงเทรา</v>
      </c>
      <c r="AA575" s="8">
        <f t="shared" si="73"/>
        <v>4956311.7370718</v>
      </c>
      <c r="AB575" s="8">
        <f t="shared" si="74"/>
        <v>1583975.9159714</v>
      </c>
      <c r="AC575" s="8">
        <f t="shared" si="75"/>
        <v>132645203.85368267</v>
      </c>
      <c r="AD575" s="8">
        <f t="shared" si="76"/>
        <v>12211943.352166601</v>
      </c>
      <c r="AE575" s="8">
        <f t="shared" si="77"/>
        <v>4803023.7452035993</v>
      </c>
      <c r="AF575" s="8">
        <f t="shared" si="78"/>
        <v>37095694.032104395</v>
      </c>
      <c r="AG575" s="8">
        <f t="shared" si="79"/>
        <v>36278158.075473994</v>
      </c>
      <c r="AH575" s="8">
        <f t="shared" si="80"/>
        <v>0</v>
      </c>
      <c r="AI575" s="8">
        <f t="shared" si="81"/>
        <v>0</v>
      </c>
    </row>
    <row r="576" spans="1:35" x14ac:dyDescent="0.55000000000000004">
      <c r="A576" s="1">
        <v>574</v>
      </c>
      <c r="B576" s="1" t="s">
        <v>20</v>
      </c>
      <c r="C576" s="1">
        <v>41</v>
      </c>
      <c r="D576" s="1">
        <v>4</v>
      </c>
      <c r="E576" s="1" t="s">
        <v>99</v>
      </c>
      <c r="F576" s="1" t="s">
        <v>100</v>
      </c>
      <c r="G576" s="1">
        <v>24</v>
      </c>
      <c r="H576" s="1">
        <v>2</v>
      </c>
      <c r="I576" s="1">
        <v>24040000</v>
      </c>
      <c r="J576" s="1">
        <v>684</v>
      </c>
      <c r="K576" s="1">
        <v>0</v>
      </c>
      <c r="L576" s="1">
        <v>13859</v>
      </c>
      <c r="M576" s="1">
        <v>13.446358</v>
      </c>
      <c r="N576" s="1">
        <v>100.93988</v>
      </c>
      <c r="O576" s="1">
        <v>0.5</v>
      </c>
      <c r="P576" s="1">
        <v>5.71</v>
      </c>
      <c r="Q576" s="1">
        <v>0.03</v>
      </c>
      <c r="R576" s="1">
        <v>5</v>
      </c>
      <c r="S576" s="1">
        <v>5.15</v>
      </c>
      <c r="T576" s="1">
        <v>23.23</v>
      </c>
      <c r="U576" s="1">
        <v>6.55</v>
      </c>
      <c r="V576" s="1">
        <v>0.49</v>
      </c>
      <c r="W576" s="1">
        <v>0</v>
      </c>
      <c r="X576" s="1">
        <v>23604.345352</v>
      </c>
      <c r="Y576" s="1">
        <v>20065946.987100001</v>
      </c>
      <c r="Z576" t="str">
        <f>VLOOKUP(G576,'Code Pro'!$A$2:$B$9,2,FALSE)</f>
        <v>จ.ฉะเชิงเทรา</v>
      </c>
      <c r="AA576" s="8">
        <f t="shared" si="73"/>
        <v>10032973.493550001</v>
      </c>
      <c r="AB576" s="8">
        <f t="shared" si="74"/>
        <v>114576557.296341</v>
      </c>
      <c r="AC576" s="8">
        <f t="shared" si="75"/>
        <v>601978.409613</v>
      </c>
      <c r="AD576" s="8">
        <f t="shared" si="76"/>
        <v>100329734.93550001</v>
      </c>
      <c r="AE576" s="8">
        <f t="shared" si="77"/>
        <v>103339626.98356502</v>
      </c>
      <c r="AF576" s="8">
        <f t="shared" si="78"/>
        <v>466131948.51033306</v>
      </c>
      <c r="AG576" s="8">
        <f t="shared" si="79"/>
        <v>131431952.765505</v>
      </c>
      <c r="AH576" s="8">
        <f t="shared" si="80"/>
        <v>9832314.0236790013</v>
      </c>
      <c r="AI576" s="8">
        <f t="shared" si="81"/>
        <v>0</v>
      </c>
    </row>
    <row r="577" spans="1:35" x14ac:dyDescent="0.55000000000000004">
      <c r="A577" s="1">
        <v>575</v>
      </c>
      <c r="B577" s="1" t="s">
        <v>20</v>
      </c>
      <c r="C577" s="1">
        <v>41</v>
      </c>
      <c r="D577" s="1">
        <v>4</v>
      </c>
      <c r="E577" s="1" t="s">
        <v>99</v>
      </c>
      <c r="F577" s="1" t="s">
        <v>100</v>
      </c>
      <c r="G577" s="1">
        <v>24</v>
      </c>
      <c r="H577" s="1">
        <v>2</v>
      </c>
      <c r="I577" s="1">
        <v>24040000</v>
      </c>
      <c r="J577" s="1">
        <v>685</v>
      </c>
      <c r="K577" s="1">
        <v>0</v>
      </c>
      <c r="L577" s="1">
        <v>13858</v>
      </c>
      <c r="M577" s="1">
        <v>13.446358</v>
      </c>
      <c r="N577" s="1">
        <v>100.85674</v>
      </c>
      <c r="O577" s="1">
        <v>0.44</v>
      </c>
      <c r="P577" s="1">
        <v>0.08</v>
      </c>
      <c r="Q577" s="1">
        <v>0</v>
      </c>
      <c r="R577" s="1">
        <v>3.86</v>
      </c>
      <c r="S577" s="1">
        <v>4.29</v>
      </c>
      <c r="T577" s="1">
        <v>32.889999000000003</v>
      </c>
      <c r="U577" s="1">
        <v>6.44</v>
      </c>
      <c r="V577" s="1">
        <v>0.62</v>
      </c>
      <c r="W577" s="1">
        <v>0</v>
      </c>
      <c r="X577" s="1">
        <v>13790.996633000001</v>
      </c>
      <c r="Y577" s="1">
        <v>8247737.6838999996</v>
      </c>
      <c r="Z577" t="str">
        <f>VLOOKUP(G577,'Code Pro'!$A$2:$B$9,2,FALSE)</f>
        <v>จ.ฉะเชิงเทรา</v>
      </c>
      <c r="AA577" s="8">
        <f t="shared" si="73"/>
        <v>3629004.5809160001</v>
      </c>
      <c r="AB577" s="8">
        <f t="shared" si="74"/>
        <v>659819.01471200003</v>
      </c>
      <c r="AC577" s="8">
        <f t="shared" si="75"/>
        <v>0</v>
      </c>
      <c r="AD577" s="8">
        <f t="shared" si="76"/>
        <v>31836267.459853996</v>
      </c>
      <c r="AE577" s="8">
        <f t="shared" si="77"/>
        <v>35382794.663930997</v>
      </c>
      <c r="AF577" s="8">
        <f t="shared" si="78"/>
        <v>271268084.17573333</v>
      </c>
      <c r="AG577" s="8">
        <f t="shared" si="79"/>
        <v>53115430.684316002</v>
      </c>
      <c r="AH577" s="8">
        <f t="shared" si="80"/>
        <v>5113597.3640179997</v>
      </c>
      <c r="AI577" s="8">
        <f t="shared" si="81"/>
        <v>0</v>
      </c>
    </row>
    <row r="578" spans="1:35" x14ac:dyDescent="0.55000000000000004">
      <c r="A578" s="1">
        <v>576</v>
      </c>
      <c r="B578" s="1" t="s">
        <v>20</v>
      </c>
      <c r="C578" s="1">
        <v>41</v>
      </c>
      <c r="D578" s="1">
        <v>4</v>
      </c>
      <c r="E578" s="1" t="s">
        <v>99</v>
      </c>
      <c r="F578" s="1" t="s">
        <v>100</v>
      </c>
      <c r="G578" s="1">
        <v>24</v>
      </c>
      <c r="H578" s="1">
        <v>2</v>
      </c>
      <c r="I578" s="1">
        <v>24040000</v>
      </c>
      <c r="J578" s="1">
        <v>692</v>
      </c>
      <c r="K578" s="1">
        <v>0</v>
      </c>
      <c r="L578" s="1">
        <v>13860</v>
      </c>
      <c r="M578" s="1">
        <v>13.446358</v>
      </c>
      <c r="N578" s="1">
        <v>101.02302</v>
      </c>
      <c r="O578" s="1">
        <v>0.03</v>
      </c>
      <c r="P578" s="1">
        <v>41.380001</v>
      </c>
      <c r="Q578" s="1">
        <v>4.1100000000000003</v>
      </c>
      <c r="R578" s="1">
        <v>3.2</v>
      </c>
      <c r="S578" s="1">
        <v>0.97</v>
      </c>
      <c r="T578" s="1">
        <v>44.740001999999997</v>
      </c>
      <c r="U578" s="1">
        <v>5.44</v>
      </c>
      <c r="V578" s="1">
        <v>0</v>
      </c>
      <c r="W578" s="1">
        <v>0</v>
      </c>
      <c r="X578" s="1">
        <v>17482.180415999999</v>
      </c>
      <c r="Y578" s="1">
        <v>12945058.4737</v>
      </c>
      <c r="Z578" t="str">
        <f>VLOOKUP(G578,'Code Pro'!$A$2:$B$9,2,FALSE)</f>
        <v>จ.ฉะเชิงเทรา</v>
      </c>
      <c r="AA578" s="8">
        <f t="shared" si="73"/>
        <v>388351.75421099999</v>
      </c>
      <c r="AB578" s="8">
        <f t="shared" si="74"/>
        <v>535666532.58676445</v>
      </c>
      <c r="AC578" s="8">
        <f t="shared" si="75"/>
        <v>53204190.326907001</v>
      </c>
      <c r="AD578" s="8">
        <f t="shared" si="76"/>
        <v>41424187.115840003</v>
      </c>
      <c r="AE578" s="8">
        <f t="shared" si="77"/>
        <v>12556706.719488999</v>
      </c>
      <c r="AF578" s="8">
        <f t="shared" si="78"/>
        <v>579161942.00345492</v>
      </c>
      <c r="AG578" s="8">
        <f t="shared" si="79"/>
        <v>70421118.096928</v>
      </c>
      <c r="AH578" s="8">
        <f t="shared" si="80"/>
        <v>0</v>
      </c>
      <c r="AI578" s="8">
        <f t="shared" si="81"/>
        <v>0</v>
      </c>
    </row>
    <row r="579" spans="1:35" x14ac:dyDescent="0.55000000000000004">
      <c r="A579" s="1">
        <v>577</v>
      </c>
      <c r="B579" s="1" t="s">
        <v>20</v>
      </c>
      <c r="C579" s="1">
        <v>41</v>
      </c>
      <c r="D579" s="1">
        <v>4</v>
      </c>
      <c r="E579" s="1" t="s">
        <v>99</v>
      </c>
      <c r="F579" s="1" t="s">
        <v>100</v>
      </c>
      <c r="G579" s="1">
        <v>24</v>
      </c>
      <c r="H579" s="1">
        <v>2</v>
      </c>
      <c r="I579" s="1">
        <v>24040000</v>
      </c>
      <c r="J579" s="1">
        <v>706</v>
      </c>
      <c r="K579" s="1">
        <v>0</v>
      </c>
      <c r="L579" s="1">
        <v>13978</v>
      </c>
      <c r="M579" s="1">
        <v>13.527199</v>
      </c>
      <c r="N579" s="1">
        <v>100.85674</v>
      </c>
      <c r="O579" s="1">
        <v>3.53</v>
      </c>
      <c r="P579" s="1">
        <v>0.38</v>
      </c>
      <c r="Q579" s="1">
        <v>0.01</v>
      </c>
      <c r="R579" s="1">
        <v>4.33</v>
      </c>
      <c r="S579" s="1">
        <v>2.0499999999999998</v>
      </c>
      <c r="T579" s="1">
        <v>14.13</v>
      </c>
      <c r="U579" s="1">
        <v>7.92</v>
      </c>
      <c r="V579" s="1">
        <v>0.5</v>
      </c>
      <c r="W579" s="1">
        <v>0</v>
      </c>
      <c r="X579" s="1">
        <v>23393.652192000001</v>
      </c>
      <c r="Y579" s="1">
        <v>20028123.445900001</v>
      </c>
      <c r="Z579" t="str">
        <f>VLOOKUP(G579,'Code Pro'!$A$2:$B$9,2,FALSE)</f>
        <v>จ.ฉะเชิงเทรา</v>
      </c>
      <c r="AA579" s="8">
        <f t="shared" ref="AA579:AA642" si="82">+O579*$Y579</f>
        <v>70699275.764026999</v>
      </c>
      <c r="AB579" s="8">
        <f t="shared" ref="AB579:AB642" si="83">+P579*$Y579</f>
        <v>7610686.9094420001</v>
      </c>
      <c r="AC579" s="8">
        <f t="shared" ref="AC579:AC642" si="84">+Q579*$Y579</f>
        <v>200281.234459</v>
      </c>
      <c r="AD579" s="8">
        <f t="shared" ref="AD579:AD642" si="85">+R579*$Y579</f>
        <v>86721774.520747006</v>
      </c>
      <c r="AE579" s="8">
        <f t="shared" ref="AE579:AE642" si="86">+S579*$Y579</f>
        <v>41057653.064094998</v>
      </c>
      <c r="AF579" s="8">
        <f t="shared" ref="AF579:AF642" si="87">+T579*$Y579</f>
        <v>282997384.29056704</v>
      </c>
      <c r="AG579" s="8">
        <f t="shared" ref="AG579:AG642" si="88">+U579*$Y579</f>
        <v>158622737.69152799</v>
      </c>
      <c r="AH579" s="8">
        <f t="shared" ref="AH579:AH642" si="89">+V579*$Y579</f>
        <v>10014061.72295</v>
      </c>
      <c r="AI579" s="8">
        <f t="shared" ref="AI579:AI642" si="90">+W579*$Y579</f>
        <v>0</v>
      </c>
    </row>
    <row r="580" spans="1:35" x14ac:dyDescent="0.55000000000000004">
      <c r="A580" s="1">
        <v>578</v>
      </c>
      <c r="B580" s="1" t="s">
        <v>20</v>
      </c>
      <c r="C580" s="1">
        <v>41</v>
      </c>
      <c r="D580" s="1">
        <v>4</v>
      </c>
      <c r="E580" s="1" t="s">
        <v>99</v>
      </c>
      <c r="F580" s="1" t="s">
        <v>100</v>
      </c>
      <c r="G580" s="1">
        <v>24</v>
      </c>
      <c r="H580" s="1">
        <v>2</v>
      </c>
      <c r="I580" s="1">
        <v>24040000</v>
      </c>
      <c r="J580" s="1">
        <v>714</v>
      </c>
      <c r="K580" s="1">
        <v>0</v>
      </c>
      <c r="L580" s="1">
        <v>13980</v>
      </c>
      <c r="M580" s="1">
        <v>13.527199</v>
      </c>
      <c r="N580" s="1">
        <v>101.02302</v>
      </c>
      <c r="O580" s="1">
        <v>4.5199999999999996</v>
      </c>
      <c r="P580" s="1">
        <v>9.1</v>
      </c>
      <c r="Q580" s="1">
        <v>6.18</v>
      </c>
      <c r="R580" s="1">
        <v>3.52</v>
      </c>
      <c r="S580" s="1">
        <v>0.94</v>
      </c>
      <c r="T580" s="1">
        <v>28.809999000000001</v>
      </c>
      <c r="U580" s="1">
        <v>3.01</v>
      </c>
      <c r="V580" s="1">
        <v>0</v>
      </c>
      <c r="W580" s="1">
        <v>0</v>
      </c>
      <c r="X580" s="1">
        <v>34694.637648999997</v>
      </c>
      <c r="Y580" s="1">
        <v>64601743.004500002</v>
      </c>
      <c r="Z580" t="str">
        <f>VLOOKUP(G580,'Code Pro'!$A$2:$B$9,2,FALSE)</f>
        <v>จ.ฉะเชิงเทรา</v>
      </c>
      <c r="AA580" s="8">
        <f t="shared" si="82"/>
        <v>291999878.38033998</v>
      </c>
      <c r="AB580" s="8">
        <f t="shared" si="83"/>
        <v>587875861.34095001</v>
      </c>
      <c r="AC580" s="8">
        <f t="shared" si="84"/>
        <v>399238771.76780999</v>
      </c>
      <c r="AD580" s="8">
        <f t="shared" si="85"/>
        <v>227398135.37584001</v>
      </c>
      <c r="AE580" s="8">
        <f t="shared" si="86"/>
        <v>60725638.424229994</v>
      </c>
      <c r="AF580" s="8">
        <f t="shared" si="87"/>
        <v>1861176151.3579021</v>
      </c>
      <c r="AG580" s="8">
        <f t="shared" si="88"/>
        <v>194451246.44354498</v>
      </c>
      <c r="AH580" s="8">
        <f t="shared" si="89"/>
        <v>0</v>
      </c>
      <c r="AI580" s="8">
        <f t="shared" si="90"/>
        <v>0</v>
      </c>
    </row>
    <row r="581" spans="1:35" x14ac:dyDescent="0.55000000000000004">
      <c r="A581" s="1">
        <v>579</v>
      </c>
      <c r="B581" s="1" t="s">
        <v>20</v>
      </c>
      <c r="C581" s="1">
        <v>41</v>
      </c>
      <c r="D581" s="1">
        <v>4</v>
      </c>
      <c r="E581" s="1" t="s">
        <v>99</v>
      </c>
      <c r="F581" s="1" t="s">
        <v>100</v>
      </c>
      <c r="G581" s="1">
        <v>24</v>
      </c>
      <c r="H581" s="1">
        <v>2</v>
      </c>
      <c r="I581" s="1">
        <v>24040000</v>
      </c>
      <c r="J581" s="1">
        <v>715</v>
      </c>
      <c r="K581" s="1">
        <v>0</v>
      </c>
      <c r="L581" s="1">
        <v>13979</v>
      </c>
      <c r="M581" s="1">
        <v>13.527199</v>
      </c>
      <c r="N581" s="1">
        <v>100.93988</v>
      </c>
      <c r="O581" s="1">
        <v>10.19</v>
      </c>
      <c r="P581" s="1">
        <v>1.52</v>
      </c>
      <c r="Q581" s="1">
        <v>0.35</v>
      </c>
      <c r="R581" s="1">
        <v>0.93</v>
      </c>
      <c r="S581" s="1">
        <v>5.91</v>
      </c>
      <c r="T581" s="1">
        <v>11.75</v>
      </c>
      <c r="U581" s="1">
        <v>7.64</v>
      </c>
      <c r="V581" s="1">
        <v>0.1</v>
      </c>
      <c r="W581" s="1">
        <v>0</v>
      </c>
      <c r="X581" s="1">
        <v>35779.646678999998</v>
      </c>
      <c r="Y581" s="1">
        <v>79039715.898100004</v>
      </c>
      <c r="Z581" t="str">
        <f>VLOOKUP(G581,'Code Pro'!$A$2:$B$9,2,FALSE)</f>
        <v>จ.ฉะเชิงเทรา</v>
      </c>
      <c r="AA581" s="8">
        <f t="shared" si="82"/>
        <v>805414705.00163901</v>
      </c>
      <c r="AB581" s="8">
        <f t="shared" si="83"/>
        <v>120140368.165112</v>
      </c>
      <c r="AC581" s="8">
        <f t="shared" si="84"/>
        <v>27663900.564335</v>
      </c>
      <c r="AD581" s="8">
        <f t="shared" si="85"/>
        <v>73506935.785233006</v>
      </c>
      <c r="AE581" s="8">
        <f t="shared" si="86"/>
        <v>467124720.957771</v>
      </c>
      <c r="AF581" s="8">
        <f t="shared" si="87"/>
        <v>928716661.80267501</v>
      </c>
      <c r="AG581" s="8">
        <f t="shared" si="88"/>
        <v>603863429.46148396</v>
      </c>
      <c r="AH581" s="8">
        <f t="shared" si="89"/>
        <v>7903971.5898100007</v>
      </c>
      <c r="AI581" s="8">
        <f t="shared" si="90"/>
        <v>0</v>
      </c>
    </row>
    <row r="582" spans="1:35" x14ac:dyDescent="0.55000000000000004">
      <c r="A582" s="1">
        <v>580</v>
      </c>
      <c r="B582" s="1" t="s">
        <v>20</v>
      </c>
      <c r="C582" s="1">
        <v>41</v>
      </c>
      <c r="D582" s="1">
        <v>4</v>
      </c>
      <c r="E582" s="1" t="s">
        <v>99</v>
      </c>
      <c r="F582" s="1" t="s">
        <v>100</v>
      </c>
      <c r="G582" s="1">
        <v>24</v>
      </c>
      <c r="H582" s="1">
        <v>2</v>
      </c>
      <c r="I582" s="1">
        <v>24040000</v>
      </c>
      <c r="J582" s="1">
        <v>718</v>
      </c>
      <c r="K582" s="1">
        <v>0</v>
      </c>
      <c r="L582" s="1">
        <v>14099</v>
      </c>
      <c r="M582" s="1">
        <v>13.608017</v>
      </c>
      <c r="N582" s="1">
        <v>100.93988</v>
      </c>
      <c r="O582" s="1">
        <v>2.58</v>
      </c>
      <c r="P582" s="1">
        <v>0.1</v>
      </c>
      <c r="Q582" s="1">
        <v>0.12</v>
      </c>
      <c r="R582" s="1">
        <v>53.419998</v>
      </c>
      <c r="S582" s="1">
        <v>1.21</v>
      </c>
      <c r="T582" s="1">
        <v>7.41</v>
      </c>
      <c r="U582" s="1">
        <v>22.219999000000001</v>
      </c>
      <c r="V582" s="1">
        <v>0.25</v>
      </c>
      <c r="W582" s="1">
        <v>0</v>
      </c>
      <c r="X582" s="1">
        <v>27822.709588999998</v>
      </c>
      <c r="Y582" s="1">
        <v>39679071.701800004</v>
      </c>
      <c r="Z582" t="str">
        <f>VLOOKUP(G582,'Code Pro'!$A$2:$B$9,2,FALSE)</f>
        <v>จ.ฉะเชิงเทรา</v>
      </c>
      <c r="AA582" s="8">
        <f t="shared" si="82"/>
        <v>102372004.99064401</v>
      </c>
      <c r="AB582" s="8">
        <f t="shared" si="83"/>
        <v>3967907.1701800004</v>
      </c>
      <c r="AC582" s="8">
        <f t="shared" si="84"/>
        <v>4761488.6042160001</v>
      </c>
      <c r="AD582" s="8">
        <f t="shared" si="85"/>
        <v>2119655930.9520128</v>
      </c>
      <c r="AE582" s="8">
        <f t="shared" si="86"/>
        <v>48011676.759178005</v>
      </c>
      <c r="AF582" s="8">
        <f t="shared" si="87"/>
        <v>294021921.31033802</v>
      </c>
      <c r="AG582" s="8">
        <f t="shared" si="88"/>
        <v>881668933.53492439</v>
      </c>
      <c r="AH582" s="8">
        <f t="shared" si="89"/>
        <v>9919767.9254500009</v>
      </c>
      <c r="AI582" s="8">
        <f t="shared" si="90"/>
        <v>0</v>
      </c>
    </row>
    <row r="583" spans="1:35" x14ac:dyDescent="0.55000000000000004">
      <c r="A583" s="1">
        <v>581</v>
      </c>
      <c r="B583" s="1" t="s">
        <v>20</v>
      </c>
      <c r="C583" s="1">
        <v>41</v>
      </c>
      <c r="D583" s="1">
        <v>4</v>
      </c>
      <c r="E583" s="1" t="s">
        <v>99</v>
      </c>
      <c r="F583" s="1" t="s">
        <v>100</v>
      </c>
      <c r="G583" s="1">
        <v>24</v>
      </c>
      <c r="H583" s="1">
        <v>2</v>
      </c>
      <c r="I583" s="1">
        <v>24040000</v>
      </c>
      <c r="J583" s="1">
        <v>720</v>
      </c>
      <c r="K583" s="1">
        <v>0</v>
      </c>
      <c r="L583" s="1">
        <v>13981</v>
      </c>
      <c r="M583" s="1">
        <v>13.527199</v>
      </c>
      <c r="N583" s="1">
        <v>101.10615</v>
      </c>
      <c r="O583" s="1">
        <v>3.51</v>
      </c>
      <c r="P583" s="1">
        <v>6.94</v>
      </c>
      <c r="Q583" s="1">
        <v>0.25</v>
      </c>
      <c r="R583" s="1">
        <v>0.08</v>
      </c>
      <c r="S583" s="1">
        <v>0.13</v>
      </c>
      <c r="T583" s="1">
        <v>54.290000999999997</v>
      </c>
      <c r="U583" s="1">
        <v>1.47</v>
      </c>
      <c r="V583" s="1">
        <v>0</v>
      </c>
      <c r="W583" s="1">
        <v>0</v>
      </c>
      <c r="X583" s="1">
        <v>6480.2341500000002</v>
      </c>
      <c r="Y583" s="1">
        <v>1326386.2844799999</v>
      </c>
      <c r="Z583" t="str">
        <f>VLOOKUP(G583,'Code Pro'!$A$2:$B$9,2,FALSE)</f>
        <v>จ.ฉะเชิงเทรา</v>
      </c>
      <c r="AA583" s="8">
        <f t="shared" si="82"/>
        <v>4655615.8585247993</v>
      </c>
      <c r="AB583" s="8">
        <f t="shared" si="83"/>
        <v>9205120.8142911997</v>
      </c>
      <c r="AC583" s="8">
        <f t="shared" si="84"/>
        <v>331596.57111999998</v>
      </c>
      <c r="AD583" s="8">
        <f t="shared" si="85"/>
        <v>106110.9027584</v>
      </c>
      <c r="AE583" s="8">
        <f t="shared" si="86"/>
        <v>172430.21698239999</v>
      </c>
      <c r="AF583" s="8">
        <f t="shared" si="87"/>
        <v>72009512.710805476</v>
      </c>
      <c r="AG583" s="8">
        <f t="shared" si="88"/>
        <v>1949787.8381855998</v>
      </c>
      <c r="AH583" s="8">
        <f t="shared" si="89"/>
        <v>0</v>
      </c>
      <c r="AI583" s="8">
        <f t="shared" si="90"/>
        <v>0</v>
      </c>
    </row>
    <row r="584" spans="1:35" x14ac:dyDescent="0.55000000000000004">
      <c r="A584" s="1">
        <v>582</v>
      </c>
      <c r="B584" s="1" t="s">
        <v>20</v>
      </c>
      <c r="C584" s="1">
        <v>41</v>
      </c>
      <c r="D584" s="1">
        <v>4</v>
      </c>
      <c r="E584" s="1" t="s">
        <v>99</v>
      </c>
      <c r="F584" s="1" t="s">
        <v>100</v>
      </c>
      <c r="G584" s="1">
        <v>24</v>
      </c>
      <c r="H584" s="1">
        <v>2</v>
      </c>
      <c r="I584" s="1">
        <v>24040000</v>
      </c>
      <c r="J584" s="1">
        <v>723</v>
      </c>
      <c r="K584" s="1">
        <v>0</v>
      </c>
      <c r="L584" s="1">
        <v>14100</v>
      </c>
      <c r="M584" s="1">
        <v>13.608017</v>
      </c>
      <c r="N584" s="1">
        <v>101.02302</v>
      </c>
      <c r="O584" s="1">
        <v>1.5</v>
      </c>
      <c r="P584" s="1">
        <v>0.04</v>
      </c>
      <c r="Q584" s="1">
        <v>1.64</v>
      </c>
      <c r="R584" s="1">
        <v>8.5500000000000007</v>
      </c>
      <c r="S584" s="1">
        <v>1.58</v>
      </c>
      <c r="T584" s="1">
        <v>9.66</v>
      </c>
      <c r="U584" s="1">
        <v>21.65</v>
      </c>
      <c r="V584" s="1">
        <v>0.2</v>
      </c>
      <c r="W584" s="1">
        <v>0</v>
      </c>
      <c r="X584" s="1">
        <v>21858.946574000001</v>
      </c>
      <c r="Y584" s="1">
        <v>14423205.8322</v>
      </c>
      <c r="Z584" t="str">
        <f>VLOOKUP(G584,'Code Pro'!$A$2:$B$9,2,FALSE)</f>
        <v>จ.ฉะเชิงเทรา</v>
      </c>
      <c r="AA584" s="8">
        <f t="shared" si="82"/>
        <v>21634808.748300001</v>
      </c>
      <c r="AB584" s="8">
        <f t="shared" si="83"/>
        <v>576928.23328799999</v>
      </c>
      <c r="AC584" s="8">
        <f t="shared" si="84"/>
        <v>23654057.564808</v>
      </c>
      <c r="AD584" s="8">
        <f t="shared" si="85"/>
        <v>123318409.86531001</v>
      </c>
      <c r="AE584" s="8">
        <f t="shared" si="86"/>
        <v>22788665.214876</v>
      </c>
      <c r="AF584" s="8">
        <f t="shared" si="87"/>
        <v>139328168.33905199</v>
      </c>
      <c r="AG584" s="8">
        <f t="shared" si="88"/>
        <v>312262406.26712996</v>
      </c>
      <c r="AH584" s="8">
        <f t="shared" si="89"/>
        <v>2884641.1664400003</v>
      </c>
      <c r="AI584" s="8">
        <f t="shared" si="90"/>
        <v>0</v>
      </c>
    </row>
    <row r="585" spans="1:35" x14ac:dyDescent="0.55000000000000004">
      <c r="A585" s="1">
        <v>583</v>
      </c>
      <c r="B585" s="1" t="s">
        <v>20</v>
      </c>
      <c r="C585" s="1">
        <v>42</v>
      </c>
      <c r="D585" s="1">
        <v>5</v>
      </c>
      <c r="E585" s="1" t="s">
        <v>101</v>
      </c>
      <c r="F585" s="1" t="s">
        <v>102</v>
      </c>
      <c r="G585" s="1">
        <v>24</v>
      </c>
      <c r="H585" s="1">
        <v>2</v>
      </c>
      <c r="I585" s="1">
        <v>24050000</v>
      </c>
      <c r="J585" s="1">
        <v>714</v>
      </c>
      <c r="K585" s="1">
        <v>0</v>
      </c>
      <c r="L585" s="1">
        <v>13980</v>
      </c>
      <c r="M585" s="1">
        <v>13.527199</v>
      </c>
      <c r="N585" s="1">
        <v>101.02302</v>
      </c>
      <c r="O585" s="1">
        <v>4.5199999999999996</v>
      </c>
      <c r="P585" s="1">
        <v>9.1</v>
      </c>
      <c r="Q585" s="1">
        <v>6.18</v>
      </c>
      <c r="R585" s="1">
        <v>3.52</v>
      </c>
      <c r="S585" s="1">
        <v>0.94</v>
      </c>
      <c r="T585" s="1">
        <v>28.809999000000001</v>
      </c>
      <c r="U585" s="1">
        <v>3.01</v>
      </c>
      <c r="V585" s="1">
        <v>0</v>
      </c>
      <c r="W585" s="1">
        <v>0</v>
      </c>
      <c r="X585" s="1">
        <v>14457.802207000001</v>
      </c>
      <c r="Y585" s="1">
        <v>7447470.1090900004</v>
      </c>
      <c r="Z585" t="str">
        <f>VLOOKUP(G585,'Code Pro'!$A$2:$B$9,2,FALSE)</f>
        <v>จ.ฉะเชิงเทรา</v>
      </c>
      <c r="AA585" s="8">
        <f t="shared" si="82"/>
        <v>33662564.893086798</v>
      </c>
      <c r="AB585" s="8">
        <f t="shared" si="83"/>
        <v>67771977.992718995</v>
      </c>
      <c r="AC585" s="8">
        <f t="shared" si="84"/>
        <v>46025365.274176203</v>
      </c>
      <c r="AD585" s="8">
        <f t="shared" si="85"/>
        <v>26215094.783996802</v>
      </c>
      <c r="AE585" s="8">
        <f t="shared" si="86"/>
        <v>7000621.9025446</v>
      </c>
      <c r="AF585" s="8">
        <f t="shared" si="87"/>
        <v>214561606.3954128</v>
      </c>
      <c r="AG585" s="8">
        <f t="shared" si="88"/>
        <v>22416885.0283609</v>
      </c>
      <c r="AH585" s="8">
        <f t="shared" si="89"/>
        <v>0</v>
      </c>
      <c r="AI585" s="8">
        <f t="shared" si="90"/>
        <v>0</v>
      </c>
    </row>
    <row r="586" spans="1:35" x14ac:dyDescent="0.55000000000000004">
      <c r="A586" s="1">
        <v>584</v>
      </c>
      <c r="B586" s="1" t="s">
        <v>20</v>
      </c>
      <c r="C586" s="1">
        <v>42</v>
      </c>
      <c r="D586" s="1">
        <v>5</v>
      </c>
      <c r="E586" s="1" t="s">
        <v>101</v>
      </c>
      <c r="F586" s="1" t="s">
        <v>102</v>
      </c>
      <c r="G586" s="1">
        <v>24</v>
      </c>
      <c r="H586" s="1">
        <v>2</v>
      </c>
      <c r="I586" s="1">
        <v>24050000</v>
      </c>
      <c r="J586" s="1">
        <v>716</v>
      </c>
      <c r="K586" s="1">
        <v>0</v>
      </c>
      <c r="L586" s="1">
        <v>14101</v>
      </c>
      <c r="M586" s="1">
        <v>13.608017</v>
      </c>
      <c r="N586" s="1">
        <v>101.10615</v>
      </c>
      <c r="O586" s="1">
        <v>9.66</v>
      </c>
      <c r="P586" s="1">
        <v>0.01</v>
      </c>
      <c r="Q586" s="1">
        <v>0.54</v>
      </c>
      <c r="R586" s="1">
        <v>0.17</v>
      </c>
      <c r="S586" s="1">
        <v>1.17</v>
      </c>
      <c r="T586" s="1">
        <v>7.87</v>
      </c>
      <c r="U586" s="1">
        <v>21.27</v>
      </c>
      <c r="V586" s="1">
        <v>0</v>
      </c>
      <c r="W586" s="1">
        <v>0</v>
      </c>
      <c r="X586" s="1">
        <v>36233.968180000003</v>
      </c>
      <c r="Y586" s="1">
        <v>69998406.755799994</v>
      </c>
      <c r="Z586" t="str">
        <f>VLOOKUP(G586,'Code Pro'!$A$2:$B$9,2,FALSE)</f>
        <v>จ.ฉะเชิงเทรา</v>
      </c>
      <c r="AA586" s="8">
        <f t="shared" si="82"/>
        <v>676184609.26102793</v>
      </c>
      <c r="AB586" s="8">
        <f t="shared" si="83"/>
        <v>699984.06755799998</v>
      </c>
      <c r="AC586" s="8">
        <f t="shared" si="84"/>
        <v>37799139.648131996</v>
      </c>
      <c r="AD586" s="8">
        <f t="shared" si="85"/>
        <v>11899729.148486</v>
      </c>
      <c r="AE586" s="8">
        <f t="shared" si="86"/>
        <v>81898135.904285982</v>
      </c>
      <c r="AF586" s="8">
        <f t="shared" si="87"/>
        <v>550887461.16814601</v>
      </c>
      <c r="AG586" s="8">
        <f t="shared" si="88"/>
        <v>1488866111.6958659</v>
      </c>
      <c r="AH586" s="8">
        <f t="shared" si="89"/>
        <v>0</v>
      </c>
      <c r="AI586" s="8">
        <f t="shared" si="90"/>
        <v>0</v>
      </c>
    </row>
    <row r="587" spans="1:35" x14ac:dyDescent="0.55000000000000004">
      <c r="A587" s="1">
        <v>585</v>
      </c>
      <c r="B587" s="1" t="s">
        <v>20</v>
      </c>
      <c r="C587" s="1">
        <v>42</v>
      </c>
      <c r="D587" s="1">
        <v>5</v>
      </c>
      <c r="E587" s="1" t="s">
        <v>101</v>
      </c>
      <c r="F587" s="1" t="s">
        <v>102</v>
      </c>
      <c r="G587" s="1">
        <v>24</v>
      </c>
      <c r="H587" s="1">
        <v>2</v>
      </c>
      <c r="I587" s="1">
        <v>24050000</v>
      </c>
      <c r="J587" s="1">
        <v>718</v>
      </c>
      <c r="K587" s="1">
        <v>0</v>
      </c>
      <c r="L587" s="1">
        <v>14099</v>
      </c>
      <c r="M587" s="1">
        <v>13.608017</v>
      </c>
      <c r="N587" s="1">
        <v>100.93988</v>
      </c>
      <c r="O587" s="1">
        <v>2.58</v>
      </c>
      <c r="P587" s="1">
        <v>0.1</v>
      </c>
      <c r="Q587" s="1">
        <v>0.12</v>
      </c>
      <c r="R587" s="1">
        <v>53.419998</v>
      </c>
      <c r="S587" s="1">
        <v>1.21</v>
      </c>
      <c r="T587" s="1">
        <v>7.41</v>
      </c>
      <c r="U587" s="1">
        <v>22.219999000000001</v>
      </c>
      <c r="V587" s="1">
        <v>0.25</v>
      </c>
      <c r="W587" s="1">
        <v>0</v>
      </c>
      <c r="X587" s="1">
        <v>11368.287979000001</v>
      </c>
      <c r="Y587" s="1">
        <v>5717765.5738399997</v>
      </c>
      <c r="Z587" t="str">
        <f>VLOOKUP(G587,'Code Pro'!$A$2:$B$9,2,FALSE)</f>
        <v>จ.ฉะเชิงเทรา</v>
      </c>
      <c r="AA587" s="8">
        <f t="shared" si="82"/>
        <v>14751835.1805072</v>
      </c>
      <c r="AB587" s="8">
        <f t="shared" si="83"/>
        <v>571776.55738400004</v>
      </c>
      <c r="AC587" s="8">
        <f t="shared" si="84"/>
        <v>686131.86886079994</v>
      </c>
      <c r="AD587" s="8">
        <f t="shared" si="85"/>
        <v>305443025.51900166</v>
      </c>
      <c r="AE587" s="8">
        <f t="shared" si="86"/>
        <v>6918496.3443463994</v>
      </c>
      <c r="AF587" s="8">
        <f t="shared" si="87"/>
        <v>42368642.902154401</v>
      </c>
      <c r="AG587" s="8">
        <f t="shared" si="88"/>
        <v>127048745.33295923</v>
      </c>
      <c r="AH587" s="8">
        <f t="shared" si="89"/>
        <v>1429441.3934599999</v>
      </c>
      <c r="AI587" s="8">
        <f t="shared" si="90"/>
        <v>0</v>
      </c>
    </row>
    <row r="588" spans="1:35" x14ac:dyDescent="0.55000000000000004">
      <c r="A588" s="1">
        <v>586</v>
      </c>
      <c r="B588" s="1" t="s">
        <v>20</v>
      </c>
      <c r="C588" s="1">
        <v>42</v>
      </c>
      <c r="D588" s="1">
        <v>5</v>
      </c>
      <c r="E588" s="1" t="s">
        <v>101</v>
      </c>
      <c r="F588" s="1" t="s">
        <v>102</v>
      </c>
      <c r="G588" s="1">
        <v>24</v>
      </c>
      <c r="H588" s="1">
        <v>2</v>
      </c>
      <c r="I588" s="1">
        <v>24050000</v>
      </c>
      <c r="J588" s="1">
        <v>720</v>
      </c>
      <c r="K588" s="1">
        <v>0</v>
      </c>
      <c r="L588" s="1">
        <v>13981</v>
      </c>
      <c r="M588" s="1">
        <v>13.527199</v>
      </c>
      <c r="N588" s="1">
        <v>101.10615</v>
      </c>
      <c r="O588" s="1">
        <v>3.51</v>
      </c>
      <c r="P588" s="1">
        <v>6.94</v>
      </c>
      <c r="Q588" s="1">
        <v>0.25</v>
      </c>
      <c r="R588" s="1">
        <v>0.08</v>
      </c>
      <c r="S588" s="1">
        <v>0.13</v>
      </c>
      <c r="T588" s="1">
        <v>54.290000999999997</v>
      </c>
      <c r="U588" s="1">
        <v>1.47</v>
      </c>
      <c r="V588" s="1">
        <v>0</v>
      </c>
      <c r="W588" s="1">
        <v>0</v>
      </c>
      <c r="X588" s="1">
        <v>15971.248485</v>
      </c>
      <c r="Y588" s="1">
        <v>6152824.3474000003</v>
      </c>
      <c r="Z588" t="str">
        <f>VLOOKUP(G588,'Code Pro'!$A$2:$B$9,2,FALSE)</f>
        <v>จ.ฉะเชิงเทรา</v>
      </c>
      <c r="AA588" s="8">
        <f t="shared" si="82"/>
        <v>21596413.459373999</v>
      </c>
      <c r="AB588" s="8">
        <f t="shared" si="83"/>
        <v>42700600.970956005</v>
      </c>
      <c r="AC588" s="8">
        <f t="shared" si="84"/>
        <v>1538206.0868500001</v>
      </c>
      <c r="AD588" s="8">
        <f t="shared" si="85"/>
        <v>492225.94779200002</v>
      </c>
      <c r="AE588" s="8">
        <f t="shared" si="86"/>
        <v>799867.16516200011</v>
      </c>
      <c r="AF588" s="8">
        <f t="shared" si="87"/>
        <v>334036839.97317034</v>
      </c>
      <c r="AG588" s="8">
        <f t="shared" si="88"/>
        <v>9044651.7906780001</v>
      </c>
      <c r="AH588" s="8">
        <f t="shared" si="89"/>
        <v>0</v>
      </c>
      <c r="AI588" s="8">
        <f t="shared" si="90"/>
        <v>0</v>
      </c>
    </row>
    <row r="589" spans="1:35" x14ac:dyDescent="0.55000000000000004">
      <c r="A589" s="1">
        <v>587</v>
      </c>
      <c r="B589" s="1" t="s">
        <v>20</v>
      </c>
      <c r="C589" s="1">
        <v>42</v>
      </c>
      <c r="D589" s="1">
        <v>5</v>
      </c>
      <c r="E589" s="1" t="s">
        <v>101</v>
      </c>
      <c r="F589" s="1" t="s">
        <v>102</v>
      </c>
      <c r="G589" s="1">
        <v>24</v>
      </c>
      <c r="H589" s="1">
        <v>2</v>
      </c>
      <c r="I589" s="1">
        <v>24050000</v>
      </c>
      <c r="J589" s="1">
        <v>722</v>
      </c>
      <c r="K589" s="1">
        <v>0</v>
      </c>
      <c r="L589" s="1">
        <v>14219</v>
      </c>
      <c r="M589" s="1">
        <v>13.688805</v>
      </c>
      <c r="N589" s="1">
        <v>100.93988</v>
      </c>
      <c r="O589" s="1">
        <v>2.09</v>
      </c>
      <c r="P589" s="1">
        <v>3.29</v>
      </c>
      <c r="Q589" s="1">
        <v>7.77</v>
      </c>
      <c r="R589" s="1">
        <v>0.81</v>
      </c>
      <c r="S589" s="1">
        <v>0.87</v>
      </c>
      <c r="T589" s="1">
        <v>8.94</v>
      </c>
      <c r="U589" s="1">
        <v>8.8699999999999992</v>
      </c>
      <c r="V589" s="1">
        <v>0.61</v>
      </c>
      <c r="W589" s="1">
        <v>0</v>
      </c>
      <c r="X589" s="1">
        <v>21289.104345</v>
      </c>
      <c r="Y589" s="1">
        <v>16721496.0296</v>
      </c>
      <c r="Z589" t="str">
        <f>VLOOKUP(G589,'Code Pro'!$A$2:$B$9,2,FALSE)</f>
        <v>จ.ฉะเชิงเทรา</v>
      </c>
      <c r="AA589" s="8">
        <f t="shared" si="82"/>
        <v>34947926.701863997</v>
      </c>
      <c r="AB589" s="8">
        <f t="shared" si="83"/>
        <v>55013721.937384002</v>
      </c>
      <c r="AC589" s="8">
        <f t="shared" si="84"/>
        <v>129926024.14999199</v>
      </c>
      <c r="AD589" s="8">
        <f t="shared" si="85"/>
        <v>13544411.783976002</v>
      </c>
      <c r="AE589" s="8">
        <f t="shared" si="86"/>
        <v>14547701.545752</v>
      </c>
      <c r="AF589" s="8">
        <f t="shared" si="87"/>
        <v>149490174.50462398</v>
      </c>
      <c r="AG589" s="8">
        <f t="shared" si="88"/>
        <v>148319669.78255197</v>
      </c>
      <c r="AH589" s="8">
        <f t="shared" si="89"/>
        <v>10200112.578056</v>
      </c>
      <c r="AI589" s="8">
        <f t="shared" si="90"/>
        <v>0</v>
      </c>
    </row>
    <row r="590" spans="1:35" x14ac:dyDescent="0.55000000000000004">
      <c r="A590" s="1">
        <v>588</v>
      </c>
      <c r="B590" s="1" t="s">
        <v>20</v>
      </c>
      <c r="C590" s="1">
        <v>42</v>
      </c>
      <c r="D590" s="1">
        <v>5</v>
      </c>
      <c r="E590" s="1" t="s">
        <v>101</v>
      </c>
      <c r="F590" s="1" t="s">
        <v>102</v>
      </c>
      <c r="G590" s="1">
        <v>24</v>
      </c>
      <c r="H590" s="1">
        <v>2</v>
      </c>
      <c r="I590" s="1">
        <v>24050000</v>
      </c>
      <c r="J590" s="1">
        <v>723</v>
      </c>
      <c r="K590" s="1">
        <v>0</v>
      </c>
      <c r="L590" s="1">
        <v>14100</v>
      </c>
      <c r="M590" s="1">
        <v>13.608017</v>
      </c>
      <c r="N590" s="1">
        <v>101.02302</v>
      </c>
      <c r="O590" s="1">
        <v>1.5</v>
      </c>
      <c r="P590" s="1">
        <v>0.04</v>
      </c>
      <c r="Q590" s="1">
        <v>1.64</v>
      </c>
      <c r="R590" s="1">
        <v>8.5500000000000007</v>
      </c>
      <c r="S590" s="1">
        <v>1.58</v>
      </c>
      <c r="T590" s="1">
        <v>9.66</v>
      </c>
      <c r="U590" s="1">
        <v>21.65</v>
      </c>
      <c r="V590" s="1">
        <v>0.2</v>
      </c>
      <c r="W590" s="1">
        <v>0</v>
      </c>
      <c r="X590" s="1">
        <v>37184.776023999999</v>
      </c>
      <c r="Y590" s="1">
        <v>61222788.389200002</v>
      </c>
      <c r="Z590" t="str">
        <f>VLOOKUP(G590,'Code Pro'!$A$2:$B$9,2,FALSE)</f>
        <v>จ.ฉะเชิงเทรา</v>
      </c>
      <c r="AA590" s="8">
        <f t="shared" si="82"/>
        <v>91834182.583800003</v>
      </c>
      <c r="AB590" s="8">
        <f t="shared" si="83"/>
        <v>2448911.5355680003</v>
      </c>
      <c r="AC590" s="8">
        <f t="shared" si="84"/>
        <v>100405372.958288</v>
      </c>
      <c r="AD590" s="8">
        <f t="shared" si="85"/>
        <v>523454840.72766006</v>
      </c>
      <c r="AE590" s="8">
        <f t="shared" si="86"/>
        <v>96732005.654936001</v>
      </c>
      <c r="AF590" s="8">
        <f t="shared" si="87"/>
        <v>591412135.83967197</v>
      </c>
      <c r="AG590" s="8">
        <f t="shared" si="88"/>
        <v>1325473368.6261799</v>
      </c>
      <c r="AH590" s="8">
        <f t="shared" si="89"/>
        <v>12244557.677840002</v>
      </c>
      <c r="AI590" s="8">
        <f t="shared" si="90"/>
        <v>0</v>
      </c>
    </row>
    <row r="591" spans="1:35" x14ac:dyDescent="0.55000000000000004">
      <c r="A591" s="1">
        <v>589</v>
      </c>
      <c r="B591" s="1" t="s">
        <v>20</v>
      </c>
      <c r="C591" s="1">
        <v>42</v>
      </c>
      <c r="D591" s="1">
        <v>5</v>
      </c>
      <c r="E591" s="1" t="s">
        <v>101</v>
      </c>
      <c r="F591" s="1" t="s">
        <v>102</v>
      </c>
      <c r="G591" s="1">
        <v>24</v>
      </c>
      <c r="H591" s="1">
        <v>2</v>
      </c>
      <c r="I591" s="1">
        <v>24050000</v>
      </c>
      <c r="J591" s="1">
        <v>728</v>
      </c>
      <c r="K591" s="1">
        <v>0</v>
      </c>
      <c r="L591" s="1">
        <v>14220</v>
      </c>
      <c r="M591" s="1">
        <v>13.688805</v>
      </c>
      <c r="N591" s="1">
        <v>101.02302</v>
      </c>
      <c r="O591" s="1">
        <v>3.87</v>
      </c>
      <c r="P591" s="1">
        <v>0</v>
      </c>
      <c r="Q591" s="1">
        <v>6.1</v>
      </c>
      <c r="R591" s="1">
        <v>7.65</v>
      </c>
      <c r="S591" s="1">
        <v>0.39</v>
      </c>
      <c r="T591" s="1">
        <v>6.36</v>
      </c>
      <c r="U591" s="1">
        <v>28.030000999999999</v>
      </c>
      <c r="V591" s="1">
        <v>0</v>
      </c>
      <c r="W591" s="1">
        <v>0</v>
      </c>
      <c r="X591" s="1">
        <v>8880.2481740000003</v>
      </c>
      <c r="Y591" s="1">
        <v>1634090.88858</v>
      </c>
      <c r="Z591" t="str">
        <f>VLOOKUP(G591,'Code Pro'!$A$2:$B$9,2,FALSE)</f>
        <v>จ.ฉะเชิงเทรา</v>
      </c>
      <c r="AA591" s="8">
        <f t="shared" si="82"/>
        <v>6323931.7388046002</v>
      </c>
      <c r="AB591" s="8">
        <f t="shared" si="83"/>
        <v>0</v>
      </c>
      <c r="AC591" s="8">
        <f t="shared" si="84"/>
        <v>9967954.4203379992</v>
      </c>
      <c r="AD591" s="8">
        <f t="shared" si="85"/>
        <v>12500795.297637001</v>
      </c>
      <c r="AE591" s="8">
        <f t="shared" si="86"/>
        <v>637295.44654620008</v>
      </c>
      <c r="AF591" s="8">
        <f t="shared" si="87"/>
        <v>10392818.051368801</v>
      </c>
      <c r="AG591" s="8">
        <f t="shared" si="88"/>
        <v>45803569.240988284</v>
      </c>
      <c r="AH591" s="8">
        <f t="shared" si="89"/>
        <v>0</v>
      </c>
      <c r="AI591" s="8">
        <f t="shared" si="90"/>
        <v>0</v>
      </c>
    </row>
    <row r="592" spans="1:35" x14ac:dyDescent="0.55000000000000004">
      <c r="A592" s="1">
        <v>590</v>
      </c>
      <c r="B592" s="1" t="s">
        <v>20</v>
      </c>
      <c r="C592" s="1">
        <v>42</v>
      </c>
      <c r="D592" s="1">
        <v>5</v>
      </c>
      <c r="E592" s="1" t="s">
        <v>101</v>
      </c>
      <c r="F592" s="1" t="s">
        <v>102</v>
      </c>
      <c r="G592" s="1">
        <v>24</v>
      </c>
      <c r="H592" s="1">
        <v>2</v>
      </c>
      <c r="I592" s="1">
        <v>24050000</v>
      </c>
      <c r="J592" s="1">
        <v>731</v>
      </c>
      <c r="K592" s="1">
        <v>0</v>
      </c>
      <c r="L592" s="1">
        <v>14221</v>
      </c>
      <c r="M592" s="1">
        <v>13.688805</v>
      </c>
      <c r="N592" s="1">
        <v>101.10615</v>
      </c>
      <c r="O592" s="1">
        <v>18.200001</v>
      </c>
      <c r="P592" s="1">
        <v>0</v>
      </c>
      <c r="Q592" s="1">
        <v>3.39</v>
      </c>
      <c r="R592" s="1">
        <v>0.27</v>
      </c>
      <c r="S592" s="1">
        <v>0.08</v>
      </c>
      <c r="T592" s="1">
        <v>8.5500000000000007</v>
      </c>
      <c r="U592" s="1">
        <v>31.200001</v>
      </c>
      <c r="V592" s="1">
        <v>0</v>
      </c>
      <c r="W592" s="1">
        <v>0</v>
      </c>
      <c r="X592" s="1">
        <v>5865.7987050000002</v>
      </c>
      <c r="Y592" s="1">
        <v>842550.09325499996</v>
      </c>
      <c r="Z592" t="str">
        <f>VLOOKUP(G592,'Code Pro'!$A$2:$B$9,2,FALSE)</f>
        <v>จ.ฉะเชิงเทรา</v>
      </c>
      <c r="AA592" s="8">
        <f t="shared" si="82"/>
        <v>15334412.539791092</v>
      </c>
      <c r="AB592" s="8">
        <f t="shared" si="83"/>
        <v>0</v>
      </c>
      <c r="AC592" s="8">
        <f t="shared" si="84"/>
        <v>2856244.81613445</v>
      </c>
      <c r="AD592" s="8">
        <f t="shared" si="85"/>
        <v>227488.52517885002</v>
      </c>
      <c r="AE592" s="8">
        <f t="shared" si="86"/>
        <v>67404.007460399996</v>
      </c>
      <c r="AF592" s="8">
        <f t="shared" si="87"/>
        <v>7203803.29733025</v>
      </c>
      <c r="AG592" s="8">
        <f t="shared" si="88"/>
        <v>26287563.752106093</v>
      </c>
      <c r="AH592" s="8">
        <f t="shared" si="89"/>
        <v>0</v>
      </c>
      <c r="AI592" s="8">
        <f t="shared" si="90"/>
        <v>0</v>
      </c>
    </row>
    <row r="593" spans="1:35" x14ac:dyDescent="0.55000000000000004">
      <c r="A593" s="1">
        <v>591</v>
      </c>
      <c r="B593" s="1" t="s">
        <v>20</v>
      </c>
      <c r="C593" s="1">
        <v>42</v>
      </c>
      <c r="D593" s="1">
        <v>5</v>
      </c>
      <c r="E593" s="1" t="s">
        <v>101</v>
      </c>
      <c r="F593" s="1" t="s">
        <v>102</v>
      </c>
      <c r="G593" s="1">
        <v>24</v>
      </c>
      <c r="H593" s="1">
        <v>2</v>
      </c>
      <c r="I593" s="1">
        <v>24050000</v>
      </c>
      <c r="J593" s="1">
        <v>776</v>
      </c>
      <c r="K593" s="1">
        <v>0</v>
      </c>
      <c r="L593" s="1">
        <v>14102</v>
      </c>
      <c r="M593" s="1">
        <v>13.608017</v>
      </c>
      <c r="N593" s="1">
        <v>101.189285</v>
      </c>
      <c r="O593" s="1">
        <v>43.639999000000003</v>
      </c>
      <c r="P593" s="1">
        <v>0</v>
      </c>
      <c r="Q593" s="1">
        <v>0.56000000000000005</v>
      </c>
      <c r="R593" s="1">
        <v>0.14000000000000001</v>
      </c>
      <c r="S593" s="1">
        <v>1.47</v>
      </c>
      <c r="T593" s="1">
        <v>8.0399999999999991</v>
      </c>
      <c r="U593" s="1">
        <v>8.4600000000000009</v>
      </c>
      <c r="V593" s="1">
        <v>0.19</v>
      </c>
      <c r="W593" s="1">
        <v>0</v>
      </c>
      <c r="X593" s="1">
        <v>30945.504257000001</v>
      </c>
      <c r="Y593" s="1">
        <v>38499972.098800004</v>
      </c>
      <c r="Z593" t="str">
        <f>VLOOKUP(G593,'Code Pro'!$A$2:$B$9,2,FALSE)</f>
        <v>จ.ฉะเชิงเทรา</v>
      </c>
      <c r="AA593" s="8">
        <f t="shared" si="82"/>
        <v>1680138743.8916602</v>
      </c>
      <c r="AB593" s="8">
        <f t="shared" si="83"/>
        <v>0</v>
      </c>
      <c r="AC593" s="8">
        <f t="shared" si="84"/>
        <v>21559984.375328004</v>
      </c>
      <c r="AD593" s="8">
        <f t="shared" si="85"/>
        <v>5389996.0938320011</v>
      </c>
      <c r="AE593" s="8">
        <f t="shared" si="86"/>
        <v>56594958.985236004</v>
      </c>
      <c r="AF593" s="8">
        <f t="shared" si="87"/>
        <v>309539775.67435199</v>
      </c>
      <c r="AG593" s="8">
        <f t="shared" si="88"/>
        <v>325709763.95584804</v>
      </c>
      <c r="AH593" s="8">
        <f t="shared" si="89"/>
        <v>7314994.6987720011</v>
      </c>
      <c r="AI593" s="8">
        <f t="shared" si="90"/>
        <v>0</v>
      </c>
    </row>
    <row r="594" spans="1:35" x14ac:dyDescent="0.55000000000000004">
      <c r="A594" s="1">
        <v>592</v>
      </c>
      <c r="B594" s="1" t="s">
        <v>20</v>
      </c>
      <c r="C594" s="1">
        <v>42</v>
      </c>
      <c r="D594" s="1">
        <v>5</v>
      </c>
      <c r="E594" s="1" t="s">
        <v>101</v>
      </c>
      <c r="F594" s="1" t="s">
        <v>102</v>
      </c>
      <c r="G594" s="1">
        <v>24</v>
      </c>
      <c r="H594" s="1">
        <v>2</v>
      </c>
      <c r="I594" s="1">
        <v>24050000</v>
      </c>
      <c r="J594" s="1">
        <v>779</v>
      </c>
      <c r="K594" s="1">
        <v>0</v>
      </c>
      <c r="L594" s="1">
        <v>14103</v>
      </c>
      <c r="M594" s="1">
        <v>13.608017</v>
      </c>
      <c r="N594" s="1">
        <v>101.27242</v>
      </c>
      <c r="O594" s="1">
        <v>55.900002000000001</v>
      </c>
      <c r="P594" s="1">
        <v>11.87</v>
      </c>
      <c r="Q594" s="1">
        <v>0.64</v>
      </c>
      <c r="R594" s="1">
        <v>3.48</v>
      </c>
      <c r="S594" s="1">
        <v>3.59</v>
      </c>
      <c r="T594" s="1">
        <v>6.66</v>
      </c>
      <c r="U594" s="1">
        <v>20.74</v>
      </c>
      <c r="V594" s="1">
        <v>0.14000000000000001</v>
      </c>
      <c r="W594" s="1">
        <v>0.05</v>
      </c>
      <c r="X594" s="1">
        <v>10068.269910000001</v>
      </c>
      <c r="Y594" s="1">
        <v>3002690.77868</v>
      </c>
      <c r="Z594" t="str">
        <f>VLOOKUP(G594,'Code Pro'!$A$2:$B$9,2,FALSE)</f>
        <v>จ.ฉะเชิงเทรา</v>
      </c>
      <c r="AA594" s="8">
        <f t="shared" si="82"/>
        <v>167850420.53359357</v>
      </c>
      <c r="AB594" s="8">
        <f t="shared" si="83"/>
        <v>35641939.542931594</v>
      </c>
      <c r="AC594" s="8">
        <f t="shared" si="84"/>
        <v>1921722.0983552001</v>
      </c>
      <c r="AD594" s="8">
        <f t="shared" si="85"/>
        <v>10449363.909806401</v>
      </c>
      <c r="AE594" s="8">
        <f t="shared" si="86"/>
        <v>10779659.8954612</v>
      </c>
      <c r="AF594" s="8">
        <f t="shared" si="87"/>
        <v>19997920.586008802</v>
      </c>
      <c r="AG594" s="8">
        <f t="shared" si="88"/>
        <v>62275806.749823198</v>
      </c>
      <c r="AH594" s="8">
        <f t="shared" si="89"/>
        <v>420376.70901520003</v>
      </c>
      <c r="AI594" s="8">
        <f t="shared" si="90"/>
        <v>150134.53893400001</v>
      </c>
    </row>
    <row r="595" spans="1:35" x14ac:dyDescent="0.55000000000000004">
      <c r="A595" s="1">
        <v>593</v>
      </c>
      <c r="B595" s="1" t="s">
        <v>20</v>
      </c>
      <c r="C595" s="1">
        <v>43</v>
      </c>
      <c r="D595" s="1">
        <v>6</v>
      </c>
      <c r="E595" s="1" t="s">
        <v>103</v>
      </c>
      <c r="F595" s="1" t="s">
        <v>104</v>
      </c>
      <c r="G595" s="1">
        <v>24</v>
      </c>
      <c r="H595" s="1">
        <v>2</v>
      </c>
      <c r="I595" s="1">
        <v>24060000</v>
      </c>
      <c r="J595" s="1">
        <v>777</v>
      </c>
      <c r="K595" s="1">
        <v>0</v>
      </c>
      <c r="L595" s="1">
        <v>14223</v>
      </c>
      <c r="M595" s="1">
        <v>13.688805</v>
      </c>
      <c r="N595" s="1">
        <v>101.27242</v>
      </c>
      <c r="O595" s="1">
        <v>23.59</v>
      </c>
      <c r="P595" s="1">
        <v>0.16</v>
      </c>
      <c r="Q595" s="1">
        <v>7.06</v>
      </c>
      <c r="R595" s="1">
        <v>0.03</v>
      </c>
      <c r="S595" s="1">
        <v>0.77</v>
      </c>
      <c r="T595" s="1">
        <v>9.77</v>
      </c>
      <c r="U595" s="1">
        <v>12.61</v>
      </c>
      <c r="V595" s="1">
        <v>2.08</v>
      </c>
      <c r="W595" s="1">
        <v>0</v>
      </c>
      <c r="X595" s="1">
        <v>22519.078669999999</v>
      </c>
      <c r="Y595" s="1">
        <v>21552807.377799999</v>
      </c>
      <c r="Z595" t="str">
        <f>VLOOKUP(G595,'Code Pro'!$A$2:$B$9,2,FALSE)</f>
        <v>จ.ฉะเชิงเทรา</v>
      </c>
      <c r="AA595" s="8">
        <f t="shared" si="82"/>
        <v>508430726.04230195</v>
      </c>
      <c r="AB595" s="8">
        <f t="shared" si="83"/>
        <v>3448449.1804479999</v>
      </c>
      <c r="AC595" s="8">
        <f t="shared" si="84"/>
        <v>152162820.08726799</v>
      </c>
      <c r="AD595" s="8">
        <f t="shared" si="85"/>
        <v>646584.221334</v>
      </c>
      <c r="AE595" s="8">
        <f t="shared" si="86"/>
        <v>16595661.680906</v>
      </c>
      <c r="AF595" s="8">
        <f t="shared" si="87"/>
        <v>210570928.08110598</v>
      </c>
      <c r="AG595" s="8">
        <f t="shared" si="88"/>
        <v>271780901.03405797</v>
      </c>
      <c r="AH595" s="8">
        <f t="shared" si="89"/>
        <v>44829839.345823996</v>
      </c>
      <c r="AI595" s="8">
        <f t="shared" si="90"/>
        <v>0</v>
      </c>
    </row>
    <row r="596" spans="1:35" x14ac:dyDescent="0.55000000000000004">
      <c r="A596" s="1">
        <v>594</v>
      </c>
      <c r="B596" s="1" t="s">
        <v>20</v>
      </c>
      <c r="C596" s="1">
        <v>43</v>
      </c>
      <c r="D596" s="1">
        <v>6</v>
      </c>
      <c r="E596" s="1" t="s">
        <v>103</v>
      </c>
      <c r="F596" s="1" t="s">
        <v>104</v>
      </c>
      <c r="G596" s="1">
        <v>24</v>
      </c>
      <c r="H596" s="1">
        <v>2</v>
      </c>
      <c r="I596" s="1">
        <v>24060000</v>
      </c>
      <c r="J596" s="1">
        <v>780</v>
      </c>
      <c r="K596" s="1">
        <v>0</v>
      </c>
      <c r="L596" s="1">
        <v>14343</v>
      </c>
      <c r="M596" s="1">
        <v>13.769569000000001</v>
      </c>
      <c r="N596" s="1">
        <v>101.27242</v>
      </c>
      <c r="O596" s="1">
        <v>49.41</v>
      </c>
      <c r="P596" s="1">
        <v>1.31</v>
      </c>
      <c r="Q596" s="1">
        <v>9.1199999999999992</v>
      </c>
      <c r="R596" s="1">
        <v>0.08</v>
      </c>
      <c r="S596" s="1">
        <v>1.01</v>
      </c>
      <c r="T596" s="1">
        <v>9.6999999999999993</v>
      </c>
      <c r="U596" s="1">
        <v>4.63</v>
      </c>
      <c r="V596" s="1">
        <v>0.05</v>
      </c>
      <c r="W596" s="1">
        <v>0</v>
      </c>
      <c r="X596" s="1">
        <v>17121.872828</v>
      </c>
      <c r="Y596" s="1">
        <v>4118952.5428900002</v>
      </c>
      <c r="Z596" t="str">
        <f>VLOOKUP(G596,'Code Pro'!$A$2:$B$9,2,FALSE)</f>
        <v>จ.ฉะเชิงเทรา</v>
      </c>
      <c r="AA596" s="8">
        <f t="shared" si="82"/>
        <v>203517445.1441949</v>
      </c>
      <c r="AB596" s="8">
        <f t="shared" si="83"/>
        <v>5395827.8311859006</v>
      </c>
      <c r="AC596" s="8">
        <f t="shared" si="84"/>
        <v>37564847.191156797</v>
      </c>
      <c r="AD596" s="8">
        <f t="shared" si="85"/>
        <v>329516.2034312</v>
      </c>
      <c r="AE596" s="8">
        <f t="shared" si="86"/>
        <v>4160142.0683189002</v>
      </c>
      <c r="AF596" s="8">
        <f t="shared" si="87"/>
        <v>39953839.666033</v>
      </c>
      <c r="AG596" s="8">
        <f t="shared" si="88"/>
        <v>19070750.2735807</v>
      </c>
      <c r="AH596" s="8">
        <f t="shared" si="89"/>
        <v>205947.62714450003</v>
      </c>
      <c r="AI596" s="8">
        <f t="shared" si="90"/>
        <v>0</v>
      </c>
    </row>
    <row r="597" spans="1:35" x14ac:dyDescent="0.55000000000000004">
      <c r="A597" s="1">
        <v>595</v>
      </c>
      <c r="B597" s="1" t="s">
        <v>20</v>
      </c>
      <c r="C597" s="1">
        <v>43</v>
      </c>
      <c r="D597" s="1">
        <v>6</v>
      </c>
      <c r="E597" s="1" t="s">
        <v>103</v>
      </c>
      <c r="F597" s="1" t="s">
        <v>104</v>
      </c>
      <c r="G597" s="1">
        <v>24</v>
      </c>
      <c r="H597" s="1">
        <v>2</v>
      </c>
      <c r="I597" s="1">
        <v>24060000</v>
      </c>
      <c r="J597" s="1">
        <v>785</v>
      </c>
      <c r="K597" s="1">
        <v>0</v>
      </c>
      <c r="L597" s="1">
        <v>14104</v>
      </c>
      <c r="M597" s="1">
        <v>13.608017</v>
      </c>
      <c r="N597" s="1">
        <v>101.35556</v>
      </c>
      <c r="O597" s="1">
        <v>19.41</v>
      </c>
      <c r="P597" s="1">
        <v>0.08</v>
      </c>
      <c r="Q597" s="1">
        <v>0.55000000000000004</v>
      </c>
      <c r="R597" s="1">
        <v>8.59</v>
      </c>
      <c r="S597" s="1">
        <v>4.33</v>
      </c>
      <c r="T597" s="1">
        <v>22.6</v>
      </c>
      <c r="U597" s="1">
        <v>66.849997999999999</v>
      </c>
      <c r="V597" s="1">
        <v>0.64</v>
      </c>
      <c r="W597" s="1">
        <v>0.01</v>
      </c>
      <c r="X597" s="1">
        <v>24879.626423999998</v>
      </c>
      <c r="Y597" s="1">
        <v>25341760.434900001</v>
      </c>
      <c r="Z597" t="str">
        <f>VLOOKUP(G597,'Code Pro'!$A$2:$B$9,2,FALSE)</f>
        <v>จ.ฉะเชิงเทรา</v>
      </c>
      <c r="AA597" s="8">
        <f t="shared" si="82"/>
        <v>491883570.04140902</v>
      </c>
      <c r="AB597" s="8">
        <f t="shared" si="83"/>
        <v>2027340.834792</v>
      </c>
      <c r="AC597" s="8">
        <f t="shared" si="84"/>
        <v>13937968.239195002</v>
      </c>
      <c r="AD597" s="8">
        <f t="shared" si="85"/>
        <v>217685722.135791</v>
      </c>
      <c r="AE597" s="8">
        <f t="shared" si="86"/>
        <v>109729822.683117</v>
      </c>
      <c r="AF597" s="8">
        <f t="shared" si="87"/>
        <v>572723785.82874</v>
      </c>
      <c r="AG597" s="8">
        <f t="shared" si="88"/>
        <v>1694096634.3895442</v>
      </c>
      <c r="AH597" s="8">
        <f t="shared" si="89"/>
        <v>16218726.678336</v>
      </c>
      <c r="AI597" s="8">
        <f t="shared" si="90"/>
        <v>253417.604349</v>
      </c>
    </row>
    <row r="598" spans="1:35" x14ac:dyDescent="0.55000000000000004">
      <c r="A598" s="1">
        <v>596</v>
      </c>
      <c r="B598" s="1" t="s">
        <v>20</v>
      </c>
      <c r="C598" s="1">
        <v>43</v>
      </c>
      <c r="D598" s="1">
        <v>6</v>
      </c>
      <c r="E598" s="1" t="s">
        <v>103</v>
      </c>
      <c r="F598" s="1" t="s">
        <v>104</v>
      </c>
      <c r="G598" s="1">
        <v>24</v>
      </c>
      <c r="H598" s="1">
        <v>2</v>
      </c>
      <c r="I598" s="1">
        <v>24060000</v>
      </c>
      <c r="J598" s="1">
        <v>787</v>
      </c>
      <c r="K598" s="1">
        <v>0</v>
      </c>
      <c r="L598" s="1">
        <v>14105</v>
      </c>
      <c r="M598" s="1">
        <v>13.608017</v>
      </c>
      <c r="N598" s="1">
        <v>101.4387</v>
      </c>
      <c r="O598" s="1">
        <v>10.130000000000001</v>
      </c>
      <c r="P598" s="1">
        <v>0</v>
      </c>
      <c r="Q598" s="1">
        <v>0.43</v>
      </c>
      <c r="R598" s="1">
        <v>0.25</v>
      </c>
      <c r="S598" s="1">
        <v>2.06</v>
      </c>
      <c r="T598" s="1">
        <v>13.75</v>
      </c>
      <c r="U598" s="1">
        <v>4.55</v>
      </c>
      <c r="V598" s="1">
        <v>0.49</v>
      </c>
      <c r="W598" s="1">
        <v>0.31</v>
      </c>
      <c r="X598" s="1">
        <v>11222.380547999999</v>
      </c>
      <c r="Y598" s="1">
        <v>5012688.5932099996</v>
      </c>
      <c r="Z598" t="str">
        <f>VLOOKUP(G598,'Code Pro'!$A$2:$B$9,2,FALSE)</f>
        <v>จ.ฉะเชิงเทรา</v>
      </c>
      <c r="AA598" s="8">
        <f t="shared" si="82"/>
        <v>50778535.449217297</v>
      </c>
      <c r="AB598" s="8">
        <f t="shared" si="83"/>
        <v>0</v>
      </c>
      <c r="AC598" s="8">
        <f t="shared" si="84"/>
        <v>2155456.0950802998</v>
      </c>
      <c r="AD598" s="8">
        <f t="shared" si="85"/>
        <v>1253172.1483024999</v>
      </c>
      <c r="AE598" s="8">
        <f t="shared" si="86"/>
        <v>10326138.502012599</v>
      </c>
      <c r="AF598" s="8">
        <f t="shared" si="87"/>
        <v>68924468.15663749</v>
      </c>
      <c r="AG598" s="8">
        <f t="shared" si="88"/>
        <v>22807733.099105496</v>
      </c>
      <c r="AH598" s="8">
        <f t="shared" si="89"/>
        <v>2456217.4106728998</v>
      </c>
      <c r="AI598" s="8">
        <f t="shared" si="90"/>
        <v>1553933.4638950999</v>
      </c>
    </row>
    <row r="599" spans="1:35" x14ac:dyDescent="0.55000000000000004">
      <c r="A599" s="1">
        <v>597</v>
      </c>
      <c r="B599" s="1" t="s">
        <v>20</v>
      </c>
      <c r="C599" s="1">
        <v>43</v>
      </c>
      <c r="D599" s="1">
        <v>6</v>
      </c>
      <c r="E599" s="1" t="s">
        <v>103</v>
      </c>
      <c r="F599" s="1" t="s">
        <v>104</v>
      </c>
      <c r="G599" s="1">
        <v>24</v>
      </c>
      <c r="H599" s="1">
        <v>2</v>
      </c>
      <c r="I599" s="1">
        <v>24060000</v>
      </c>
      <c r="J599" s="1">
        <v>789</v>
      </c>
      <c r="K599" s="1">
        <v>0</v>
      </c>
      <c r="L599" s="1">
        <v>14224</v>
      </c>
      <c r="M599" s="1">
        <v>13.688805</v>
      </c>
      <c r="N599" s="1">
        <v>101.35556</v>
      </c>
      <c r="O599" s="1">
        <v>34.509998000000003</v>
      </c>
      <c r="P599" s="1">
        <v>4.0199999999999996</v>
      </c>
      <c r="Q599" s="1">
        <v>0.9</v>
      </c>
      <c r="R599" s="1">
        <v>1.62</v>
      </c>
      <c r="S599" s="1">
        <v>0.94</v>
      </c>
      <c r="T599" s="1">
        <v>9.74</v>
      </c>
      <c r="U599" s="1">
        <v>6.83</v>
      </c>
      <c r="V599" s="1">
        <v>17.989999999999998</v>
      </c>
      <c r="W599" s="1">
        <v>0</v>
      </c>
      <c r="X599" s="1">
        <v>35853.679784</v>
      </c>
      <c r="Y599" s="1">
        <v>80440497.322099999</v>
      </c>
      <c r="Z599" t="str">
        <f>VLOOKUP(G599,'Code Pro'!$A$2:$B$9,2,FALSE)</f>
        <v>จ.ฉะเชิงเทรา</v>
      </c>
      <c r="AA599" s="8">
        <f t="shared" si="82"/>
        <v>2776001401.7046766</v>
      </c>
      <c r="AB599" s="8">
        <f t="shared" si="83"/>
        <v>323370799.23484194</v>
      </c>
      <c r="AC599" s="8">
        <f t="shared" si="84"/>
        <v>72396447.589890003</v>
      </c>
      <c r="AD599" s="8">
        <f t="shared" si="85"/>
        <v>130313605.66180201</v>
      </c>
      <c r="AE599" s="8">
        <f t="shared" si="86"/>
        <v>75614067.482773989</v>
      </c>
      <c r="AF599" s="8">
        <f t="shared" si="87"/>
        <v>783490443.91725397</v>
      </c>
      <c r="AG599" s="8">
        <f t="shared" si="88"/>
        <v>549408596.70994294</v>
      </c>
      <c r="AH599" s="8">
        <f t="shared" si="89"/>
        <v>1447124546.8245788</v>
      </c>
      <c r="AI599" s="8">
        <f t="shared" si="90"/>
        <v>0</v>
      </c>
    </row>
    <row r="600" spans="1:35" x14ac:dyDescent="0.55000000000000004">
      <c r="A600" s="1">
        <v>598</v>
      </c>
      <c r="B600" s="1" t="s">
        <v>20</v>
      </c>
      <c r="C600" s="1">
        <v>43</v>
      </c>
      <c r="D600" s="1">
        <v>6</v>
      </c>
      <c r="E600" s="1" t="s">
        <v>103</v>
      </c>
      <c r="F600" s="1" t="s">
        <v>104</v>
      </c>
      <c r="G600" s="1">
        <v>24</v>
      </c>
      <c r="H600" s="1">
        <v>2</v>
      </c>
      <c r="I600" s="1">
        <v>24060000</v>
      </c>
      <c r="J600" s="1">
        <v>790</v>
      </c>
      <c r="K600" s="1">
        <v>0</v>
      </c>
      <c r="L600" s="1">
        <v>14345</v>
      </c>
      <c r="M600" s="1">
        <v>13.769569000000001</v>
      </c>
      <c r="N600" s="1">
        <v>101.4387</v>
      </c>
      <c r="O600" s="1">
        <v>0.92</v>
      </c>
      <c r="P600" s="1">
        <v>4.13</v>
      </c>
      <c r="Q600" s="1">
        <v>11.8</v>
      </c>
      <c r="R600" s="1">
        <v>11.5</v>
      </c>
      <c r="S600" s="1">
        <v>2.5499999999999998</v>
      </c>
      <c r="T600" s="1">
        <v>13.21</v>
      </c>
      <c r="U600" s="1">
        <v>2.54</v>
      </c>
      <c r="V600" s="1">
        <v>1.66</v>
      </c>
      <c r="W600" s="1">
        <v>0.03</v>
      </c>
      <c r="X600" s="1">
        <v>35864.863039000003</v>
      </c>
      <c r="Y600" s="1">
        <v>80392228.404100001</v>
      </c>
      <c r="Z600" t="str">
        <f>VLOOKUP(G600,'Code Pro'!$A$2:$B$9,2,FALSE)</f>
        <v>จ.ฉะเชิงเทรา</v>
      </c>
      <c r="AA600" s="8">
        <f t="shared" si="82"/>
        <v>73960850.131771997</v>
      </c>
      <c r="AB600" s="8">
        <f t="shared" si="83"/>
        <v>332019903.30893302</v>
      </c>
      <c r="AC600" s="8">
        <f t="shared" si="84"/>
        <v>948628295.16838002</v>
      </c>
      <c r="AD600" s="8">
        <f t="shared" si="85"/>
        <v>924510626.64715004</v>
      </c>
      <c r="AE600" s="8">
        <f t="shared" si="86"/>
        <v>205000182.430455</v>
      </c>
      <c r="AF600" s="8">
        <f t="shared" si="87"/>
        <v>1061981337.2181611</v>
      </c>
      <c r="AG600" s="8">
        <f t="shared" si="88"/>
        <v>204196260.14641401</v>
      </c>
      <c r="AH600" s="8">
        <f t="shared" si="89"/>
        <v>133451099.15080599</v>
      </c>
      <c r="AI600" s="8">
        <f t="shared" si="90"/>
        <v>2411766.8521229997</v>
      </c>
    </row>
    <row r="601" spans="1:35" x14ac:dyDescent="0.55000000000000004">
      <c r="A601" s="1">
        <v>599</v>
      </c>
      <c r="B601" s="1" t="s">
        <v>20</v>
      </c>
      <c r="C601" s="1">
        <v>43</v>
      </c>
      <c r="D601" s="1">
        <v>6</v>
      </c>
      <c r="E601" s="1" t="s">
        <v>103</v>
      </c>
      <c r="F601" s="1" t="s">
        <v>104</v>
      </c>
      <c r="G601" s="1">
        <v>24</v>
      </c>
      <c r="H601" s="1">
        <v>2</v>
      </c>
      <c r="I601" s="1">
        <v>24060000</v>
      </c>
      <c r="J601" s="1">
        <v>791</v>
      </c>
      <c r="K601" s="1">
        <v>0</v>
      </c>
      <c r="L601" s="1">
        <v>14344</v>
      </c>
      <c r="M601" s="1">
        <v>13.769569000000001</v>
      </c>
      <c r="N601" s="1">
        <v>101.35556</v>
      </c>
      <c r="O601" s="1">
        <v>23.120000999999998</v>
      </c>
      <c r="P601" s="1">
        <v>0.06</v>
      </c>
      <c r="Q601" s="1">
        <v>16.850000000000001</v>
      </c>
      <c r="R601" s="1">
        <v>0.05</v>
      </c>
      <c r="S601" s="1">
        <v>0.01</v>
      </c>
      <c r="T601" s="1">
        <v>7.81</v>
      </c>
      <c r="U601" s="1">
        <v>8.5500000000000007</v>
      </c>
      <c r="V601" s="1">
        <v>6.08</v>
      </c>
      <c r="W601" s="1">
        <v>0.24</v>
      </c>
      <c r="X601" s="1">
        <v>37412.444618000001</v>
      </c>
      <c r="Y601" s="1">
        <v>79414083.699900001</v>
      </c>
      <c r="Z601" t="str">
        <f>VLOOKUP(G601,'Code Pro'!$A$2:$B$9,2,FALSE)</f>
        <v>จ.ฉะเชิงเทรา</v>
      </c>
      <c r="AA601" s="8">
        <f t="shared" si="82"/>
        <v>1836053694.5557716</v>
      </c>
      <c r="AB601" s="8">
        <f t="shared" si="83"/>
        <v>4764845.0219940003</v>
      </c>
      <c r="AC601" s="8">
        <f t="shared" si="84"/>
        <v>1338127310.3433151</v>
      </c>
      <c r="AD601" s="8">
        <f t="shared" si="85"/>
        <v>3970704.1849950003</v>
      </c>
      <c r="AE601" s="8">
        <f t="shared" si="86"/>
        <v>794140.83699900005</v>
      </c>
      <c r="AF601" s="8">
        <f t="shared" si="87"/>
        <v>620223993.69621897</v>
      </c>
      <c r="AG601" s="8">
        <f t="shared" si="88"/>
        <v>678990415.63414502</v>
      </c>
      <c r="AH601" s="8">
        <f t="shared" si="89"/>
        <v>482837628.895392</v>
      </c>
      <c r="AI601" s="8">
        <f t="shared" si="90"/>
        <v>19059380.087976001</v>
      </c>
    </row>
    <row r="602" spans="1:35" x14ac:dyDescent="0.55000000000000004">
      <c r="A602" s="1">
        <v>600</v>
      </c>
      <c r="B602" s="1" t="s">
        <v>20</v>
      </c>
      <c r="C602" s="1">
        <v>43</v>
      </c>
      <c r="D602" s="1">
        <v>6</v>
      </c>
      <c r="E602" s="1" t="s">
        <v>103</v>
      </c>
      <c r="F602" s="1" t="s">
        <v>104</v>
      </c>
      <c r="G602" s="1">
        <v>24</v>
      </c>
      <c r="H602" s="1">
        <v>2</v>
      </c>
      <c r="I602" s="1">
        <v>24060000</v>
      </c>
      <c r="J602" s="1">
        <v>792</v>
      </c>
      <c r="K602" s="1">
        <v>0</v>
      </c>
      <c r="L602" s="1">
        <v>14225</v>
      </c>
      <c r="M602" s="1">
        <v>13.688805</v>
      </c>
      <c r="N602" s="1">
        <v>101.4387</v>
      </c>
      <c r="O602" s="1">
        <v>23.57</v>
      </c>
      <c r="P602" s="1">
        <v>0.03</v>
      </c>
      <c r="Q602" s="1">
        <v>1.1599999999999999</v>
      </c>
      <c r="R602" s="1">
        <v>9.65</v>
      </c>
      <c r="S602" s="1">
        <v>0.71</v>
      </c>
      <c r="T602" s="1">
        <v>24.84</v>
      </c>
      <c r="U602" s="1">
        <v>1.1200000000000001</v>
      </c>
      <c r="V602" s="1">
        <v>16.77</v>
      </c>
      <c r="W602" s="1">
        <v>0</v>
      </c>
      <c r="X602" s="1">
        <v>36279.774233999997</v>
      </c>
      <c r="Y602" s="1">
        <v>56524344.590800002</v>
      </c>
      <c r="Z602" t="str">
        <f>VLOOKUP(G602,'Code Pro'!$A$2:$B$9,2,FALSE)</f>
        <v>จ.ฉะเชิงเทรา</v>
      </c>
      <c r="AA602" s="8">
        <f t="shared" si="82"/>
        <v>1332278802.005156</v>
      </c>
      <c r="AB602" s="8">
        <f t="shared" si="83"/>
        <v>1695730.337724</v>
      </c>
      <c r="AC602" s="8">
        <f t="shared" si="84"/>
        <v>65568239.725327998</v>
      </c>
      <c r="AD602" s="8">
        <f t="shared" si="85"/>
        <v>545459925.30122006</v>
      </c>
      <c r="AE602" s="8">
        <f t="shared" si="86"/>
        <v>40132284.659468003</v>
      </c>
      <c r="AF602" s="8">
        <f t="shared" si="87"/>
        <v>1404064719.6354721</v>
      </c>
      <c r="AG602" s="8">
        <f t="shared" si="88"/>
        <v>63307265.941696011</v>
      </c>
      <c r="AH602" s="8">
        <f t="shared" si="89"/>
        <v>947913258.78771603</v>
      </c>
      <c r="AI602" s="8">
        <f t="shared" si="90"/>
        <v>0</v>
      </c>
    </row>
    <row r="603" spans="1:35" x14ac:dyDescent="0.55000000000000004">
      <c r="A603" s="1">
        <v>601</v>
      </c>
      <c r="B603" s="1" t="s">
        <v>20</v>
      </c>
      <c r="C603" s="1">
        <v>43</v>
      </c>
      <c r="D603" s="1">
        <v>6</v>
      </c>
      <c r="E603" s="1" t="s">
        <v>103</v>
      </c>
      <c r="F603" s="1" t="s">
        <v>104</v>
      </c>
      <c r="G603" s="1">
        <v>24</v>
      </c>
      <c r="H603" s="1">
        <v>2</v>
      </c>
      <c r="I603" s="1">
        <v>24060000</v>
      </c>
      <c r="J603" s="1">
        <v>794</v>
      </c>
      <c r="K603" s="1">
        <v>0</v>
      </c>
      <c r="L603" s="1">
        <v>14465</v>
      </c>
      <c r="M603" s="1">
        <v>13.850304</v>
      </c>
      <c r="N603" s="1">
        <v>101.4387</v>
      </c>
      <c r="O603" s="1">
        <v>0.01</v>
      </c>
      <c r="P603" s="1">
        <v>12.42</v>
      </c>
      <c r="Q603" s="1">
        <v>13.19</v>
      </c>
      <c r="R603" s="1">
        <v>8.01</v>
      </c>
      <c r="S603" s="1">
        <v>2.57</v>
      </c>
      <c r="T603" s="1">
        <v>4.07</v>
      </c>
      <c r="U603" s="1">
        <v>20.399999999999999</v>
      </c>
      <c r="V603" s="1">
        <v>1.97</v>
      </c>
      <c r="W603" s="1">
        <v>0</v>
      </c>
      <c r="X603" s="1">
        <v>23481.000806</v>
      </c>
      <c r="Y603" s="1">
        <v>19692024.2293</v>
      </c>
      <c r="Z603" t="str">
        <f>VLOOKUP(G603,'Code Pro'!$A$2:$B$9,2,FALSE)</f>
        <v>จ.ฉะเชิงเทรา</v>
      </c>
      <c r="AA603" s="8">
        <f t="shared" si="82"/>
        <v>196920.24229299999</v>
      </c>
      <c r="AB603" s="8">
        <f t="shared" si="83"/>
        <v>244574940.92790601</v>
      </c>
      <c r="AC603" s="8">
        <f t="shared" si="84"/>
        <v>259737799.58446699</v>
      </c>
      <c r="AD603" s="8">
        <f t="shared" si="85"/>
        <v>157733114.076693</v>
      </c>
      <c r="AE603" s="8">
        <f t="shared" si="86"/>
        <v>50608502.269300997</v>
      </c>
      <c r="AF603" s="8">
        <f t="shared" si="87"/>
        <v>80146538.613251001</v>
      </c>
      <c r="AG603" s="8">
        <f t="shared" si="88"/>
        <v>401717294.27771997</v>
      </c>
      <c r="AH603" s="8">
        <f t="shared" si="89"/>
        <v>38793287.731720999</v>
      </c>
      <c r="AI603" s="8">
        <f t="shared" si="90"/>
        <v>0</v>
      </c>
    </row>
    <row r="604" spans="1:35" x14ac:dyDescent="0.55000000000000004">
      <c r="A604" s="1">
        <v>602</v>
      </c>
      <c r="B604" s="1" t="s">
        <v>20</v>
      </c>
      <c r="C604" s="1">
        <v>43</v>
      </c>
      <c r="D604" s="1">
        <v>6</v>
      </c>
      <c r="E604" s="1" t="s">
        <v>103</v>
      </c>
      <c r="F604" s="1" t="s">
        <v>104</v>
      </c>
      <c r="G604" s="1">
        <v>24</v>
      </c>
      <c r="H604" s="1">
        <v>2</v>
      </c>
      <c r="I604" s="1">
        <v>24060000</v>
      </c>
      <c r="J604" s="1">
        <v>795</v>
      </c>
      <c r="K604" s="1">
        <v>0</v>
      </c>
      <c r="L604" s="1">
        <v>14464</v>
      </c>
      <c r="M604" s="1">
        <v>13.850304</v>
      </c>
      <c r="N604" s="1">
        <v>101.35556</v>
      </c>
      <c r="O604" s="1">
        <v>3.7</v>
      </c>
      <c r="P604" s="1">
        <v>11.42</v>
      </c>
      <c r="Q604" s="1">
        <v>13.26</v>
      </c>
      <c r="R604" s="1">
        <v>0.02</v>
      </c>
      <c r="S604" s="1">
        <v>0.1</v>
      </c>
      <c r="T604" s="1">
        <v>8.7200000000000006</v>
      </c>
      <c r="U604" s="1">
        <v>10.66</v>
      </c>
      <c r="V604" s="1">
        <v>0.02</v>
      </c>
      <c r="W604" s="1">
        <v>0.01</v>
      </c>
      <c r="X604" s="1">
        <v>26683.203128000001</v>
      </c>
      <c r="Y604" s="1">
        <v>36614994.047200002</v>
      </c>
      <c r="Z604" t="str">
        <f>VLOOKUP(G604,'Code Pro'!$A$2:$B$9,2,FALSE)</f>
        <v>จ.ฉะเชิงเทรา</v>
      </c>
      <c r="AA604" s="8">
        <f t="shared" si="82"/>
        <v>135475477.97464001</v>
      </c>
      <c r="AB604" s="8">
        <f t="shared" si="83"/>
        <v>418143232.01902401</v>
      </c>
      <c r="AC604" s="8">
        <f t="shared" si="84"/>
        <v>485514821.06587201</v>
      </c>
      <c r="AD604" s="8">
        <f t="shared" si="85"/>
        <v>732299.88094400009</v>
      </c>
      <c r="AE604" s="8">
        <f t="shared" si="86"/>
        <v>3661499.4047200005</v>
      </c>
      <c r="AF604" s="8">
        <f t="shared" si="87"/>
        <v>319282748.09158403</v>
      </c>
      <c r="AG604" s="8">
        <f t="shared" si="88"/>
        <v>390315836.54315203</v>
      </c>
      <c r="AH604" s="8">
        <f t="shared" si="89"/>
        <v>732299.88094400009</v>
      </c>
      <c r="AI604" s="8">
        <f t="shared" si="90"/>
        <v>366149.94047200005</v>
      </c>
    </row>
    <row r="605" spans="1:35" x14ac:dyDescent="0.55000000000000004">
      <c r="A605" s="1">
        <v>603</v>
      </c>
      <c r="B605" s="1" t="s">
        <v>20</v>
      </c>
      <c r="C605" s="1">
        <v>43</v>
      </c>
      <c r="D605" s="1">
        <v>6</v>
      </c>
      <c r="E605" s="1" t="s">
        <v>103</v>
      </c>
      <c r="F605" s="1" t="s">
        <v>104</v>
      </c>
      <c r="G605" s="1">
        <v>24</v>
      </c>
      <c r="H605" s="1">
        <v>2</v>
      </c>
      <c r="I605" s="1">
        <v>24060000</v>
      </c>
      <c r="J605" s="1">
        <v>805</v>
      </c>
      <c r="K605" s="1">
        <v>0</v>
      </c>
      <c r="L605" s="1">
        <v>14226</v>
      </c>
      <c r="M605" s="1">
        <v>13.688805</v>
      </c>
      <c r="N605" s="1">
        <v>101.52182999999999</v>
      </c>
      <c r="O605" s="1">
        <v>19.02</v>
      </c>
      <c r="P605" s="1">
        <v>0.55000000000000004</v>
      </c>
      <c r="Q605" s="1">
        <v>1.35</v>
      </c>
      <c r="R605" s="1">
        <v>0.64</v>
      </c>
      <c r="S605" s="1">
        <v>0.89</v>
      </c>
      <c r="T605" s="1">
        <v>12.59</v>
      </c>
      <c r="U605" s="1">
        <v>1.3</v>
      </c>
      <c r="V605" s="1">
        <v>0.27</v>
      </c>
      <c r="W605" s="1">
        <v>0</v>
      </c>
      <c r="X605" s="1">
        <v>27522.783426999998</v>
      </c>
      <c r="Y605" s="1">
        <v>29886556.2163</v>
      </c>
      <c r="Z605" t="str">
        <f>VLOOKUP(G605,'Code Pro'!$A$2:$B$9,2,FALSE)</f>
        <v>จ.ฉะเชิงเทรา</v>
      </c>
      <c r="AA605" s="8">
        <f t="shared" si="82"/>
        <v>568442299.23402596</v>
      </c>
      <c r="AB605" s="8">
        <f t="shared" si="83"/>
        <v>16437605.918965001</v>
      </c>
      <c r="AC605" s="8">
        <f t="shared" si="84"/>
        <v>40346850.892005004</v>
      </c>
      <c r="AD605" s="8">
        <f t="shared" si="85"/>
        <v>19127395.978432</v>
      </c>
      <c r="AE605" s="8">
        <f t="shared" si="86"/>
        <v>26599035.032506999</v>
      </c>
      <c r="AF605" s="8">
        <f t="shared" si="87"/>
        <v>376271742.76321697</v>
      </c>
      <c r="AG605" s="8">
        <f t="shared" si="88"/>
        <v>38852523.081189997</v>
      </c>
      <c r="AH605" s="8">
        <f t="shared" si="89"/>
        <v>8069370.1784010008</v>
      </c>
      <c r="AI605" s="8">
        <f t="shared" si="90"/>
        <v>0</v>
      </c>
    </row>
    <row r="606" spans="1:35" x14ac:dyDescent="0.55000000000000004">
      <c r="A606" s="1">
        <v>604</v>
      </c>
      <c r="B606" s="1" t="s">
        <v>20</v>
      </c>
      <c r="C606" s="1">
        <v>43</v>
      </c>
      <c r="D606" s="1">
        <v>6</v>
      </c>
      <c r="E606" s="1" t="s">
        <v>103</v>
      </c>
      <c r="F606" s="1" t="s">
        <v>104</v>
      </c>
      <c r="G606" s="1">
        <v>24</v>
      </c>
      <c r="H606" s="1">
        <v>2</v>
      </c>
      <c r="I606" s="1">
        <v>24060000</v>
      </c>
      <c r="J606" s="1">
        <v>806</v>
      </c>
      <c r="K606" s="1">
        <v>0</v>
      </c>
      <c r="L606" s="1">
        <v>14227</v>
      </c>
      <c r="M606" s="1">
        <v>13.688805</v>
      </c>
      <c r="N606" s="1">
        <v>101.60496500000001</v>
      </c>
      <c r="O606" s="1">
        <v>5.61</v>
      </c>
      <c r="P606" s="1">
        <v>0.08</v>
      </c>
      <c r="Q606" s="1">
        <v>0.64</v>
      </c>
      <c r="R606" s="1">
        <v>0.13</v>
      </c>
      <c r="S606" s="1">
        <v>0.49</v>
      </c>
      <c r="T606" s="1">
        <v>2.81</v>
      </c>
      <c r="U606" s="1">
        <v>2.13</v>
      </c>
      <c r="V606" s="1">
        <v>1.42</v>
      </c>
      <c r="W606" s="1">
        <v>0</v>
      </c>
      <c r="X606" s="1">
        <v>4876.847162</v>
      </c>
      <c r="Y606" s="1">
        <v>656519.06725700002</v>
      </c>
      <c r="Z606" t="str">
        <f>VLOOKUP(G606,'Code Pro'!$A$2:$B$9,2,FALSE)</f>
        <v>จ.ฉะเชิงเทรา</v>
      </c>
      <c r="AA606" s="8">
        <f t="shared" si="82"/>
        <v>3683071.9673117702</v>
      </c>
      <c r="AB606" s="8">
        <f t="shared" si="83"/>
        <v>52521.52538056</v>
      </c>
      <c r="AC606" s="8">
        <f t="shared" si="84"/>
        <v>420172.20304448</v>
      </c>
      <c r="AD606" s="8">
        <f t="shared" si="85"/>
        <v>85347.47874341</v>
      </c>
      <c r="AE606" s="8">
        <f t="shared" si="86"/>
        <v>321694.34295592998</v>
      </c>
      <c r="AF606" s="8">
        <f t="shared" si="87"/>
        <v>1844818.57899217</v>
      </c>
      <c r="AG606" s="8">
        <f t="shared" si="88"/>
        <v>1398385.61325741</v>
      </c>
      <c r="AH606" s="8">
        <f t="shared" si="89"/>
        <v>932257.07550494</v>
      </c>
      <c r="AI606" s="8">
        <f t="shared" si="90"/>
        <v>0</v>
      </c>
    </row>
    <row r="607" spans="1:35" x14ac:dyDescent="0.55000000000000004">
      <c r="A607" s="1">
        <v>605</v>
      </c>
      <c r="B607" s="1" t="s">
        <v>20</v>
      </c>
      <c r="C607" s="1">
        <v>43</v>
      </c>
      <c r="D607" s="1">
        <v>6</v>
      </c>
      <c r="E607" s="1" t="s">
        <v>103</v>
      </c>
      <c r="F607" s="1" t="s">
        <v>104</v>
      </c>
      <c r="G607" s="1">
        <v>24</v>
      </c>
      <c r="H607" s="1">
        <v>2</v>
      </c>
      <c r="I607" s="1">
        <v>24060000</v>
      </c>
      <c r="J607" s="1">
        <v>807</v>
      </c>
      <c r="K607" s="1">
        <v>0</v>
      </c>
      <c r="L607" s="1">
        <v>14346</v>
      </c>
      <c r="M607" s="1">
        <v>13.769569000000001</v>
      </c>
      <c r="N607" s="1">
        <v>101.52182999999999</v>
      </c>
      <c r="O607" s="1">
        <v>1.84</v>
      </c>
      <c r="P607" s="1">
        <v>10.68</v>
      </c>
      <c r="Q607" s="1">
        <v>1.07</v>
      </c>
      <c r="R607" s="1">
        <v>10.210000000000001</v>
      </c>
      <c r="S607" s="1">
        <v>0.38</v>
      </c>
      <c r="T607" s="1">
        <v>2.95</v>
      </c>
      <c r="U607" s="1">
        <v>6.95</v>
      </c>
      <c r="V607" s="1">
        <v>2.4500000000000002</v>
      </c>
      <c r="W607" s="1">
        <v>0</v>
      </c>
      <c r="X607" s="1">
        <v>34862.853431000003</v>
      </c>
      <c r="Y607" s="1">
        <v>63587654.543700002</v>
      </c>
      <c r="Z607" t="str">
        <f>VLOOKUP(G607,'Code Pro'!$A$2:$B$9,2,FALSE)</f>
        <v>จ.ฉะเชิงเทรา</v>
      </c>
      <c r="AA607" s="8">
        <f t="shared" si="82"/>
        <v>117001284.36040801</v>
      </c>
      <c r="AB607" s="8">
        <f t="shared" si="83"/>
        <v>679116150.52671599</v>
      </c>
      <c r="AC607" s="8">
        <f t="shared" si="84"/>
        <v>68038790.361759007</v>
      </c>
      <c r="AD607" s="8">
        <f t="shared" si="85"/>
        <v>649229952.89117706</v>
      </c>
      <c r="AE607" s="8">
        <f t="shared" si="86"/>
        <v>24163308.726606</v>
      </c>
      <c r="AF607" s="8">
        <f t="shared" si="87"/>
        <v>187583580.90391502</v>
      </c>
      <c r="AG607" s="8">
        <f t="shared" si="88"/>
        <v>441934199.07871503</v>
      </c>
      <c r="AH607" s="8">
        <f t="shared" si="89"/>
        <v>155789753.63206503</v>
      </c>
      <c r="AI607" s="8">
        <f t="shared" si="90"/>
        <v>0</v>
      </c>
    </row>
    <row r="608" spans="1:35" x14ac:dyDescent="0.55000000000000004">
      <c r="A608" s="1">
        <v>606</v>
      </c>
      <c r="B608" s="1" t="s">
        <v>20</v>
      </c>
      <c r="C608" s="1">
        <v>43</v>
      </c>
      <c r="D608" s="1">
        <v>6</v>
      </c>
      <c r="E608" s="1" t="s">
        <v>103</v>
      </c>
      <c r="F608" s="1" t="s">
        <v>104</v>
      </c>
      <c r="G608" s="1">
        <v>24</v>
      </c>
      <c r="H608" s="1">
        <v>2</v>
      </c>
      <c r="I608" s="1">
        <v>24060000</v>
      </c>
      <c r="J608" s="1">
        <v>809</v>
      </c>
      <c r="K608" s="1">
        <v>0</v>
      </c>
      <c r="L608" s="1">
        <v>14466</v>
      </c>
      <c r="M608" s="1">
        <v>13.850304</v>
      </c>
      <c r="N608" s="1">
        <v>101.52182999999999</v>
      </c>
      <c r="O608" s="1">
        <v>0.02</v>
      </c>
      <c r="P608" s="1">
        <v>24.42</v>
      </c>
      <c r="Q608" s="1">
        <v>3.31</v>
      </c>
      <c r="R608" s="1">
        <v>2.98</v>
      </c>
      <c r="S608" s="1">
        <v>3.74</v>
      </c>
      <c r="T608" s="1">
        <v>0.8</v>
      </c>
      <c r="U608" s="1">
        <v>45.080002</v>
      </c>
      <c r="V608" s="1">
        <v>23.799999</v>
      </c>
      <c r="W608" s="1">
        <v>0</v>
      </c>
      <c r="X608" s="1">
        <v>2497.348313</v>
      </c>
      <c r="Y608" s="1">
        <v>254043.76665199999</v>
      </c>
      <c r="Z608" t="str">
        <f>VLOOKUP(G608,'Code Pro'!$A$2:$B$9,2,FALSE)</f>
        <v>จ.ฉะเชิงเทรา</v>
      </c>
      <c r="AA608" s="8">
        <f t="shared" si="82"/>
        <v>5080.8753330399995</v>
      </c>
      <c r="AB608" s="8">
        <f t="shared" si="83"/>
        <v>6203748.78164184</v>
      </c>
      <c r="AC608" s="8">
        <f t="shared" si="84"/>
        <v>840884.86761811993</v>
      </c>
      <c r="AD608" s="8">
        <f t="shared" si="85"/>
        <v>757050.42462295992</v>
      </c>
      <c r="AE608" s="8">
        <f t="shared" si="86"/>
        <v>950123.68727848004</v>
      </c>
      <c r="AF608" s="8">
        <f t="shared" si="87"/>
        <v>203235.01332160001</v>
      </c>
      <c r="AG608" s="8">
        <f t="shared" si="88"/>
        <v>11452293.508759692</v>
      </c>
      <c r="AH608" s="8">
        <f t="shared" si="89"/>
        <v>6046241.392273833</v>
      </c>
      <c r="AI608" s="8">
        <f t="shared" si="90"/>
        <v>0</v>
      </c>
    </row>
    <row r="609" spans="1:35" x14ac:dyDescent="0.55000000000000004">
      <c r="A609" s="1">
        <v>607</v>
      </c>
      <c r="B609" s="1" t="s">
        <v>20</v>
      </c>
      <c r="C609" s="1">
        <v>43</v>
      </c>
      <c r="D609" s="1">
        <v>6</v>
      </c>
      <c r="E609" s="1" t="s">
        <v>103</v>
      </c>
      <c r="F609" s="1" t="s">
        <v>104</v>
      </c>
      <c r="G609" s="1">
        <v>24</v>
      </c>
      <c r="H609" s="1">
        <v>2</v>
      </c>
      <c r="I609" s="1">
        <v>24060000</v>
      </c>
      <c r="J609" s="1">
        <v>810</v>
      </c>
      <c r="K609" s="1">
        <v>0</v>
      </c>
      <c r="L609" s="1">
        <v>14347</v>
      </c>
      <c r="M609" s="1">
        <v>13.769569000000001</v>
      </c>
      <c r="N609" s="1">
        <v>101.60496500000001</v>
      </c>
      <c r="O609" s="1">
        <v>2.39</v>
      </c>
      <c r="P609" s="1">
        <v>0.17</v>
      </c>
      <c r="Q609" s="1">
        <v>0.6</v>
      </c>
      <c r="R609" s="1">
        <v>3.17</v>
      </c>
      <c r="S609" s="1">
        <v>0.81</v>
      </c>
      <c r="T609" s="1">
        <v>0.56000000000000005</v>
      </c>
      <c r="U609" s="1">
        <v>5.08</v>
      </c>
      <c r="V609" s="1">
        <v>1.77</v>
      </c>
      <c r="W609" s="1">
        <v>0</v>
      </c>
      <c r="X609" s="1">
        <v>12219.189369</v>
      </c>
      <c r="Y609" s="1">
        <v>7763496.0409000004</v>
      </c>
      <c r="Z609" t="str">
        <f>VLOOKUP(G609,'Code Pro'!$A$2:$B$9,2,FALSE)</f>
        <v>จ.ฉะเชิงเทรา</v>
      </c>
      <c r="AA609" s="8">
        <f t="shared" si="82"/>
        <v>18554755.537751</v>
      </c>
      <c r="AB609" s="8">
        <f t="shared" si="83"/>
        <v>1319794.3269530002</v>
      </c>
      <c r="AC609" s="8">
        <f t="shared" si="84"/>
        <v>4658097.6245400002</v>
      </c>
      <c r="AD609" s="8">
        <f t="shared" si="85"/>
        <v>24610282.449653</v>
      </c>
      <c r="AE609" s="8">
        <f t="shared" si="86"/>
        <v>6288431.7931290008</v>
      </c>
      <c r="AF609" s="8">
        <f t="shared" si="87"/>
        <v>4347557.782904001</v>
      </c>
      <c r="AG609" s="8">
        <f t="shared" si="88"/>
        <v>39438559.887772001</v>
      </c>
      <c r="AH609" s="8">
        <f t="shared" si="89"/>
        <v>13741387.992393</v>
      </c>
      <c r="AI609" s="8">
        <f t="shared" si="90"/>
        <v>0</v>
      </c>
    </row>
    <row r="610" spans="1:35" x14ac:dyDescent="0.55000000000000004">
      <c r="A610" s="1">
        <v>608</v>
      </c>
      <c r="B610" s="1" t="s">
        <v>20</v>
      </c>
      <c r="C610" s="1">
        <v>44</v>
      </c>
      <c r="D610" s="1">
        <v>7</v>
      </c>
      <c r="E610" s="1" t="s">
        <v>105</v>
      </c>
      <c r="F610" s="1" t="s">
        <v>106</v>
      </c>
      <c r="G610" s="1">
        <v>24</v>
      </c>
      <c r="H610" s="1">
        <v>2</v>
      </c>
      <c r="I610" s="1">
        <v>24070000</v>
      </c>
      <c r="J610" s="1">
        <v>777</v>
      </c>
      <c r="K610" s="1">
        <v>0</v>
      </c>
      <c r="L610" s="1">
        <v>14223</v>
      </c>
      <c r="M610" s="1">
        <v>13.688805</v>
      </c>
      <c r="N610" s="1">
        <v>101.27242</v>
      </c>
      <c r="O610" s="1">
        <v>23.59</v>
      </c>
      <c r="P610" s="1">
        <v>0.16</v>
      </c>
      <c r="Q610" s="1">
        <v>7.06</v>
      </c>
      <c r="R610" s="1">
        <v>0.03</v>
      </c>
      <c r="S610" s="1">
        <v>0.77</v>
      </c>
      <c r="T610" s="1">
        <v>9.77</v>
      </c>
      <c r="U610" s="1">
        <v>12.61</v>
      </c>
      <c r="V610" s="1">
        <v>2.08</v>
      </c>
      <c r="W610" s="1">
        <v>0</v>
      </c>
      <c r="X610" s="1">
        <v>22338.341056000001</v>
      </c>
      <c r="Y610" s="1">
        <v>25715440.223099999</v>
      </c>
      <c r="Z610" t="str">
        <f>VLOOKUP(G610,'Code Pro'!$A$2:$B$9,2,FALSE)</f>
        <v>จ.ฉะเชิงเทรา</v>
      </c>
      <c r="AA610" s="8">
        <f t="shared" si="82"/>
        <v>606627234.86292899</v>
      </c>
      <c r="AB610" s="8">
        <f t="shared" si="83"/>
        <v>4114470.4356959998</v>
      </c>
      <c r="AC610" s="8">
        <f t="shared" si="84"/>
        <v>181551007.97508597</v>
      </c>
      <c r="AD610" s="8">
        <f t="shared" si="85"/>
        <v>771463.20669299993</v>
      </c>
      <c r="AE610" s="8">
        <f t="shared" si="86"/>
        <v>19800888.971786998</v>
      </c>
      <c r="AF610" s="8">
        <f t="shared" si="87"/>
        <v>251239850.97968698</v>
      </c>
      <c r="AG610" s="8">
        <f t="shared" si="88"/>
        <v>324271701.21329099</v>
      </c>
      <c r="AH610" s="8">
        <f t="shared" si="89"/>
        <v>53488115.664048001</v>
      </c>
      <c r="AI610" s="8">
        <f t="shared" si="90"/>
        <v>0</v>
      </c>
    </row>
    <row r="611" spans="1:35" x14ac:dyDescent="0.55000000000000004">
      <c r="A611" s="1">
        <v>609</v>
      </c>
      <c r="B611" s="1" t="s">
        <v>20</v>
      </c>
      <c r="C611" s="1">
        <v>44</v>
      </c>
      <c r="D611" s="1">
        <v>7</v>
      </c>
      <c r="E611" s="1" t="s">
        <v>105</v>
      </c>
      <c r="F611" s="1" t="s">
        <v>106</v>
      </c>
      <c r="G611" s="1">
        <v>24</v>
      </c>
      <c r="H611" s="1">
        <v>2</v>
      </c>
      <c r="I611" s="1">
        <v>24070000</v>
      </c>
      <c r="J611" s="1">
        <v>780</v>
      </c>
      <c r="K611" s="1">
        <v>0</v>
      </c>
      <c r="L611" s="1">
        <v>14343</v>
      </c>
      <c r="M611" s="1">
        <v>13.769569000000001</v>
      </c>
      <c r="N611" s="1">
        <v>101.27242</v>
      </c>
      <c r="O611" s="1">
        <v>49.41</v>
      </c>
      <c r="P611" s="1">
        <v>1.31</v>
      </c>
      <c r="Q611" s="1">
        <v>9.1199999999999992</v>
      </c>
      <c r="R611" s="1">
        <v>0.08</v>
      </c>
      <c r="S611" s="1">
        <v>1.01</v>
      </c>
      <c r="T611" s="1">
        <v>9.6999999999999993</v>
      </c>
      <c r="U611" s="1">
        <v>4.63</v>
      </c>
      <c r="V611" s="1">
        <v>0.05</v>
      </c>
      <c r="W611" s="1">
        <v>0</v>
      </c>
      <c r="X611" s="1">
        <v>38472.867321999998</v>
      </c>
      <c r="Y611" s="1">
        <v>58715008.905699998</v>
      </c>
      <c r="Z611" t="str">
        <f>VLOOKUP(G611,'Code Pro'!$A$2:$B$9,2,FALSE)</f>
        <v>จ.ฉะเชิงเทรา</v>
      </c>
      <c r="AA611" s="8">
        <f t="shared" si="82"/>
        <v>2901108590.0306368</v>
      </c>
      <c r="AB611" s="8">
        <f t="shared" si="83"/>
        <v>76916661.666466996</v>
      </c>
      <c r="AC611" s="8">
        <f t="shared" si="84"/>
        <v>535480881.21998394</v>
      </c>
      <c r="AD611" s="8">
        <f t="shared" si="85"/>
        <v>4697200.712456</v>
      </c>
      <c r="AE611" s="8">
        <f t="shared" si="86"/>
        <v>59302158.994756997</v>
      </c>
      <c r="AF611" s="8">
        <f t="shared" si="87"/>
        <v>569535586.38528991</v>
      </c>
      <c r="AG611" s="8">
        <f t="shared" si="88"/>
        <v>271850491.23339099</v>
      </c>
      <c r="AH611" s="8">
        <f t="shared" si="89"/>
        <v>2935750.4452849999</v>
      </c>
      <c r="AI611" s="8">
        <f t="shared" si="90"/>
        <v>0</v>
      </c>
    </row>
    <row r="612" spans="1:35" x14ac:dyDescent="0.55000000000000004">
      <c r="A612" s="1">
        <v>610</v>
      </c>
      <c r="B612" s="1" t="s">
        <v>20</v>
      </c>
      <c r="C612" s="1">
        <v>44</v>
      </c>
      <c r="D612" s="1">
        <v>7</v>
      </c>
      <c r="E612" s="1" t="s">
        <v>105</v>
      </c>
      <c r="F612" s="1" t="s">
        <v>106</v>
      </c>
      <c r="G612" s="1">
        <v>24</v>
      </c>
      <c r="H612" s="1">
        <v>2</v>
      </c>
      <c r="I612" s="1">
        <v>24070000</v>
      </c>
      <c r="J612" s="1">
        <v>782</v>
      </c>
      <c r="K612" s="1">
        <v>0</v>
      </c>
      <c r="L612" s="1">
        <v>14463</v>
      </c>
      <c r="M612" s="1">
        <v>13.850304</v>
      </c>
      <c r="N612" s="1">
        <v>101.27242</v>
      </c>
      <c r="O612" s="1">
        <v>22.059999000000001</v>
      </c>
      <c r="P612" s="1">
        <v>7.43</v>
      </c>
      <c r="Q612" s="1">
        <v>11.1</v>
      </c>
      <c r="R612" s="1">
        <v>0.03</v>
      </c>
      <c r="S612" s="1">
        <v>0.18</v>
      </c>
      <c r="T612" s="1">
        <v>9.36</v>
      </c>
      <c r="U612" s="1">
        <v>41.029998999999997</v>
      </c>
      <c r="V612" s="1">
        <v>0</v>
      </c>
      <c r="W612" s="1">
        <v>0</v>
      </c>
      <c r="X612" s="1">
        <v>30272.476535000002</v>
      </c>
      <c r="Y612" s="1">
        <v>47259221.736000001</v>
      </c>
      <c r="Z612" t="str">
        <f>VLOOKUP(G612,'Code Pro'!$A$2:$B$9,2,FALSE)</f>
        <v>จ.ฉะเชิงเทรา</v>
      </c>
      <c r="AA612" s="8">
        <f t="shared" si="82"/>
        <v>1042538384.2369384</v>
      </c>
      <c r="AB612" s="8">
        <f t="shared" si="83"/>
        <v>351136017.49848002</v>
      </c>
      <c r="AC612" s="8">
        <f t="shared" si="84"/>
        <v>524577361.26959997</v>
      </c>
      <c r="AD612" s="8">
        <f t="shared" si="85"/>
        <v>1417776.6520799999</v>
      </c>
      <c r="AE612" s="8">
        <f t="shared" si="86"/>
        <v>8506659.9124800004</v>
      </c>
      <c r="AF612" s="8">
        <f t="shared" si="87"/>
        <v>442346315.44896001</v>
      </c>
      <c r="AG612" s="8">
        <f t="shared" si="88"/>
        <v>1939045820.5688581</v>
      </c>
      <c r="AH612" s="8">
        <f t="shared" si="89"/>
        <v>0</v>
      </c>
      <c r="AI612" s="8">
        <f t="shared" si="90"/>
        <v>0</v>
      </c>
    </row>
    <row r="613" spans="1:35" x14ac:dyDescent="0.55000000000000004">
      <c r="A613" s="1">
        <v>611</v>
      </c>
      <c r="B613" s="1" t="s">
        <v>20</v>
      </c>
      <c r="C613" s="1">
        <v>44</v>
      </c>
      <c r="D613" s="1">
        <v>7</v>
      </c>
      <c r="E613" s="1" t="s">
        <v>105</v>
      </c>
      <c r="F613" s="1" t="s">
        <v>106</v>
      </c>
      <c r="G613" s="1">
        <v>24</v>
      </c>
      <c r="H613" s="1">
        <v>2</v>
      </c>
      <c r="I613" s="1">
        <v>24070000</v>
      </c>
      <c r="J613" s="1">
        <v>791</v>
      </c>
      <c r="K613" s="1">
        <v>0</v>
      </c>
      <c r="L613" s="1">
        <v>14344</v>
      </c>
      <c r="M613" s="1">
        <v>13.769569000000001</v>
      </c>
      <c r="N613" s="1">
        <v>101.35556</v>
      </c>
      <c r="O613" s="1">
        <v>23.120000999999998</v>
      </c>
      <c r="P613" s="1">
        <v>0.06</v>
      </c>
      <c r="Q613" s="1">
        <v>16.850000000000001</v>
      </c>
      <c r="R613" s="1">
        <v>0.05</v>
      </c>
      <c r="S613" s="1">
        <v>0.01</v>
      </c>
      <c r="T613" s="1">
        <v>7.81</v>
      </c>
      <c r="U613" s="1">
        <v>8.5500000000000007</v>
      </c>
      <c r="V613" s="1">
        <v>6.08</v>
      </c>
      <c r="W613" s="1">
        <v>0.24</v>
      </c>
      <c r="X613" s="1">
        <v>7578.3422140000002</v>
      </c>
      <c r="Y613" s="1">
        <v>973708.75522799999</v>
      </c>
      <c r="Z613" t="str">
        <f>VLOOKUP(G613,'Code Pro'!$A$2:$B$9,2,FALSE)</f>
        <v>จ.ฉะเชิงเทรา</v>
      </c>
      <c r="AA613" s="8">
        <f t="shared" si="82"/>
        <v>22512147.394580115</v>
      </c>
      <c r="AB613" s="8">
        <f t="shared" si="83"/>
        <v>58422.525313679995</v>
      </c>
      <c r="AC613" s="8">
        <f t="shared" si="84"/>
        <v>16406992.525591802</v>
      </c>
      <c r="AD613" s="8">
        <f t="shared" si="85"/>
        <v>48685.437761400004</v>
      </c>
      <c r="AE613" s="8">
        <f t="shared" si="86"/>
        <v>9737.0875522799997</v>
      </c>
      <c r="AF613" s="8">
        <f t="shared" si="87"/>
        <v>7604665.3783306796</v>
      </c>
      <c r="AG613" s="8">
        <f t="shared" si="88"/>
        <v>8325209.8571994007</v>
      </c>
      <c r="AH613" s="8">
        <f t="shared" si="89"/>
        <v>5920149.2317862399</v>
      </c>
      <c r="AI613" s="8">
        <f t="shared" si="90"/>
        <v>233690.10125471998</v>
      </c>
    </row>
    <row r="614" spans="1:35" x14ac:dyDescent="0.55000000000000004">
      <c r="A614" s="1">
        <v>612</v>
      </c>
      <c r="B614" s="1" t="s">
        <v>20</v>
      </c>
      <c r="C614" s="1">
        <v>44</v>
      </c>
      <c r="D614" s="1">
        <v>7</v>
      </c>
      <c r="E614" s="1" t="s">
        <v>105</v>
      </c>
      <c r="F614" s="1" t="s">
        <v>106</v>
      </c>
      <c r="G614" s="1">
        <v>24</v>
      </c>
      <c r="H614" s="1">
        <v>2</v>
      </c>
      <c r="I614" s="1">
        <v>24070000</v>
      </c>
      <c r="J614" s="1">
        <v>795</v>
      </c>
      <c r="K614" s="1">
        <v>0</v>
      </c>
      <c r="L614" s="1">
        <v>14464</v>
      </c>
      <c r="M614" s="1">
        <v>13.850304</v>
      </c>
      <c r="N614" s="1">
        <v>101.35556</v>
      </c>
      <c r="O614" s="1">
        <v>3.7</v>
      </c>
      <c r="P614" s="1">
        <v>11.42</v>
      </c>
      <c r="Q614" s="1">
        <v>13.26</v>
      </c>
      <c r="R614" s="1">
        <v>0.02</v>
      </c>
      <c r="S614" s="1">
        <v>0.1</v>
      </c>
      <c r="T614" s="1">
        <v>8.7200000000000006</v>
      </c>
      <c r="U614" s="1">
        <v>10.66</v>
      </c>
      <c r="V614" s="1">
        <v>0.02</v>
      </c>
      <c r="W614" s="1">
        <v>0.01</v>
      </c>
      <c r="X614" s="1">
        <v>17338.175751999999</v>
      </c>
      <c r="Y614" s="1">
        <v>12104472.2272</v>
      </c>
      <c r="Z614" t="str">
        <f>VLOOKUP(G614,'Code Pro'!$A$2:$B$9,2,FALSE)</f>
        <v>จ.ฉะเชิงเทรา</v>
      </c>
      <c r="AA614" s="8">
        <f t="shared" si="82"/>
        <v>44786547.24064</v>
      </c>
      <c r="AB614" s="8">
        <f t="shared" si="83"/>
        <v>138233072.83462399</v>
      </c>
      <c r="AC614" s="8">
        <f t="shared" si="84"/>
        <v>160505301.73267201</v>
      </c>
      <c r="AD614" s="8">
        <f t="shared" si="85"/>
        <v>242089.444544</v>
      </c>
      <c r="AE614" s="8">
        <f t="shared" si="86"/>
        <v>1210447.22272</v>
      </c>
      <c r="AF614" s="8">
        <f t="shared" si="87"/>
        <v>105550997.82118401</v>
      </c>
      <c r="AG614" s="8">
        <f t="shared" si="88"/>
        <v>129033673.94195201</v>
      </c>
      <c r="AH614" s="8">
        <f t="shared" si="89"/>
        <v>242089.444544</v>
      </c>
      <c r="AI614" s="8">
        <f t="shared" si="90"/>
        <v>121044.722272</v>
      </c>
    </row>
    <row r="615" spans="1:35" x14ac:dyDescent="0.55000000000000004">
      <c r="A615" s="1">
        <v>613</v>
      </c>
      <c r="B615" s="1" t="s">
        <v>20</v>
      </c>
      <c r="C615" s="1">
        <v>45</v>
      </c>
      <c r="D615" s="1">
        <v>8</v>
      </c>
      <c r="E615" s="1" t="s">
        <v>107</v>
      </c>
      <c r="F615" s="1" t="s">
        <v>108</v>
      </c>
      <c r="G615" s="1">
        <v>24</v>
      </c>
      <c r="H615" s="1">
        <v>2</v>
      </c>
      <c r="I615" s="1">
        <v>24080000</v>
      </c>
      <c r="J615" s="1">
        <v>752</v>
      </c>
      <c r="K615" s="1">
        <v>0</v>
      </c>
      <c r="L615" s="1">
        <v>13865</v>
      </c>
      <c r="M615" s="1">
        <v>13.446358</v>
      </c>
      <c r="N615" s="1">
        <v>101.4387</v>
      </c>
      <c r="O615" s="1">
        <v>24.1</v>
      </c>
      <c r="P615" s="1">
        <v>0</v>
      </c>
      <c r="Q615" s="1">
        <v>0.03</v>
      </c>
      <c r="R615" s="1">
        <v>0.35</v>
      </c>
      <c r="S615" s="1">
        <v>0.6</v>
      </c>
      <c r="T615" s="1">
        <v>6.82</v>
      </c>
      <c r="U615" s="1">
        <v>10.59</v>
      </c>
      <c r="V615" s="1">
        <v>0</v>
      </c>
      <c r="W615" s="1">
        <v>0</v>
      </c>
      <c r="X615" s="1">
        <v>12854.487353</v>
      </c>
      <c r="Y615" s="1">
        <v>7945292.4395000003</v>
      </c>
      <c r="Z615" t="str">
        <f>VLOOKUP(G615,'Code Pro'!$A$2:$B$9,2,FALSE)</f>
        <v>จ.ฉะเชิงเทรา</v>
      </c>
      <c r="AA615" s="8">
        <f t="shared" si="82"/>
        <v>191481547.79195002</v>
      </c>
      <c r="AB615" s="8">
        <f t="shared" si="83"/>
        <v>0</v>
      </c>
      <c r="AC615" s="8">
        <f t="shared" si="84"/>
        <v>238358.773185</v>
      </c>
      <c r="AD615" s="8">
        <f t="shared" si="85"/>
        <v>2780852.3538250001</v>
      </c>
      <c r="AE615" s="8">
        <f t="shared" si="86"/>
        <v>4767175.4637000002</v>
      </c>
      <c r="AF615" s="8">
        <f t="shared" si="87"/>
        <v>54186894.437390007</v>
      </c>
      <c r="AG615" s="8">
        <f t="shared" si="88"/>
        <v>84140646.934304997</v>
      </c>
      <c r="AH615" s="8">
        <f t="shared" si="89"/>
        <v>0</v>
      </c>
      <c r="AI615" s="8">
        <f t="shared" si="90"/>
        <v>0</v>
      </c>
    </row>
    <row r="616" spans="1:35" x14ac:dyDescent="0.55000000000000004">
      <c r="A616" s="1">
        <v>614</v>
      </c>
      <c r="B616" s="1" t="s">
        <v>20</v>
      </c>
      <c r="C616" s="1">
        <v>45</v>
      </c>
      <c r="D616" s="1">
        <v>8</v>
      </c>
      <c r="E616" s="1" t="s">
        <v>107</v>
      </c>
      <c r="F616" s="1" t="s">
        <v>108</v>
      </c>
      <c r="G616" s="1">
        <v>24</v>
      </c>
      <c r="H616" s="1">
        <v>2</v>
      </c>
      <c r="I616" s="1">
        <v>24080000</v>
      </c>
      <c r="J616" s="1">
        <v>759</v>
      </c>
      <c r="K616" s="1">
        <v>0</v>
      </c>
      <c r="L616" s="1">
        <v>13866</v>
      </c>
      <c r="M616" s="1">
        <v>13.446358</v>
      </c>
      <c r="N616" s="1">
        <v>101.52182999999999</v>
      </c>
      <c r="O616" s="1">
        <v>24.77</v>
      </c>
      <c r="P616" s="1">
        <v>0.04</v>
      </c>
      <c r="Q616" s="1">
        <v>7.0000000000000007E-2</v>
      </c>
      <c r="R616" s="1">
        <v>0.24</v>
      </c>
      <c r="S616" s="1">
        <v>3.86</v>
      </c>
      <c r="T616" s="1">
        <v>17.459999</v>
      </c>
      <c r="U616" s="1">
        <v>8.1199999999999992</v>
      </c>
      <c r="V616" s="1">
        <v>0</v>
      </c>
      <c r="W616" s="1">
        <v>0</v>
      </c>
      <c r="X616" s="1">
        <v>18128.397922</v>
      </c>
      <c r="Y616" s="1">
        <v>15582073.8346</v>
      </c>
      <c r="Z616" t="str">
        <f>VLOOKUP(G616,'Code Pro'!$A$2:$B$9,2,FALSE)</f>
        <v>จ.ฉะเชิงเทรา</v>
      </c>
      <c r="AA616" s="8">
        <f t="shared" si="82"/>
        <v>385967968.88304198</v>
      </c>
      <c r="AB616" s="8">
        <f t="shared" si="83"/>
        <v>623282.95338399999</v>
      </c>
      <c r="AC616" s="8">
        <f t="shared" si="84"/>
        <v>1090745.168422</v>
      </c>
      <c r="AD616" s="8">
        <f t="shared" si="85"/>
        <v>3739697.7203039997</v>
      </c>
      <c r="AE616" s="8">
        <f t="shared" si="86"/>
        <v>60146805.001555994</v>
      </c>
      <c r="AF616" s="8">
        <f t="shared" si="87"/>
        <v>272062993.57004213</v>
      </c>
      <c r="AG616" s="8">
        <f t="shared" si="88"/>
        <v>126526439.53695199</v>
      </c>
      <c r="AH616" s="8">
        <f t="shared" si="89"/>
        <v>0</v>
      </c>
      <c r="AI616" s="8">
        <f t="shared" si="90"/>
        <v>0</v>
      </c>
    </row>
    <row r="617" spans="1:35" x14ac:dyDescent="0.55000000000000004">
      <c r="A617" s="1">
        <v>615</v>
      </c>
      <c r="B617" s="1" t="s">
        <v>20</v>
      </c>
      <c r="C617" s="1">
        <v>45</v>
      </c>
      <c r="D617" s="1">
        <v>8</v>
      </c>
      <c r="E617" s="1" t="s">
        <v>107</v>
      </c>
      <c r="F617" s="1" t="s">
        <v>108</v>
      </c>
      <c r="G617" s="1">
        <v>24</v>
      </c>
      <c r="H617" s="1">
        <v>2</v>
      </c>
      <c r="I617" s="1">
        <v>24080000</v>
      </c>
      <c r="J617" s="1">
        <v>773</v>
      </c>
      <c r="K617" s="1">
        <v>0</v>
      </c>
      <c r="L617" s="1">
        <v>13870</v>
      </c>
      <c r="M617" s="1">
        <v>13.446358</v>
      </c>
      <c r="N617" s="1">
        <v>101.85438000000001</v>
      </c>
      <c r="O617" s="1">
        <v>1.38</v>
      </c>
      <c r="P617" s="1">
        <v>0.03</v>
      </c>
      <c r="Q617" s="1">
        <v>7.0000000000000007E-2</v>
      </c>
      <c r="R617" s="1">
        <v>0</v>
      </c>
      <c r="S617" s="1">
        <v>0.02</v>
      </c>
      <c r="T617" s="1">
        <v>6.81</v>
      </c>
      <c r="U617" s="1">
        <v>22.530000999999999</v>
      </c>
      <c r="V617" s="1">
        <v>0.3</v>
      </c>
      <c r="W617" s="1">
        <v>0</v>
      </c>
      <c r="X617" s="1">
        <v>5810.2697029999999</v>
      </c>
      <c r="Y617" s="1">
        <v>685616.79831099999</v>
      </c>
      <c r="Z617" t="str">
        <f>VLOOKUP(G617,'Code Pro'!$A$2:$B$9,2,FALSE)</f>
        <v>จ.ฉะเชิงเทรา</v>
      </c>
      <c r="AA617" s="8">
        <f t="shared" si="82"/>
        <v>946151.18166917993</v>
      </c>
      <c r="AB617" s="8">
        <f t="shared" si="83"/>
        <v>20568.503949329999</v>
      </c>
      <c r="AC617" s="8">
        <f t="shared" si="84"/>
        <v>47993.175881770003</v>
      </c>
      <c r="AD617" s="8">
        <f t="shared" si="85"/>
        <v>0</v>
      </c>
      <c r="AE617" s="8">
        <f t="shared" si="86"/>
        <v>13712.33596622</v>
      </c>
      <c r="AF617" s="8">
        <f t="shared" si="87"/>
        <v>4669050.3964979099</v>
      </c>
      <c r="AG617" s="8">
        <f t="shared" si="88"/>
        <v>15446947.151563628</v>
      </c>
      <c r="AH617" s="8">
        <f t="shared" si="89"/>
        <v>205685.03949329999</v>
      </c>
      <c r="AI617" s="8">
        <f t="shared" si="90"/>
        <v>0</v>
      </c>
    </row>
    <row r="618" spans="1:35" x14ac:dyDescent="0.55000000000000004">
      <c r="A618" s="1">
        <v>616</v>
      </c>
      <c r="B618" s="1" t="s">
        <v>20</v>
      </c>
      <c r="C618" s="1">
        <v>45</v>
      </c>
      <c r="D618" s="1">
        <v>8</v>
      </c>
      <c r="E618" s="1" t="s">
        <v>107</v>
      </c>
      <c r="F618" s="1" t="s">
        <v>108</v>
      </c>
      <c r="G618" s="1">
        <v>24</v>
      </c>
      <c r="H618" s="1">
        <v>2</v>
      </c>
      <c r="I618" s="1">
        <v>24080000</v>
      </c>
      <c r="J618" s="1">
        <v>785</v>
      </c>
      <c r="K618" s="1">
        <v>0</v>
      </c>
      <c r="L618" s="1">
        <v>14104</v>
      </c>
      <c r="M618" s="1">
        <v>13.608017</v>
      </c>
      <c r="N618" s="1">
        <v>101.35556</v>
      </c>
      <c r="O618" s="1">
        <v>19.41</v>
      </c>
      <c r="P618" s="1">
        <v>0.08</v>
      </c>
      <c r="Q618" s="1">
        <v>0.55000000000000004</v>
      </c>
      <c r="R618" s="1">
        <v>8.59</v>
      </c>
      <c r="S618" s="1">
        <v>4.33</v>
      </c>
      <c r="T618" s="1">
        <v>22.6</v>
      </c>
      <c r="U618" s="1">
        <v>66.849997999999999</v>
      </c>
      <c r="V618" s="1">
        <v>0.64</v>
      </c>
      <c r="W618" s="1">
        <v>0.01</v>
      </c>
      <c r="X618" s="1">
        <v>3607.331048</v>
      </c>
      <c r="Y618" s="1">
        <v>157919.02572500001</v>
      </c>
      <c r="Z618" t="str">
        <f>VLOOKUP(G618,'Code Pro'!$A$2:$B$9,2,FALSE)</f>
        <v>จ.ฉะเชิงเทรา</v>
      </c>
      <c r="AA618" s="8">
        <f t="shared" si="82"/>
        <v>3065208.2893222505</v>
      </c>
      <c r="AB618" s="8">
        <f t="shared" si="83"/>
        <v>12633.522058000002</v>
      </c>
      <c r="AC618" s="8">
        <f t="shared" si="84"/>
        <v>86855.464148750019</v>
      </c>
      <c r="AD618" s="8">
        <f t="shared" si="85"/>
        <v>1356524.4309777501</v>
      </c>
      <c r="AE618" s="8">
        <f t="shared" si="86"/>
        <v>683789.38138925005</v>
      </c>
      <c r="AF618" s="8">
        <f t="shared" si="87"/>
        <v>3568969.9813850005</v>
      </c>
      <c r="AG618" s="8">
        <f t="shared" si="88"/>
        <v>10556886.553878199</v>
      </c>
      <c r="AH618" s="8">
        <f t="shared" si="89"/>
        <v>101068.17646400002</v>
      </c>
      <c r="AI618" s="8">
        <f t="shared" si="90"/>
        <v>1579.1902572500003</v>
      </c>
    </row>
    <row r="619" spans="1:35" x14ac:dyDescent="0.55000000000000004">
      <c r="A619" s="1">
        <v>617</v>
      </c>
      <c r="B619" s="1" t="s">
        <v>20</v>
      </c>
      <c r="C619" s="1">
        <v>45</v>
      </c>
      <c r="D619" s="1">
        <v>8</v>
      </c>
      <c r="E619" s="1" t="s">
        <v>107</v>
      </c>
      <c r="F619" s="1" t="s">
        <v>108</v>
      </c>
      <c r="G619" s="1">
        <v>24</v>
      </c>
      <c r="H619" s="1">
        <v>2</v>
      </c>
      <c r="I619" s="1">
        <v>24080000</v>
      </c>
      <c r="J619" s="1">
        <v>786</v>
      </c>
      <c r="K619" s="1">
        <v>0</v>
      </c>
      <c r="L619" s="1">
        <v>13985</v>
      </c>
      <c r="M619" s="1">
        <v>13.527199</v>
      </c>
      <c r="N619" s="1">
        <v>101.4387</v>
      </c>
      <c r="O619" s="1">
        <v>13.93</v>
      </c>
      <c r="P619" s="1">
        <v>0</v>
      </c>
      <c r="Q619" s="1">
        <v>0.04</v>
      </c>
      <c r="R619" s="1">
        <v>0.13</v>
      </c>
      <c r="S619" s="1">
        <v>0</v>
      </c>
      <c r="T619" s="1">
        <v>13.69</v>
      </c>
      <c r="U619" s="1">
        <v>2.91</v>
      </c>
      <c r="V619" s="1">
        <v>0</v>
      </c>
      <c r="W619" s="1">
        <v>0.01</v>
      </c>
      <c r="X619" s="1">
        <v>32153.566083999998</v>
      </c>
      <c r="Y619" s="1">
        <v>46352065.322999999</v>
      </c>
      <c r="Z619" t="str">
        <f>VLOOKUP(G619,'Code Pro'!$A$2:$B$9,2,FALSE)</f>
        <v>จ.ฉะเชิงเทรา</v>
      </c>
      <c r="AA619" s="8">
        <f t="shared" si="82"/>
        <v>645684269.94938993</v>
      </c>
      <c r="AB619" s="8">
        <f t="shared" si="83"/>
        <v>0</v>
      </c>
      <c r="AC619" s="8">
        <f t="shared" si="84"/>
        <v>1854082.61292</v>
      </c>
      <c r="AD619" s="8">
        <f t="shared" si="85"/>
        <v>6025768.49199</v>
      </c>
      <c r="AE619" s="8">
        <f t="shared" si="86"/>
        <v>0</v>
      </c>
      <c r="AF619" s="8">
        <f t="shared" si="87"/>
        <v>634559774.27187002</v>
      </c>
      <c r="AG619" s="8">
        <f t="shared" si="88"/>
        <v>134884510.08993</v>
      </c>
      <c r="AH619" s="8">
        <f t="shared" si="89"/>
        <v>0</v>
      </c>
      <c r="AI619" s="8">
        <f t="shared" si="90"/>
        <v>463520.65323</v>
      </c>
    </row>
    <row r="620" spans="1:35" x14ac:dyDescent="0.55000000000000004">
      <c r="A620" s="1">
        <v>618</v>
      </c>
      <c r="B620" s="1" t="s">
        <v>20</v>
      </c>
      <c r="C620" s="1">
        <v>45</v>
      </c>
      <c r="D620" s="1">
        <v>8</v>
      </c>
      <c r="E620" s="1" t="s">
        <v>107</v>
      </c>
      <c r="F620" s="1" t="s">
        <v>108</v>
      </c>
      <c r="G620" s="1">
        <v>24</v>
      </c>
      <c r="H620" s="1">
        <v>2</v>
      </c>
      <c r="I620" s="1">
        <v>24080000</v>
      </c>
      <c r="J620" s="1">
        <v>787</v>
      </c>
      <c r="K620" s="1">
        <v>0</v>
      </c>
      <c r="L620" s="1">
        <v>14105</v>
      </c>
      <c r="M620" s="1">
        <v>13.608017</v>
      </c>
      <c r="N620" s="1">
        <v>101.4387</v>
      </c>
      <c r="O620" s="1">
        <v>10.130000000000001</v>
      </c>
      <c r="P620" s="1">
        <v>0</v>
      </c>
      <c r="Q620" s="1">
        <v>0.43</v>
      </c>
      <c r="R620" s="1">
        <v>0.25</v>
      </c>
      <c r="S620" s="1">
        <v>2.06</v>
      </c>
      <c r="T620" s="1">
        <v>13.75</v>
      </c>
      <c r="U620" s="1">
        <v>4.55</v>
      </c>
      <c r="V620" s="1">
        <v>0.49</v>
      </c>
      <c r="W620" s="1">
        <v>0.31</v>
      </c>
      <c r="X620" s="1">
        <v>33785.807908000002</v>
      </c>
      <c r="Y620" s="1">
        <v>73520355.820199996</v>
      </c>
      <c r="Z620" t="str">
        <f>VLOOKUP(G620,'Code Pro'!$A$2:$B$9,2,FALSE)</f>
        <v>จ.ฉะเชิงเทรา</v>
      </c>
      <c r="AA620" s="8">
        <f t="shared" si="82"/>
        <v>744761204.45862603</v>
      </c>
      <c r="AB620" s="8">
        <f t="shared" si="83"/>
        <v>0</v>
      </c>
      <c r="AC620" s="8">
        <f t="shared" si="84"/>
        <v>31613753.002685998</v>
      </c>
      <c r="AD620" s="8">
        <f t="shared" si="85"/>
        <v>18380088.955049999</v>
      </c>
      <c r="AE620" s="8">
        <f t="shared" si="86"/>
        <v>151451932.98961198</v>
      </c>
      <c r="AF620" s="8">
        <f t="shared" si="87"/>
        <v>1010904892.5277499</v>
      </c>
      <c r="AG620" s="8">
        <f t="shared" si="88"/>
        <v>334517618.98190999</v>
      </c>
      <c r="AH620" s="8">
        <f t="shared" si="89"/>
        <v>36024974.351898</v>
      </c>
      <c r="AI620" s="8">
        <f t="shared" si="90"/>
        <v>22791310.304261997</v>
      </c>
    </row>
    <row r="621" spans="1:35" x14ac:dyDescent="0.55000000000000004">
      <c r="A621" s="1">
        <v>619</v>
      </c>
      <c r="B621" s="1" t="s">
        <v>20</v>
      </c>
      <c r="C621" s="1">
        <v>45</v>
      </c>
      <c r="D621" s="1">
        <v>8</v>
      </c>
      <c r="E621" s="1" t="s">
        <v>107</v>
      </c>
      <c r="F621" s="1" t="s">
        <v>108</v>
      </c>
      <c r="G621" s="1">
        <v>24</v>
      </c>
      <c r="H621" s="1">
        <v>2</v>
      </c>
      <c r="I621" s="1">
        <v>24080000</v>
      </c>
      <c r="J621" s="1">
        <v>788</v>
      </c>
      <c r="K621" s="1">
        <v>0</v>
      </c>
      <c r="L621" s="1">
        <v>13986</v>
      </c>
      <c r="M621" s="1">
        <v>13.527199</v>
      </c>
      <c r="N621" s="1">
        <v>101.52182999999999</v>
      </c>
      <c r="O621" s="1">
        <v>1.44</v>
      </c>
      <c r="P621" s="1">
        <v>0</v>
      </c>
      <c r="Q621" s="1">
        <v>0.05</v>
      </c>
      <c r="R621" s="1">
        <v>0.25</v>
      </c>
      <c r="S621" s="1">
        <v>2.67</v>
      </c>
      <c r="T621" s="1">
        <v>24.35</v>
      </c>
      <c r="U621" s="1">
        <v>4.47</v>
      </c>
      <c r="V621" s="1">
        <v>0</v>
      </c>
      <c r="W621" s="1">
        <v>0.02</v>
      </c>
      <c r="X621" s="1">
        <v>36811.144325000001</v>
      </c>
      <c r="Y621" s="1">
        <v>66447258.6853</v>
      </c>
      <c r="Z621" t="str">
        <f>VLOOKUP(G621,'Code Pro'!$A$2:$B$9,2,FALSE)</f>
        <v>จ.ฉะเชิงเทรา</v>
      </c>
      <c r="AA621" s="8">
        <f t="shared" si="82"/>
        <v>95684052.506832004</v>
      </c>
      <c r="AB621" s="8">
        <f t="shared" si="83"/>
        <v>0</v>
      </c>
      <c r="AC621" s="8">
        <f t="shared" si="84"/>
        <v>3322362.9342650003</v>
      </c>
      <c r="AD621" s="8">
        <f t="shared" si="85"/>
        <v>16611814.671325</v>
      </c>
      <c r="AE621" s="8">
        <f t="shared" si="86"/>
        <v>177414180.689751</v>
      </c>
      <c r="AF621" s="8">
        <f t="shared" si="87"/>
        <v>1617990748.9870551</v>
      </c>
      <c r="AG621" s="8">
        <f t="shared" si="88"/>
        <v>297019246.323291</v>
      </c>
      <c r="AH621" s="8">
        <f t="shared" si="89"/>
        <v>0</v>
      </c>
      <c r="AI621" s="8">
        <f t="shared" si="90"/>
        <v>1328945.173706</v>
      </c>
    </row>
    <row r="622" spans="1:35" x14ac:dyDescent="0.55000000000000004">
      <c r="A622" s="1">
        <v>620</v>
      </c>
      <c r="B622" s="1" t="s">
        <v>20</v>
      </c>
      <c r="C622" s="1">
        <v>45</v>
      </c>
      <c r="D622" s="1">
        <v>8</v>
      </c>
      <c r="E622" s="1" t="s">
        <v>107</v>
      </c>
      <c r="F622" s="1" t="s">
        <v>108</v>
      </c>
      <c r="G622" s="1">
        <v>24</v>
      </c>
      <c r="H622" s="1">
        <v>2</v>
      </c>
      <c r="I622" s="1">
        <v>24080000</v>
      </c>
      <c r="J622" s="1">
        <v>792</v>
      </c>
      <c r="K622" s="1">
        <v>0</v>
      </c>
      <c r="L622" s="1">
        <v>14225</v>
      </c>
      <c r="M622" s="1">
        <v>13.688805</v>
      </c>
      <c r="N622" s="1">
        <v>101.4387</v>
      </c>
      <c r="O622" s="1">
        <v>23.57</v>
      </c>
      <c r="P622" s="1">
        <v>0.03</v>
      </c>
      <c r="Q622" s="1">
        <v>1.1599999999999999</v>
      </c>
      <c r="R622" s="1">
        <v>9.65</v>
      </c>
      <c r="S622" s="1">
        <v>0.71</v>
      </c>
      <c r="T622" s="1">
        <v>24.84</v>
      </c>
      <c r="U622" s="1">
        <v>1.1200000000000001</v>
      </c>
      <c r="V622" s="1">
        <v>16.77</v>
      </c>
      <c r="W622" s="1">
        <v>0</v>
      </c>
      <c r="X622" s="1">
        <v>20792.576818000001</v>
      </c>
      <c r="Y622" s="1">
        <v>23921361.5011</v>
      </c>
      <c r="Z622" t="str">
        <f>VLOOKUP(G622,'Code Pro'!$A$2:$B$9,2,FALSE)</f>
        <v>จ.ฉะเชิงเทรา</v>
      </c>
      <c r="AA622" s="8">
        <f t="shared" si="82"/>
        <v>563826490.58092701</v>
      </c>
      <c r="AB622" s="8">
        <f t="shared" si="83"/>
        <v>717640.84503299999</v>
      </c>
      <c r="AC622" s="8">
        <f t="shared" si="84"/>
        <v>27748779.341275997</v>
      </c>
      <c r="AD622" s="8">
        <f t="shared" si="85"/>
        <v>230841138.48561502</v>
      </c>
      <c r="AE622" s="8">
        <f t="shared" si="86"/>
        <v>16984166.665780999</v>
      </c>
      <c r="AF622" s="8">
        <f t="shared" si="87"/>
        <v>594206619.68732405</v>
      </c>
      <c r="AG622" s="8">
        <f t="shared" si="88"/>
        <v>26791924.881232001</v>
      </c>
      <c r="AH622" s="8">
        <f t="shared" si="89"/>
        <v>401161232.373447</v>
      </c>
      <c r="AI622" s="8">
        <f t="shared" si="90"/>
        <v>0</v>
      </c>
    </row>
    <row r="623" spans="1:35" x14ac:dyDescent="0.55000000000000004">
      <c r="A623" s="1">
        <v>621</v>
      </c>
      <c r="B623" s="1" t="s">
        <v>20</v>
      </c>
      <c r="C623" s="1">
        <v>45</v>
      </c>
      <c r="D623" s="1">
        <v>8</v>
      </c>
      <c r="E623" s="1" t="s">
        <v>107</v>
      </c>
      <c r="F623" s="1" t="s">
        <v>108</v>
      </c>
      <c r="G623" s="1">
        <v>24</v>
      </c>
      <c r="H623" s="1">
        <v>2</v>
      </c>
      <c r="I623" s="1">
        <v>24080000</v>
      </c>
      <c r="J623" s="1">
        <v>793</v>
      </c>
      <c r="K623" s="1">
        <v>0</v>
      </c>
      <c r="L623" s="1">
        <v>14106</v>
      </c>
      <c r="M623" s="1">
        <v>13.608017</v>
      </c>
      <c r="N623" s="1">
        <v>101.52182999999999</v>
      </c>
      <c r="O623" s="1">
        <v>5.33</v>
      </c>
      <c r="P623" s="1">
        <v>0</v>
      </c>
      <c r="Q623" s="1">
        <v>0.34</v>
      </c>
      <c r="R623" s="1">
        <v>7.0000000000000007E-2</v>
      </c>
      <c r="S623" s="1">
        <v>0.28999999999999998</v>
      </c>
      <c r="T623" s="1">
        <v>15.32</v>
      </c>
      <c r="U623" s="1">
        <v>3.87</v>
      </c>
      <c r="V623" s="1">
        <v>0.01</v>
      </c>
      <c r="W623" s="1">
        <v>0.87</v>
      </c>
      <c r="X623" s="1">
        <v>35890.399417000001</v>
      </c>
      <c r="Y623" s="1">
        <v>80506749.616799995</v>
      </c>
      <c r="Z623" t="str">
        <f>VLOOKUP(G623,'Code Pro'!$A$2:$B$9,2,FALSE)</f>
        <v>จ.ฉะเชิงเทรา</v>
      </c>
      <c r="AA623" s="8">
        <f t="shared" si="82"/>
        <v>429100975.45754397</v>
      </c>
      <c r="AB623" s="8">
        <f t="shared" si="83"/>
        <v>0</v>
      </c>
      <c r="AC623" s="8">
        <f t="shared" si="84"/>
        <v>27372294.869711999</v>
      </c>
      <c r="AD623" s="8">
        <f t="shared" si="85"/>
        <v>5635472.4731760006</v>
      </c>
      <c r="AE623" s="8">
        <f t="shared" si="86"/>
        <v>23346957.388871998</v>
      </c>
      <c r="AF623" s="8">
        <f t="shared" si="87"/>
        <v>1233363404.1293759</v>
      </c>
      <c r="AG623" s="8">
        <f t="shared" si="88"/>
        <v>311561121.01701599</v>
      </c>
      <c r="AH623" s="8">
        <f t="shared" si="89"/>
        <v>805067.49616799993</v>
      </c>
      <c r="AI623" s="8">
        <f t="shared" si="90"/>
        <v>70040872.166615993</v>
      </c>
    </row>
    <row r="624" spans="1:35" x14ac:dyDescent="0.55000000000000004">
      <c r="A624" s="1">
        <v>622</v>
      </c>
      <c r="B624" s="1" t="s">
        <v>20</v>
      </c>
      <c r="C624" s="1">
        <v>45</v>
      </c>
      <c r="D624" s="1">
        <v>8</v>
      </c>
      <c r="E624" s="1" t="s">
        <v>107</v>
      </c>
      <c r="F624" s="1" t="s">
        <v>108</v>
      </c>
      <c r="G624" s="1">
        <v>24</v>
      </c>
      <c r="H624" s="1">
        <v>2</v>
      </c>
      <c r="I624" s="1">
        <v>24080000</v>
      </c>
      <c r="J624" s="1">
        <v>797</v>
      </c>
      <c r="K624" s="1">
        <v>0</v>
      </c>
      <c r="L624" s="1">
        <v>14107</v>
      </c>
      <c r="M624" s="1">
        <v>13.608017</v>
      </c>
      <c r="N624" s="1">
        <v>101.60496500000001</v>
      </c>
      <c r="O624" s="1">
        <v>7.0000000000000007E-2</v>
      </c>
      <c r="P624" s="1">
        <v>4.57</v>
      </c>
      <c r="Q624" s="1">
        <v>0.17</v>
      </c>
      <c r="R624" s="1">
        <v>0.04</v>
      </c>
      <c r="S624" s="1">
        <v>4.59</v>
      </c>
      <c r="T624" s="1">
        <v>4.12</v>
      </c>
      <c r="U624" s="1">
        <v>6.87</v>
      </c>
      <c r="V624" s="1">
        <v>0</v>
      </c>
      <c r="W624" s="1">
        <v>0</v>
      </c>
      <c r="X624" s="1">
        <v>39193.228259000003</v>
      </c>
      <c r="Y624" s="1">
        <v>73009587.116400003</v>
      </c>
      <c r="Z624" t="str">
        <f>VLOOKUP(G624,'Code Pro'!$A$2:$B$9,2,FALSE)</f>
        <v>จ.ฉะเชิงเทรา</v>
      </c>
      <c r="AA624" s="8">
        <f t="shared" si="82"/>
        <v>5110671.0981480004</v>
      </c>
      <c r="AB624" s="8">
        <f t="shared" si="83"/>
        <v>333653813.12194806</v>
      </c>
      <c r="AC624" s="8">
        <f t="shared" si="84"/>
        <v>12411629.809788002</v>
      </c>
      <c r="AD624" s="8">
        <f t="shared" si="85"/>
        <v>2920383.484656</v>
      </c>
      <c r="AE624" s="8">
        <f t="shared" si="86"/>
        <v>335114004.86427599</v>
      </c>
      <c r="AF624" s="8">
        <f t="shared" si="87"/>
        <v>300799498.919568</v>
      </c>
      <c r="AG624" s="8">
        <f t="shared" si="88"/>
        <v>501575863.48966801</v>
      </c>
      <c r="AH624" s="8">
        <f t="shared" si="89"/>
        <v>0</v>
      </c>
      <c r="AI624" s="8">
        <f t="shared" si="90"/>
        <v>0</v>
      </c>
    </row>
    <row r="625" spans="1:35" x14ac:dyDescent="0.55000000000000004">
      <c r="A625" s="1">
        <v>623</v>
      </c>
      <c r="B625" s="1" t="s">
        <v>20</v>
      </c>
      <c r="C625" s="1">
        <v>45</v>
      </c>
      <c r="D625" s="1">
        <v>8</v>
      </c>
      <c r="E625" s="1" t="s">
        <v>107</v>
      </c>
      <c r="F625" s="1" t="s">
        <v>108</v>
      </c>
      <c r="G625" s="1">
        <v>24</v>
      </c>
      <c r="H625" s="1">
        <v>2</v>
      </c>
      <c r="I625" s="1">
        <v>24080000</v>
      </c>
      <c r="J625" s="1">
        <v>798</v>
      </c>
      <c r="K625" s="1">
        <v>0</v>
      </c>
      <c r="L625" s="1">
        <v>13988</v>
      </c>
      <c r="M625" s="1">
        <v>13.527199</v>
      </c>
      <c r="N625" s="1">
        <v>101.68810000000001</v>
      </c>
      <c r="O625" s="1">
        <v>0.13</v>
      </c>
      <c r="P625" s="1">
        <v>2.13</v>
      </c>
      <c r="Q625" s="1">
        <v>0.01</v>
      </c>
      <c r="R625" s="1">
        <v>0.03</v>
      </c>
      <c r="S625" s="1">
        <v>0.35</v>
      </c>
      <c r="T625" s="1">
        <v>4.53</v>
      </c>
      <c r="U625" s="1">
        <v>17.260000000000002</v>
      </c>
      <c r="V625" s="1">
        <v>0</v>
      </c>
      <c r="W625" s="1">
        <v>0</v>
      </c>
      <c r="X625" s="1">
        <v>10141.707299</v>
      </c>
      <c r="Y625" s="1">
        <v>4538242.0498099998</v>
      </c>
      <c r="Z625" t="str">
        <f>VLOOKUP(G625,'Code Pro'!$A$2:$B$9,2,FALSE)</f>
        <v>จ.ฉะเชิงเทรา</v>
      </c>
      <c r="AA625" s="8">
        <f t="shared" si="82"/>
        <v>589971.46647530003</v>
      </c>
      <c r="AB625" s="8">
        <f t="shared" si="83"/>
        <v>9666455.5660952982</v>
      </c>
      <c r="AC625" s="8">
        <f t="shared" si="84"/>
        <v>45382.4204981</v>
      </c>
      <c r="AD625" s="8">
        <f t="shared" si="85"/>
        <v>136147.26149429998</v>
      </c>
      <c r="AE625" s="8">
        <f t="shared" si="86"/>
        <v>1588384.7174334999</v>
      </c>
      <c r="AF625" s="8">
        <f t="shared" si="87"/>
        <v>20558236.4856393</v>
      </c>
      <c r="AG625" s="8">
        <f t="shared" si="88"/>
        <v>78330057.779720604</v>
      </c>
      <c r="AH625" s="8">
        <f t="shared" si="89"/>
        <v>0</v>
      </c>
      <c r="AI625" s="8">
        <f t="shared" si="90"/>
        <v>0</v>
      </c>
    </row>
    <row r="626" spans="1:35" x14ac:dyDescent="0.55000000000000004">
      <c r="A626" s="1">
        <v>624</v>
      </c>
      <c r="B626" s="1" t="s">
        <v>20</v>
      </c>
      <c r="C626" s="1">
        <v>45</v>
      </c>
      <c r="D626" s="1">
        <v>8</v>
      </c>
      <c r="E626" s="1" t="s">
        <v>107</v>
      </c>
      <c r="F626" s="1" t="s">
        <v>108</v>
      </c>
      <c r="G626" s="1">
        <v>24</v>
      </c>
      <c r="H626" s="1">
        <v>2</v>
      </c>
      <c r="I626" s="1">
        <v>24080000</v>
      </c>
      <c r="J626" s="1">
        <v>799</v>
      </c>
      <c r="K626" s="1">
        <v>0</v>
      </c>
      <c r="L626" s="1">
        <v>14108</v>
      </c>
      <c r="M626" s="1">
        <v>13.608017</v>
      </c>
      <c r="N626" s="1">
        <v>101.68810000000001</v>
      </c>
      <c r="O626" s="1">
        <v>0.13</v>
      </c>
      <c r="P626" s="1">
        <v>10.92</v>
      </c>
      <c r="Q626" s="1">
        <v>4.92</v>
      </c>
      <c r="R626" s="1">
        <v>0.09</v>
      </c>
      <c r="S626" s="1">
        <v>0.02</v>
      </c>
      <c r="T626" s="1">
        <v>2.4700000000000002</v>
      </c>
      <c r="U626" s="1">
        <v>11.48</v>
      </c>
      <c r="V626" s="1">
        <v>0</v>
      </c>
      <c r="W626" s="1">
        <v>0</v>
      </c>
      <c r="X626" s="1">
        <v>34084.542874999999</v>
      </c>
      <c r="Y626" s="1">
        <v>72084969.560100004</v>
      </c>
      <c r="Z626" t="str">
        <f>VLOOKUP(G626,'Code Pro'!$A$2:$B$9,2,FALSE)</f>
        <v>จ.ฉะเชิงเทรา</v>
      </c>
      <c r="AA626" s="8">
        <f t="shared" si="82"/>
        <v>9371046.0428130012</v>
      </c>
      <c r="AB626" s="8">
        <f t="shared" si="83"/>
        <v>787167867.59629202</v>
      </c>
      <c r="AC626" s="8">
        <f t="shared" si="84"/>
        <v>354658050.23569202</v>
      </c>
      <c r="AD626" s="8">
        <f t="shared" si="85"/>
        <v>6487647.2604090003</v>
      </c>
      <c r="AE626" s="8">
        <f t="shared" si="86"/>
        <v>1441699.3912020002</v>
      </c>
      <c r="AF626" s="8">
        <f t="shared" si="87"/>
        <v>178049874.81344703</v>
      </c>
      <c r="AG626" s="8">
        <f t="shared" si="88"/>
        <v>827535450.5499481</v>
      </c>
      <c r="AH626" s="8">
        <f t="shared" si="89"/>
        <v>0</v>
      </c>
      <c r="AI626" s="8">
        <f t="shared" si="90"/>
        <v>0</v>
      </c>
    </row>
    <row r="627" spans="1:35" x14ac:dyDescent="0.55000000000000004">
      <c r="A627" s="1">
        <v>625</v>
      </c>
      <c r="B627" s="1" t="s">
        <v>20</v>
      </c>
      <c r="C627" s="1">
        <v>45</v>
      </c>
      <c r="D627" s="1">
        <v>8</v>
      </c>
      <c r="E627" s="1" t="s">
        <v>107</v>
      </c>
      <c r="F627" s="1" t="s">
        <v>108</v>
      </c>
      <c r="G627" s="1">
        <v>24</v>
      </c>
      <c r="H627" s="1">
        <v>2</v>
      </c>
      <c r="I627" s="1">
        <v>24080000</v>
      </c>
      <c r="J627" s="1">
        <v>800</v>
      </c>
      <c r="K627" s="1">
        <v>0</v>
      </c>
      <c r="L627" s="1">
        <v>13987</v>
      </c>
      <c r="M627" s="1">
        <v>13.527199</v>
      </c>
      <c r="N627" s="1">
        <v>101.60496500000001</v>
      </c>
      <c r="O627" s="1">
        <v>0.25</v>
      </c>
      <c r="P627" s="1">
        <v>0.06</v>
      </c>
      <c r="Q627" s="1">
        <v>0.01</v>
      </c>
      <c r="R627" s="1">
        <v>0.04</v>
      </c>
      <c r="S627" s="1">
        <v>2.34</v>
      </c>
      <c r="T627" s="1">
        <v>8.9600000000000009</v>
      </c>
      <c r="U627" s="1">
        <v>4.8899999999999997</v>
      </c>
      <c r="V627" s="1">
        <v>0</v>
      </c>
      <c r="W627" s="1">
        <v>0</v>
      </c>
      <c r="X627" s="1">
        <v>16368.873509999999</v>
      </c>
      <c r="Y627" s="1">
        <v>6688111.8384600002</v>
      </c>
      <c r="Z627" t="str">
        <f>VLOOKUP(G627,'Code Pro'!$A$2:$B$9,2,FALSE)</f>
        <v>จ.ฉะเชิงเทรา</v>
      </c>
      <c r="AA627" s="8">
        <f t="shared" si="82"/>
        <v>1672027.9596150001</v>
      </c>
      <c r="AB627" s="8">
        <f t="shared" si="83"/>
        <v>401286.71030759998</v>
      </c>
      <c r="AC627" s="8">
        <f t="shared" si="84"/>
        <v>66881.118384600006</v>
      </c>
      <c r="AD627" s="8">
        <f t="shared" si="85"/>
        <v>267524.47353840002</v>
      </c>
      <c r="AE627" s="8">
        <f t="shared" si="86"/>
        <v>15650181.701996399</v>
      </c>
      <c r="AF627" s="8">
        <f t="shared" si="87"/>
        <v>59925482.072601609</v>
      </c>
      <c r="AG627" s="8">
        <f t="shared" si="88"/>
        <v>32704866.890069399</v>
      </c>
      <c r="AH627" s="8">
        <f t="shared" si="89"/>
        <v>0</v>
      </c>
      <c r="AI627" s="8">
        <f t="shared" si="90"/>
        <v>0</v>
      </c>
    </row>
    <row r="628" spans="1:35" x14ac:dyDescent="0.55000000000000004">
      <c r="A628" s="1">
        <v>626</v>
      </c>
      <c r="B628" s="1" t="s">
        <v>20</v>
      </c>
      <c r="C628" s="1">
        <v>45</v>
      </c>
      <c r="D628" s="1">
        <v>8</v>
      </c>
      <c r="E628" s="1" t="s">
        <v>107</v>
      </c>
      <c r="F628" s="1" t="s">
        <v>108</v>
      </c>
      <c r="G628" s="1">
        <v>24</v>
      </c>
      <c r="H628" s="1">
        <v>2</v>
      </c>
      <c r="I628" s="1">
        <v>24080000</v>
      </c>
      <c r="J628" s="1">
        <v>801</v>
      </c>
      <c r="K628" s="1">
        <v>0</v>
      </c>
      <c r="L628" s="1">
        <v>13990</v>
      </c>
      <c r="M628" s="1">
        <v>13.527199</v>
      </c>
      <c r="N628" s="1">
        <v>101.85438000000001</v>
      </c>
      <c r="O628" s="1">
        <v>0.01</v>
      </c>
      <c r="P628" s="1">
        <v>0.32</v>
      </c>
      <c r="Q628" s="1">
        <v>0.1</v>
      </c>
      <c r="R628" s="1">
        <v>0.01</v>
      </c>
      <c r="S628" s="1">
        <v>0</v>
      </c>
      <c r="T628" s="1">
        <v>9.67</v>
      </c>
      <c r="U628" s="1">
        <v>20.43</v>
      </c>
      <c r="V628" s="1">
        <v>0.44</v>
      </c>
      <c r="W628" s="1">
        <v>0</v>
      </c>
      <c r="X628" s="1">
        <v>36138.972283000003</v>
      </c>
      <c r="Y628" s="1">
        <v>70141303.017700002</v>
      </c>
      <c r="Z628" t="str">
        <f>VLOOKUP(G628,'Code Pro'!$A$2:$B$9,2,FALSE)</f>
        <v>จ.ฉะเชิงเทรา</v>
      </c>
      <c r="AA628" s="8">
        <f t="shared" si="82"/>
        <v>701413.03017699998</v>
      </c>
      <c r="AB628" s="8">
        <f t="shared" si="83"/>
        <v>22445216.965663999</v>
      </c>
      <c r="AC628" s="8">
        <f t="shared" si="84"/>
        <v>7014130.3017700007</v>
      </c>
      <c r="AD628" s="8">
        <f t="shared" si="85"/>
        <v>701413.03017699998</v>
      </c>
      <c r="AE628" s="8">
        <f t="shared" si="86"/>
        <v>0</v>
      </c>
      <c r="AF628" s="8">
        <f t="shared" si="87"/>
        <v>678266400.18115902</v>
      </c>
      <c r="AG628" s="8">
        <f t="shared" si="88"/>
        <v>1432986820.6516111</v>
      </c>
      <c r="AH628" s="8">
        <f t="shared" si="89"/>
        <v>30862173.327787999</v>
      </c>
      <c r="AI628" s="8">
        <f t="shared" si="90"/>
        <v>0</v>
      </c>
    </row>
    <row r="629" spans="1:35" x14ac:dyDescent="0.55000000000000004">
      <c r="A629" s="1">
        <v>627</v>
      </c>
      <c r="B629" s="1" t="s">
        <v>20</v>
      </c>
      <c r="C629" s="1">
        <v>45</v>
      </c>
      <c r="D629" s="1">
        <v>8</v>
      </c>
      <c r="E629" s="1" t="s">
        <v>107</v>
      </c>
      <c r="F629" s="1" t="s">
        <v>108</v>
      </c>
      <c r="G629" s="1">
        <v>24</v>
      </c>
      <c r="H629" s="1">
        <v>2</v>
      </c>
      <c r="I629" s="1">
        <v>24080000</v>
      </c>
      <c r="J629" s="1">
        <v>802</v>
      </c>
      <c r="K629" s="1">
        <v>0</v>
      </c>
      <c r="L629" s="1">
        <v>13989</v>
      </c>
      <c r="M629" s="1">
        <v>13.527199</v>
      </c>
      <c r="N629" s="1">
        <v>101.77124000000001</v>
      </c>
      <c r="O629" s="1">
        <v>0</v>
      </c>
      <c r="P629" s="1">
        <v>16.670000000000002</v>
      </c>
      <c r="Q629" s="1">
        <v>0.24</v>
      </c>
      <c r="R629" s="1">
        <v>0</v>
      </c>
      <c r="S629" s="1">
        <v>0.4</v>
      </c>
      <c r="T629" s="1">
        <v>2.94</v>
      </c>
      <c r="U629" s="1">
        <v>57.279998999999997</v>
      </c>
      <c r="V629" s="1">
        <v>0.71</v>
      </c>
      <c r="W629" s="1">
        <v>0</v>
      </c>
      <c r="X629" s="1">
        <v>29983.716916000001</v>
      </c>
      <c r="Y629" s="1">
        <v>29626033.583999999</v>
      </c>
      <c r="Z629" t="str">
        <f>VLOOKUP(G629,'Code Pro'!$A$2:$B$9,2,FALSE)</f>
        <v>จ.ฉะเชิงเทรา</v>
      </c>
      <c r="AA629" s="8">
        <f t="shared" si="82"/>
        <v>0</v>
      </c>
      <c r="AB629" s="8">
        <f t="shared" si="83"/>
        <v>493865979.84528005</v>
      </c>
      <c r="AC629" s="8">
        <f t="shared" si="84"/>
        <v>7110248.0601599999</v>
      </c>
      <c r="AD629" s="8">
        <f t="shared" si="85"/>
        <v>0</v>
      </c>
      <c r="AE629" s="8">
        <f t="shared" si="86"/>
        <v>11850413.433600001</v>
      </c>
      <c r="AF629" s="8">
        <f t="shared" si="87"/>
        <v>87100538.736959994</v>
      </c>
      <c r="AG629" s="8">
        <f t="shared" si="88"/>
        <v>1696979174.0654862</v>
      </c>
      <c r="AH629" s="8">
        <f t="shared" si="89"/>
        <v>21034483.844639998</v>
      </c>
      <c r="AI629" s="8">
        <f t="shared" si="90"/>
        <v>0</v>
      </c>
    </row>
    <row r="630" spans="1:35" x14ac:dyDescent="0.55000000000000004">
      <c r="A630" s="1">
        <v>628</v>
      </c>
      <c r="B630" s="1" t="s">
        <v>20</v>
      </c>
      <c r="C630" s="1">
        <v>45</v>
      </c>
      <c r="D630" s="1">
        <v>8</v>
      </c>
      <c r="E630" s="1" t="s">
        <v>107</v>
      </c>
      <c r="F630" s="1" t="s">
        <v>108</v>
      </c>
      <c r="G630" s="1">
        <v>24</v>
      </c>
      <c r="H630" s="1">
        <v>2</v>
      </c>
      <c r="I630" s="1">
        <v>24080000</v>
      </c>
      <c r="J630" s="1">
        <v>803</v>
      </c>
      <c r="K630" s="1">
        <v>0</v>
      </c>
      <c r="L630" s="1">
        <v>14110</v>
      </c>
      <c r="M630" s="1">
        <v>13.608017</v>
      </c>
      <c r="N630" s="1">
        <v>101.85438000000001</v>
      </c>
      <c r="O630" s="1">
        <v>0.02</v>
      </c>
      <c r="P630" s="1">
        <v>29.18</v>
      </c>
      <c r="Q630" s="1">
        <v>0.01</v>
      </c>
      <c r="R630" s="1">
        <v>0.15</v>
      </c>
      <c r="S630" s="1">
        <v>0.02</v>
      </c>
      <c r="T630" s="1">
        <v>4.41</v>
      </c>
      <c r="U630" s="1">
        <v>36.279998999999997</v>
      </c>
      <c r="V630" s="1">
        <v>0</v>
      </c>
      <c r="W630" s="1">
        <v>0</v>
      </c>
      <c r="X630" s="1">
        <v>34942.502530999998</v>
      </c>
      <c r="Y630" s="1">
        <v>56979432.251900002</v>
      </c>
      <c r="Z630" t="str">
        <f>VLOOKUP(G630,'Code Pro'!$A$2:$B$9,2,FALSE)</f>
        <v>จ.ฉะเชิงเทรา</v>
      </c>
      <c r="AA630" s="8">
        <f t="shared" si="82"/>
        <v>1139588.6450380001</v>
      </c>
      <c r="AB630" s="8">
        <f t="shared" si="83"/>
        <v>1662659833.1104422</v>
      </c>
      <c r="AC630" s="8">
        <f t="shared" si="84"/>
        <v>569794.32251900004</v>
      </c>
      <c r="AD630" s="8">
        <f t="shared" si="85"/>
        <v>8546914.837785</v>
      </c>
      <c r="AE630" s="8">
        <f t="shared" si="86"/>
        <v>1139588.6450380001</v>
      </c>
      <c r="AF630" s="8">
        <f t="shared" si="87"/>
        <v>251279296.23087901</v>
      </c>
      <c r="AG630" s="8">
        <f t="shared" si="88"/>
        <v>2067213745.1194997</v>
      </c>
      <c r="AH630" s="8">
        <f t="shared" si="89"/>
        <v>0</v>
      </c>
      <c r="AI630" s="8">
        <f t="shared" si="90"/>
        <v>0</v>
      </c>
    </row>
    <row r="631" spans="1:35" x14ac:dyDescent="0.55000000000000004">
      <c r="A631" s="1">
        <v>629</v>
      </c>
      <c r="B631" s="1" t="s">
        <v>20</v>
      </c>
      <c r="C631" s="1">
        <v>45</v>
      </c>
      <c r="D631" s="1">
        <v>8</v>
      </c>
      <c r="E631" s="1" t="s">
        <v>107</v>
      </c>
      <c r="F631" s="1" t="s">
        <v>108</v>
      </c>
      <c r="G631" s="1">
        <v>24</v>
      </c>
      <c r="H631" s="1">
        <v>2</v>
      </c>
      <c r="I631" s="1">
        <v>24080000</v>
      </c>
      <c r="J631" s="1">
        <v>804</v>
      </c>
      <c r="K631" s="1">
        <v>0</v>
      </c>
      <c r="L631" s="1">
        <v>14109</v>
      </c>
      <c r="M631" s="1">
        <v>13.608017</v>
      </c>
      <c r="N631" s="1">
        <v>101.77124000000001</v>
      </c>
      <c r="O631" s="1">
        <v>0.02</v>
      </c>
      <c r="P631" s="1">
        <v>56.299999</v>
      </c>
      <c r="Q631" s="1">
        <v>0.2</v>
      </c>
      <c r="R631" s="1">
        <v>0.2</v>
      </c>
      <c r="S631" s="1">
        <v>0</v>
      </c>
      <c r="T631" s="1">
        <v>4.16</v>
      </c>
      <c r="U631" s="1">
        <v>20.85</v>
      </c>
      <c r="V631" s="1">
        <v>0</v>
      </c>
      <c r="W631" s="1">
        <v>0</v>
      </c>
      <c r="X631" s="1">
        <v>35898.888959999997</v>
      </c>
      <c r="Y631" s="1">
        <v>80544817.337899998</v>
      </c>
      <c r="Z631" t="str">
        <f>VLOOKUP(G631,'Code Pro'!$A$2:$B$9,2,FALSE)</f>
        <v>จ.ฉะเชิงเทรา</v>
      </c>
      <c r="AA631" s="8">
        <f t="shared" si="82"/>
        <v>1610896.3467580001</v>
      </c>
      <c r="AB631" s="8">
        <f t="shared" si="83"/>
        <v>4534673135.5789528</v>
      </c>
      <c r="AC631" s="8">
        <f t="shared" si="84"/>
        <v>16108963.46758</v>
      </c>
      <c r="AD631" s="8">
        <f t="shared" si="85"/>
        <v>16108963.46758</v>
      </c>
      <c r="AE631" s="8">
        <f t="shared" si="86"/>
        <v>0</v>
      </c>
      <c r="AF631" s="8">
        <f t="shared" si="87"/>
        <v>335066440.125664</v>
      </c>
      <c r="AG631" s="8">
        <f t="shared" si="88"/>
        <v>1679359441.4952152</v>
      </c>
      <c r="AH631" s="8">
        <f t="shared" si="89"/>
        <v>0</v>
      </c>
      <c r="AI631" s="8">
        <f t="shared" si="90"/>
        <v>0</v>
      </c>
    </row>
    <row r="632" spans="1:35" x14ac:dyDescent="0.55000000000000004">
      <c r="A632" s="1">
        <v>630</v>
      </c>
      <c r="B632" s="1" t="s">
        <v>20</v>
      </c>
      <c r="C632" s="1">
        <v>45</v>
      </c>
      <c r="D632" s="1">
        <v>8</v>
      </c>
      <c r="E632" s="1" t="s">
        <v>107</v>
      </c>
      <c r="F632" s="1" t="s">
        <v>108</v>
      </c>
      <c r="G632" s="1">
        <v>24</v>
      </c>
      <c r="H632" s="1">
        <v>2</v>
      </c>
      <c r="I632" s="1">
        <v>24080000</v>
      </c>
      <c r="J632" s="1">
        <v>805</v>
      </c>
      <c r="K632" s="1">
        <v>0</v>
      </c>
      <c r="L632" s="1">
        <v>14226</v>
      </c>
      <c r="M632" s="1">
        <v>13.688805</v>
      </c>
      <c r="N632" s="1">
        <v>101.52182999999999</v>
      </c>
      <c r="O632" s="1">
        <v>19.02</v>
      </c>
      <c r="P632" s="1">
        <v>0.55000000000000004</v>
      </c>
      <c r="Q632" s="1">
        <v>1.35</v>
      </c>
      <c r="R632" s="1">
        <v>0.64</v>
      </c>
      <c r="S632" s="1">
        <v>0.89</v>
      </c>
      <c r="T632" s="1">
        <v>12.59</v>
      </c>
      <c r="U632" s="1">
        <v>1.3</v>
      </c>
      <c r="V632" s="1">
        <v>0.27</v>
      </c>
      <c r="W632" s="1">
        <v>0</v>
      </c>
      <c r="X632" s="1">
        <v>33758.913817000001</v>
      </c>
      <c r="Y632" s="1">
        <v>50566336.478799999</v>
      </c>
      <c r="Z632" t="str">
        <f>VLOOKUP(G632,'Code Pro'!$A$2:$B$9,2,FALSE)</f>
        <v>จ.ฉะเชิงเทรา</v>
      </c>
      <c r="AA632" s="8">
        <f t="shared" si="82"/>
        <v>961771719.82677591</v>
      </c>
      <c r="AB632" s="8">
        <f t="shared" si="83"/>
        <v>27811485.063340001</v>
      </c>
      <c r="AC632" s="8">
        <f t="shared" si="84"/>
        <v>68264554.246380001</v>
      </c>
      <c r="AD632" s="8">
        <f t="shared" si="85"/>
        <v>32362455.346432</v>
      </c>
      <c r="AE632" s="8">
        <f t="shared" si="86"/>
        <v>45004039.466132</v>
      </c>
      <c r="AF632" s="8">
        <f t="shared" si="87"/>
        <v>636630176.26809204</v>
      </c>
      <c r="AG632" s="8">
        <f t="shared" si="88"/>
        <v>65736237.42244</v>
      </c>
      <c r="AH632" s="8">
        <f t="shared" si="89"/>
        <v>13652910.849276001</v>
      </c>
      <c r="AI632" s="8">
        <f t="shared" si="90"/>
        <v>0</v>
      </c>
    </row>
    <row r="633" spans="1:35" x14ac:dyDescent="0.55000000000000004">
      <c r="A633" s="1">
        <v>631</v>
      </c>
      <c r="B633" s="1" t="s">
        <v>20</v>
      </c>
      <c r="C633" s="1">
        <v>45</v>
      </c>
      <c r="D633" s="1">
        <v>8</v>
      </c>
      <c r="E633" s="1" t="s">
        <v>107</v>
      </c>
      <c r="F633" s="1" t="s">
        <v>108</v>
      </c>
      <c r="G633" s="1">
        <v>24</v>
      </c>
      <c r="H633" s="1">
        <v>2</v>
      </c>
      <c r="I633" s="1">
        <v>24080000</v>
      </c>
      <c r="J633" s="1">
        <v>806</v>
      </c>
      <c r="K633" s="1">
        <v>0</v>
      </c>
      <c r="L633" s="1">
        <v>14227</v>
      </c>
      <c r="M633" s="1">
        <v>13.688805</v>
      </c>
      <c r="N633" s="1">
        <v>101.60496500000001</v>
      </c>
      <c r="O633" s="1">
        <v>5.61</v>
      </c>
      <c r="P633" s="1">
        <v>0.08</v>
      </c>
      <c r="Q633" s="1">
        <v>0.64</v>
      </c>
      <c r="R633" s="1">
        <v>0.13</v>
      </c>
      <c r="S633" s="1">
        <v>0.49</v>
      </c>
      <c r="T633" s="1">
        <v>2.81</v>
      </c>
      <c r="U633" s="1">
        <v>2.13</v>
      </c>
      <c r="V633" s="1">
        <v>1.42</v>
      </c>
      <c r="W633" s="1">
        <v>0</v>
      </c>
      <c r="X633" s="1">
        <v>35610.935477999999</v>
      </c>
      <c r="Y633" s="1">
        <v>79808722.608099997</v>
      </c>
      <c r="Z633" t="str">
        <f>VLOOKUP(G633,'Code Pro'!$A$2:$B$9,2,FALSE)</f>
        <v>จ.ฉะเชิงเทรา</v>
      </c>
      <c r="AA633" s="8">
        <f t="shared" si="82"/>
        <v>447726933.83144099</v>
      </c>
      <c r="AB633" s="8">
        <f t="shared" si="83"/>
        <v>6384697.8086479995</v>
      </c>
      <c r="AC633" s="8">
        <f t="shared" si="84"/>
        <v>51077582.469183996</v>
      </c>
      <c r="AD633" s="8">
        <f t="shared" si="85"/>
        <v>10375133.939053001</v>
      </c>
      <c r="AE633" s="8">
        <f t="shared" si="86"/>
        <v>39106274.077969</v>
      </c>
      <c r="AF633" s="8">
        <f t="shared" si="87"/>
        <v>224262510.528761</v>
      </c>
      <c r="AG633" s="8">
        <f t="shared" si="88"/>
        <v>169992579.15525299</v>
      </c>
      <c r="AH633" s="8">
        <f t="shared" si="89"/>
        <v>113328386.10350199</v>
      </c>
      <c r="AI633" s="8">
        <f t="shared" si="90"/>
        <v>0</v>
      </c>
    </row>
    <row r="634" spans="1:35" x14ac:dyDescent="0.55000000000000004">
      <c r="A634" s="1">
        <v>632</v>
      </c>
      <c r="B634" s="1" t="s">
        <v>20</v>
      </c>
      <c r="C634" s="1">
        <v>45</v>
      </c>
      <c r="D634" s="1">
        <v>8</v>
      </c>
      <c r="E634" s="1" t="s">
        <v>107</v>
      </c>
      <c r="F634" s="1" t="s">
        <v>108</v>
      </c>
      <c r="G634" s="1">
        <v>24</v>
      </c>
      <c r="H634" s="1">
        <v>2</v>
      </c>
      <c r="I634" s="1">
        <v>24080000</v>
      </c>
      <c r="J634" s="1">
        <v>808</v>
      </c>
      <c r="K634" s="1">
        <v>0</v>
      </c>
      <c r="L634" s="1">
        <v>14349</v>
      </c>
      <c r="M634" s="1">
        <v>13.769569000000001</v>
      </c>
      <c r="N634" s="1">
        <v>101.77124000000001</v>
      </c>
      <c r="O634" s="1">
        <v>18.690000999999999</v>
      </c>
      <c r="P634" s="1">
        <v>0.03</v>
      </c>
      <c r="Q634" s="1">
        <v>2.9</v>
      </c>
      <c r="R634" s="1">
        <v>0</v>
      </c>
      <c r="S634" s="1">
        <v>0.78</v>
      </c>
      <c r="T634" s="1">
        <v>2.5299999999999998</v>
      </c>
      <c r="U634" s="1">
        <v>17.280000999999999</v>
      </c>
      <c r="V634" s="1">
        <v>0.01</v>
      </c>
      <c r="W634" s="1">
        <v>0</v>
      </c>
      <c r="X634" s="1">
        <v>22404.157378</v>
      </c>
      <c r="Y634" s="1">
        <v>22783980.370200001</v>
      </c>
      <c r="Z634" t="str">
        <f>VLOOKUP(G634,'Code Pro'!$A$2:$B$9,2,FALSE)</f>
        <v>จ.ฉะเชิงเทรา</v>
      </c>
      <c r="AA634" s="8">
        <f t="shared" si="82"/>
        <v>425832615.90301836</v>
      </c>
      <c r="AB634" s="8">
        <f t="shared" si="83"/>
        <v>683519.41110599996</v>
      </c>
      <c r="AC634" s="8">
        <f t="shared" si="84"/>
        <v>66073543.073579997</v>
      </c>
      <c r="AD634" s="8">
        <f t="shared" si="85"/>
        <v>0</v>
      </c>
      <c r="AE634" s="8">
        <f t="shared" si="86"/>
        <v>17771504.688756</v>
      </c>
      <c r="AF634" s="8">
        <f t="shared" si="87"/>
        <v>57643470.336605996</v>
      </c>
      <c r="AG634" s="8">
        <f t="shared" si="88"/>
        <v>393707203.58103633</v>
      </c>
      <c r="AH634" s="8">
        <f t="shared" si="89"/>
        <v>227839.803702</v>
      </c>
      <c r="AI634" s="8">
        <f t="shared" si="90"/>
        <v>0</v>
      </c>
    </row>
    <row r="635" spans="1:35" x14ac:dyDescent="0.55000000000000004">
      <c r="A635" s="1">
        <v>633</v>
      </c>
      <c r="B635" s="1" t="s">
        <v>20</v>
      </c>
      <c r="C635" s="1">
        <v>45</v>
      </c>
      <c r="D635" s="1">
        <v>8</v>
      </c>
      <c r="E635" s="1" t="s">
        <v>107</v>
      </c>
      <c r="F635" s="1" t="s">
        <v>108</v>
      </c>
      <c r="G635" s="1">
        <v>24</v>
      </c>
      <c r="H635" s="1">
        <v>2</v>
      </c>
      <c r="I635" s="1">
        <v>24080000</v>
      </c>
      <c r="J635" s="1">
        <v>810</v>
      </c>
      <c r="K635" s="1">
        <v>0</v>
      </c>
      <c r="L635" s="1">
        <v>14347</v>
      </c>
      <c r="M635" s="1">
        <v>13.769569000000001</v>
      </c>
      <c r="N635" s="1">
        <v>101.60496500000001</v>
      </c>
      <c r="O635" s="1">
        <v>2.39</v>
      </c>
      <c r="P635" s="1">
        <v>0.17</v>
      </c>
      <c r="Q635" s="1">
        <v>0.6</v>
      </c>
      <c r="R635" s="1">
        <v>3.17</v>
      </c>
      <c r="S635" s="1">
        <v>0.81</v>
      </c>
      <c r="T635" s="1">
        <v>0.56000000000000005</v>
      </c>
      <c r="U635" s="1">
        <v>5.08</v>
      </c>
      <c r="V635" s="1">
        <v>1.77</v>
      </c>
      <c r="W635" s="1">
        <v>0</v>
      </c>
      <c r="X635" s="1">
        <v>16393.597091</v>
      </c>
      <c r="Y635" s="1">
        <v>8528943.4532099999</v>
      </c>
      <c r="Z635" t="str">
        <f>VLOOKUP(G635,'Code Pro'!$A$2:$B$9,2,FALSE)</f>
        <v>จ.ฉะเชิงเทรา</v>
      </c>
      <c r="AA635" s="8">
        <f t="shared" si="82"/>
        <v>20384174.8531719</v>
      </c>
      <c r="AB635" s="8">
        <f t="shared" si="83"/>
        <v>1449920.3870457001</v>
      </c>
      <c r="AC635" s="8">
        <f t="shared" si="84"/>
        <v>5117366.0719259996</v>
      </c>
      <c r="AD635" s="8">
        <f t="shared" si="85"/>
        <v>27036750.7466757</v>
      </c>
      <c r="AE635" s="8">
        <f t="shared" si="86"/>
        <v>6908444.1971001001</v>
      </c>
      <c r="AF635" s="8">
        <f t="shared" si="87"/>
        <v>4776208.3337976001</v>
      </c>
      <c r="AG635" s="8">
        <f t="shared" si="88"/>
        <v>43327032.742306799</v>
      </c>
      <c r="AH635" s="8">
        <f t="shared" si="89"/>
        <v>15096229.9121817</v>
      </c>
      <c r="AI635" s="8">
        <f t="shared" si="90"/>
        <v>0</v>
      </c>
    </row>
    <row r="636" spans="1:35" x14ac:dyDescent="0.55000000000000004">
      <c r="A636" s="1">
        <v>634</v>
      </c>
      <c r="B636" s="1" t="s">
        <v>20</v>
      </c>
      <c r="C636" s="1">
        <v>45</v>
      </c>
      <c r="D636" s="1">
        <v>8</v>
      </c>
      <c r="E636" s="1" t="s">
        <v>107</v>
      </c>
      <c r="F636" s="1" t="s">
        <v>108</v>
      </c>
      <c r="G636" s="1">
        <v>24</v>
      </c>
      <c r="H636" s="1">
        <v>2</v>
      </c>
      <c r="I636" s="1">
        <v>24080000</v>
      </c>
      <c r="J636" s="1">
        <v>811</v>
      </c>
      <c r="K636" s="1">
        <v>0</v>
      </c>
      <c r="L636" s="1">
        <v>14228</v>
      </c>
      <c r="M636" s="1">
        <v>13.688805</v>
      </c>
      <c r="N636" s="1">
        <v>101.68810000000001</v>
      </c>
      <c r="O636" s="1">
        <v>1.39</v>
      </c>
      <c r="P636" s="1">
        <v>3.2</v>
      </c>
      <c r="Q636" s="1">
        <v>2.11</v>
      </c>
      <c r="R636" s="1">
        <v>0.16</v>
      </c>
      <c r="S636" s="1">
        <v>0.18</v>
      </c>
      <c r="T636" s="1">
        <v>0.63</v>
      </c>
      <c r="U636" s="1">
        <v>17.790001</v>
      </c>
      <c r="V636" s="1">
        <v>0</v>
      </c>
      <c r="W636" s="1">
        <v>0</v>
      </c>
      <c r="X636" s="1">
        <v>35883.974282000003</v>
      </c>
      <c r="Y636" s="1">
        <v>80477915.269299999</v>
      </c>
      <c r="Z636" t="str">
        <f>VLOOKUP(G636,'Code Pro'!$A$2:$B$9,2,FALSE)</f>
        <v>จ.ฉะเชิงเทรา</v>
      </c>
      <c r="AA636" s="8">
        <f t="shared" si="82"/>
        <v>111864302.224327</v>
      </c>
      <c r="AB636" s="8">
        <f t="shared" si="83"/>
        <v>257529328.86176002</v>
      </c>
      <c r="AC636" s="8">
        <f t="shared" si="84"/>
        <v>169808401.21822298</v>
      </c>
      <c r="AD636" s="8">
        <f t="shared" si="85"/>
        <v>12876466.443088001</v>
      </c>
      <c r="AE636" s="8">
        <f t="shared" si="86"/>
        <v>14486024.748474</v>
      </c>
      <c r="AF636" s="8">
        <f t="shared" si="87"/>
        <v>50701086.619658999</v>
      </c>
      <c r="AG636" s="8">
        <f t="shared" si="88"/>
        <v>1431702193.1187623</v>
      </c>
      <c r="AH636" s="8">
        <f t="shared" si="89"/>
        <v>0</v>
      </c>
      <c r="AI636" s="8">
        <f t="shared" si="90"/>
        <v>0</v>
      </c>
    </row>
    <row r="637" spans="1:35" x14ac:dyDescent="0.55000000000000004">
      <c r="A637" s="1">
        <v>635</v>
      </c>
      <c r="B637" s="1" t="s">
        <v>20</v>
      </c>
      <c r="C637" s="1">
        <v>45</v>
      </c>
      <c r="D637" s="1">
        <v>8</v>
      </c>
      <c r="E637" s="1" t="s">
        <v>107</v>
      </c>
      <c r="F637" s="1" t="s">
        <v>108</v>
      </c>
      <c r="G637" s="1">
        <v>24</v>
      </c>
      <c r="H637" s="1">
        <v>2</v>
      </c>
      <c r="I637" s="1">
        <v>24080000</v>
      </c>
      <c r="J637" s="1">
        <v>813</v>
      </c>
      <c r="K637" s="1">
        <v>0</v>
      </c>
      <c r="L637" s="1">
        <v>14348</v>
      </c>
      <c r="M637" s="1">
        <v>13.769569000000001</v>
      </c>
      <c r="N637" s="1">
        <v>101.68810000000001</v>
      </c>
      <c r="O637" s="1">
        <v>4.33</v>
      </c>
      <c r="P637" s="1">
        <v>0.13</v>
      </c>
      <c r="Q637" s="1">
        <v>7.0000000000000007E-2</v>
      </c>
      <c r="R637" s="1">
        <v>0.38</v>
      </c>
      <c r="S637" s="1">
        <v>0.37</v>
      </c>
      <c r="T637" s="1">
        <v>0.83</v>
      </c>
      <c r="U637" s="1">
        <v>8.35</v>
      </c>
      <c r="V637" s="1">
        <v>0.01</v>
      </c>
      <c r="W637" s="1">
        <v>0</v>
      </c>
      <c r="X637" s="1">
        <v>25101.946645</v>
      </c>
      <c r="Y637" s="1">
        <v>20824562.4597</v>
      </c>
      <c r="Z637" t="str">
        <f>VLOOKUP(G637,'Code Pro'!$A$2:$B$9,2,FALSE)</f>
        <v>จ.ฉะเชิงเทรา</v>
      </c>
      <c r="AA637" s="8">
        <f t="shared" si="82"/>
        <v>90170355.450500995</v>
      </c>
      <c r="AB637" s="8">
        <f t="shared" si="83"/>
        <v>2707193.1197609999</v>
      </c>
      <c r="AC637" s="8">
        <f t="shared" si="84"/>
        <v>1457719.3721790002</v>
      </c>
      <c r="AD637" s="8">
        <f t="shared" si="85"/>
        <v>7913333.7346860003</v>
      </c>
      <c r="AE637" s="8">
        <f t="shared" si="86"/>
        <v>7705088.1100889994</v>
      </c>
      <c r="AF637" s="8">
        <f t="shared" si="87"/>
        <v>17284386.841550998</v>
      </c>
      <c r="AG637" s="8">
        <f t="shared" si="88"/>
        <v>173885096.53849497</v>
      </c>
      <c r="AH637" s="8">
        <f t="shared" si="89"/>
        <v>208245.62459699999</v>
      </c>
      <c r="AI637" s="8">
        <f t="shared" si="90"/>
        <v>0</v>
      </c>
    </row>
    <row r="638" spans="1:35" x14ac:dyDescent="0.55000000000000004">
      <c r="A638" s="1">
        <v>636</v>
      </c>
      <c r="B638" s="1" t="s">
        <v>20</v>
      </c>
      <c r="C638" s="1">
        <v>45</v>
      </c>
      <c r="D638" s="1">
        <v>8</v>
      </c>
      <c r="E638" s="1" t="s">
        <v>107</v>
      </c>
      <c r="F638" s="1" t="s">
        <v>108</v>
      </c>
      <c r="G638" s="1">
        <v>24</v>
      </c>
      <c r="H638" s="1">
        <v>2</v>
      </c>
      <c r="I638" s="1">
        <v>24080000</v>
      </c>
      <c r="J638" s="1">
        <v>814</v>
      </c>
      <c r="K638" s="1">
        <v>0</v>
      </c>
      <c r="L638" s="1">
        <v>14229</v>
      </c>
      <c r="M638" s="1">
        <v>13.688805</v>
      </c>
      <c r="N638" s="1">
        <v>101.77124000000001</v>
      </c>
      <c r="O638" s="1">
        <v>2.46</v>
      </c>
      <c r="P638" s="1">
        <v>2.59</v>
      </c>
      <c r="Q638" s="1">
        <v>11.1</v>
      </c>
      <c r="R638" s="1">
        <v>0.08</v>
      </c>
      <c r="S638" s="1">
        <v>0.61</v>
      </c>
      <c r="T638" s="1">
        <v>2.36</v>
      </c>
      <c r="U638" s="1">
        <v>39.209999000000003</v>
      </c>
      <c r="V638" s="1">
        <v>0</v>
      </c>
      <c r="W638" s="1">
        <v>0</v>
      </c>
      <c r="X638" s="1">
        <v>36159.797766000003</v>
      </c>
      <c r="Y638" s="1">
        <v>74061268.223399997</v>
      </c>
      <c r="Z638" t="str">
        <f>VLOOKUP(G638,'Code Pro'!$A$2:$B$9,2,FALSE)</f>
        <v>จ.ฉะเชิงเทรา</v>
      </c>
      <c r="AA638" s="8">
        <f t="shared" si="82"/>
        <v>182190719.82956398</v>
      </c>
      <c r="AB638" s="8">
        <f t="shared" si="83"/>
        <v>191818684.69860598</v>
      </c>
      <c r="AC638" s="8">
        <f t="shared" si="84"/>
        <v>822080077.27973998</v>
      </c>
      <c r="AD638" s="8">
        <f t="shared" si="85"/>
        <v>5924901.4578719996</v>
      </c>
      <c r="AE638" s="8">
        <f t="shared" si="86"/>
        <v>45177373.616273999</v>
      </c>
      <c r="AF638" s="8">
        <f t="shared" si="87"/>
        <v>174784593.00722399</v>
      </c>
      <c r="AG638" s="8">
        <f t="shared" si="88"/>
        <v>2903942252.9782457</v>
      </c>
      <c r="AH638" s="8">
        <f t="shared" si="89"/>
        <v>0</v>
      </c>
      <c r="AI638" s="8">
        <f t="shared" si="90"/>
        <v>0</v>
      </c>
    </row>
    <row r="639" spans="1:35" x14ac:dyDescent="0.55000000000000004">
      <c r="A639" s="1">
        <v>637</v>
      </c>
      <c r="B639" s="1" t="s">
        <v>20</v>
      </c>
      <c r="C639" s="1">
        <v>45</v>
      </c>
      <c r="D639" s="1">
        <v>8</v>
      </c>
      <c r="E639" s="1" t="s">
        <v>107</v>
      </c>
      <c r="F639" s="1" t="s">
        <v>108</v>
      </c>
      <c r="G639" s="1">
        <v>24</v>
      </c>
      <c r="H639" s="1">
        <v>2</v>
      </c>
      <c r="I639" s="1">
        <v>24080000</v>
      </c>
      <c r="J639" s="1">
        <v>815</v>
      </c>
      <c r="K639" s="1">
        <v>0</v>
      </c>
      <c r="L639" s="1">
        <v>14230</v>
      </c>
      <c r="M639" s="1">
        <v>13.688805</v>
      </c>
      <c r="N639" s="1">
        <v>101.85438000000001</v>
      </c>
      <c r="O639" s="1">
        <v>0.66</v>
      </c>
      <c r="P639" s="1">
        <v>7</v>
      </c>
      <c r="Q639" s="1">
        <v>8.0500000000000007</v>
      </c>
      <c r="R639" s="1">
        <v>0.53</v>
      </c>
      <c r="S639" s="1">
        <v>0.57999999999999996</v>
      </c>
      <c r="T639" s="1">
        <v>7.13</v>
      </c>
      <c r="U639" s="1">
        <v>56.110000999999997</v>
      </c>
      <c r="V639" s="1">
        <v>0</v>
      </c>
      <c r="W639" s="1">
        <v>0</v>
      </c>
      <c r="X639" s="1">
        <v>17459.096420000002</v>
      </c>
      <c r="Y639" s="1">
        <v>16640590.448100001</v>
      </c>
      <c r="Z639" t="str">
        <f>VLOOKUP(G639,'Code Pro'!$A$2:$B$9,2,FALSE)</f>
        <v>จ.ฉะเชิงเทรา</v>
      </c>
      <c r="AA639" s="8">
        <f t="shared" si="82"/>
        <v>10982789.695746001</v>
      </c>
      <c r="AB639" s="8">
        <f t="shared" si="83"/>
        <v>116484133.1367</v>
      </c>
      <c r="AC639" s="8">
        <f t="shared" si="84"/>
        <v>133956753.10720502</v>
      </c>
      <c r="AD639" s="8">
        <f t="shared" si="85"/>
        <v>8819512.9374930002</v>
      </c>
      <c r="AE639" s="8">
        <f t="shared" si="86"/>
        <v>9651542.4598980006</v>
      </c>
      <c r="AF639" s="8">
        <f t="shared" si="87"/>
        <v>118647409.894953</v>
      </c>
      <c r="AG639" s="8">
        <f t="shared" si="88"/>
        <v>933703546.68348145</v>
      </c>
      <c r="AH639" s="8">
        <f t="shared" si="89"/>
        <v>0</v>
      </c>
      <c r="AI639" s="8">
        <f t="shared" si="90"/>
        <v>0</v>
      </c>
    </row>
    <row r="640" spans="1:35" x14ac:dyDescent="0.55000000000000004">
      <c r="A640" s="1">
        <v>638</v>
      </c>
      <c r="B640" s="1" t="s">
        <v>20</v>
      </c>
      <c r="C640" s="1">
        <v>45</v>
      </c>
      <c r="D640" s="1">
        <v>8</v>
      </c>
      <c r="E640" s="1" t="s">
        <v>107</v>
      </c>
      <c r="F640" s="1" t="s">
        <v>108</v>
      </c>
      <c r="G640" s="1">
        <v>24</v>
      </c>
      <c r="H640" s="1">
        <v>2</v>
      </c>
      <c r="I640" s="1">
        <v>24080000</v>
      </c>
      <c r="J640" s="1">
        <v>1014</v>
      </c>
      <c r="K640" s="1">
        <v>0</v>
      </c>
      <c r="L640" s="1">
        <v>14111</v>
      </c>
      <c r="M640" s="1">
        <v>13.608017</v>
      </c>
      <c r="N640" s="1">
        <v>101.93751</v>
      </c>
      <c r="O640" s="1">
        <v>0.09</v>
      </c>
      <c r="P640" s="1">
        <v>8.0399999999999991</v>
      </c>
      <c r="Q640" s="1">
        <v>0.25</v>
      </c>
      <c r="R640" s="1">
        <v>7.0000000000000007E-2</v>
      </c>
      <c r="S640" s="1">
        <v>0.28000000000000003</v>
      </c>
      <c r="T640" s="1">
        <v>7.13</v>
      </c>
      <c r="U640" s="1">
        <v>39.360000999999997</v>
      </c>
      <c r="V640" s="1">
        <v>0.01</v>
      </c>
      <c r="W640" s="1">
        <v>0</v>
      </c>
      <c r="X640" s="1">
        <v>7310.2557230000002</v>
      </c>
      <c r="Y640" s="1">
        <v>3076982.7257699999</v>
      </c>
      <c r="Z640" t="str">
        <f>VLOOKUP(G640,'Code Pro'!$A$2:$B$9,2,FALSE)</f>
        <v>จ.ฉะเชิงเทรา</v>
      </c>
      <c r="AA640" s="8">
        <f t="shared" si="82"/>
        <v>276928.44531929999</v>
      </c>
      <c r="AB640" s="8">
        <f t="shared" si="83"/>
        <v>24738941.115190797</v>
      </c>
      <c r="AC640" s="8">
        <f t="shared" si="84"/>
        <v>769245.68144249998</v>
      </c>
      <c r="AD640" s="8">
        <f t="shared" si="85"/>
        <v>215388.79080390002</v>
      </c>
      <c r="AE640" s="8">
        <f t="shared" si="86"/>
        <v>861555.16321560007</v>
      </c>
      <c r="AF640" s="8">
        <f t="shared" si="87"/>
        <v>21938886.834740099</v>
      </c>
      <c r="AG640" s="8">
        <f t="shared" si="88"/>
        <v>121110043.16328992</v>
      </c>
      <c r="AH640" s="8">
        <f t="shared" si="89"/>
        <v>30769.827257699999</v>
      </c>
      <c r="AI640" s="8">
        <f t="shared" si="90"/>
        <v>0</v>
      </c>
    </row>
    <row r="641" spans="1:35" x14ac:dyDescent="0.55000000000000004">
      <c r="A641" s="1">
        <v>639</v>
      </c>
      <c r="B641" s="1" t="s">
        <v>20</v>
      </c>
      <c r="C641" s="1">
        <v>45</v>
      </c>
      <c r="D641" s="1">
        <v>8</v>
      </c>
      <c r="E641" s="1" t="s">
        <v>107</v>
      </c>
      <c r="F641" s="1" t="s">
        <v>108</v>
      </c>
      <c r="G641" s="1">
        <v>24</v>
      </c>
      <c r="H641" s="1">
        <v>2</v>
      </c>
      <c r="I641" s="1">
        <v>24080000</v>
      </c>
      <c r="J641" s="1">
        <v>1016</v>
      </c>
      <c r="K641" s="1">
        <v>0</v>
      </c>
      <c r="L641" s="1">
        <v>13991</v>
      </c>
      <c r="M641" s="1">
        <v>13.527199</v>
      </c>
      <c r="N641" s="1">
        <v>101.93751</v>
      </c>
      <c r="O641" s="1">
        <v>0.01</v>
      </c>
      <c r="P641" s="1">
        <v>0</v>
      </c>
      <c r="Q641" s="1">
        <v>0.02</v>
      </c>
      <c r="R641" s="1">
        <v>0.12</v>
      </c>
      <c r="S641" s="1">
        <v>0.01</v>
      </c>
      <c r="T641" s="1">
        <v>7.56</v>
      </c>
      <c r="U641" s="1">
        <v>13.65</v>
      </c>
      <c r="V641" s="1">
        <v>0</v>
      </c>
      <c r="W641" s="1">
        <v>0.02</v>
      </c>
      <c r="X641" s="1">
        <v>7622.942728</v>
      </c>
      <c r="Y641" s="1">
        <v>1544207.21422</v>
      </c>
      <c r="Z641" t="str">
        <f>VLOOKUP(G641,'Code Pro'!$A$2:$B$9,2,FALSE)</f>
        <v>จ.ฉะเชิงเทรา</v>
      </c>
      <c r="AA641" s="8">
        <f t="shared" si="82"/>
        <v>15442.072142200001</v>
      </c>
      <c r="AB641" s="8">
        <f t="shared" si="83"/>
        <v>0</v>
      </c>
      <c r="AC641" s="8">
        <f t="shared" si="84"/>
        <v>30884.144284400001</v>
      </c>
      <c r="AD641" s="8">
        <f t="shared" si="85"/>
        <v>185304.86570639999</v>
      </c>
      <c r="AE641" s="8">
        <f t="shared" si="86"/>
        <v>15442.072142200001</v>
      </c>
      <c r="AF641" s="8">
        <f t="shared" si="87"/>
        <v>11674206.5395032</v>
      </c>
      <c r="AG641" s="8">
        <f t="shared" si="88"/>
        <v>21078428.474103</v>
      </c>
      <c r="AH641" s="8">
        <f t="shared" si="89"/>
        <v>0</v>
      </c>
      <c r="AI641" s="8">
        <f t="shared" si="90"/>
        <v>30884.144284400001</v>
      </c>
    </row>
    <row r="642" spans="1:35" x14ac:dyDescent="0.55000000000000004">
      <c r="A642" s="1">
        <v>640</v>
      </c>
      <c r="B642" s="1" t="s">
        <v>20</v>
      </c>
      <c r="C642" s="1">
        <v>46</v>
      </c>
      <c r="D642" s="1">
        <v>9</v>
      </c>
      <c r="E642" s="1" t="s">
        <v>109</v>
      </c>
      <c r="F642" s="1" t="s">
        <v>110</v>
      </c>
      <c r="G642" s="1">
        <v>24</v>
      </c>
      <c r="H642" s="1">
        <v>2</v>
      </c>
      <c r="I642" s="1">
        <v>24090000</v>
      </c>
      <c r="J642" s="1">
        <v>749</v>
      </c>
      <c r="K642" s="1">
        <v>0</v>
      </c>
      <c r="L642" s="1">
        <v>13864</v>
      </c>
      <c r="M642" s="1">
        <v>13.446358</v>
      </c>
      <c r="N642" s="1">
        <v>101.35556</v>
      </c>
      <c r="O642" s="1">
        <v>32.409999999999997</v>
      </c>
      <c r="P642" s="1">
        <v>0</v>
      </c>
      <c r="Q642" s="1">
        <v>0.01</v>
      </c>
      <c r="R642" s="1">
        <v>0.28999999999999998</v>
      </c>
      <c r="S642" s="1">
        <v>0</v>
      </c>
      <c r="T642" s="1">
        <v>8.4700000000000006</v>
      </c>
      <c r="U642" s="1">
        <v>5.85</v>
      </c>
      <c r="V642" s="1">
        <v>0</v>
      </c>
      <c r="W642" s="1">
        <v>0</v>
      </c>
      <c r="X642" s="1">
        <v>15426.020001999999</v>
      </c>
      <c r="Y642" s="1">
        <v>9832175.8541299999</v>
      </c>
      <c r="Z642" t="str">
        <f>VLOOKUP(G642,'Code Pro'!$A$2:$B$9,2,FALSE)</f>
        <v>จ.ฉะเชิงเทรา</v>
      </c>
      <c r="AA642" s="8">
        <f t="shared" si="82"/>
        <v>318660819.43235326</v>
      </c>
      <c r="AB642" s="8">
        <f t="shared" si="83"/>
        <v>0</v>
      </c>
      <c r="AC642" s="8">
        <f t="shared" si="84"/>
        <v>98321.758541300005</v>
      </c>
      <c r="AD642" s="8">
        <f t="shared" si="85"/>
        <v>2851330.9976976998</v>
      </c>
      <c r="AE642" s="8">
        <f t="shared" si="86"/>
        <v>0</v>
      </c>
      <c r="AF642" s="8">
        <f t="shared" si="87"/>
        <v>83278529.484481111</v>
      </c>
      <c r="AG642" s="8">
        <f t="shared" si="88"/>
        <v>57518228.746660493</v>
      </c>
      <c r="AH642" s="8">
        <f t="shared" si="89"/>
        <v>0</v>
      </c>
      <c r="AI642" s="8">
        <f t="shared" si="90"/>
        <v>0</v>
      </c>
    </row>
    <row r="643" spans="1:35" x14ac:dyDescent="0.55000000000000004">
      <c r="A643" s="1">
        <v>641</v>
      </c>
      <c r="B643" s="1" t="s">
        <v>20</v>
      </c>
      <c r="C643" s="1">
        <v>46</v>
      </c>
      <c r="D643" s="1">
        <v>9</v>
      </c>
      <c r="E643" s="1" t="s">
        <v>109</v>
      </c>
      <c r="F643" s="1" t="s">
        <v>110</v>
      </c>
      <c r="G643" s="1">
        <v>24</v>
      </c>
      <c r="H643" s="1">
        <v>2</v>
      </c>
      <c r="I643" s="1">
        <v>24090000</v>
      </c>
      <c r="J643" s="1">
        <v>752</v>
      </c>
      <c r="K643" s="1">
        <v>0</v>
      </c>
      <c r="L643" s="1">
        <v>13865</v>
      </c>
      <c r="M643" s="1">
        <v>13.446358</v>
      </c>
      <c r="N643" s="1">
        <v>101.4387</v>
      </c>
      <c r="O643" s="1">
        <v>24.1</v>
      </c>
      <c r="P643" s="1">
        <v>0</v>
      </c>
      <c r="Q643" s="1">
        <v>0.03</v>
      </c>
      <c r="R643" s="1">
        <v>0.35</v>
      </c>
      <c r="S643" s="1">
        <v>0.6</v>
      </c>
      <c r="T643" s="1">
        <v>6.82</v>
      </c>
      <c r="U643" s="1">
        <v>10.59</v>
      </c>
      <c r="V643" s="1">
        <v>0</v>
      </c>
      <c r="W643" s="1">
        <v>0</v>
      </c>
      <c r="X643" s="1">
        <v>33248.547573999997</v>
      </c>
      <c r="Y643" s="1">
        <v>34149050.073600002</v>
      </c>
      <c r="Z643" t="str">
        <f>VLOOKUP(G643,'Code Pro'!$A$2:$B$9,2,FALSE)</f>
        <v>จ.ฉะเชิงเทรา</v>
      </c>
      <c r="AA643" s="8">
        <f t="shared" ref="AA643:AA706" si="91">+O643*$Y643</f>
        <v>822992106.77376008</v>
      </c>
      <c r="AB643" s="8">
        <f t="shared" ref="AB643:AB706" si="92">+P643*$Y643</f>
        <v>0</v>
      </c>
      <c r="AC643" s="8">
        <f t="shared" ref="AC643:AC706" si="93">+Q643*$Y643</f>
        <v>1024471.502208</v>
      </c>
      <c r="AD643" s="8">
        <f t="shared" ref="AD643:AD706" si="94">+R643*$Y643</f>
        <v>11952167.525760001</v>
      </c>
      <c r="AE643" s="8">
        <f t="shared" ref="AE643:AE706" si="95">+S643*$Y643</f>
        <v>20489430.044160001</v>
      </c>
      <c r="AF643" s="8">
        <f t="shared" ref="AF643:AF706" si="96">+T643*$Y643</f>
        <v>232896521.50195202</v>
      </c>
      <c r="AG643" s="8">
        <f t="shared" ref="AG643:AG706" si="97">+U643*$Y643</f>
        <v>361638440.27942401</v>
      </c>
      <c r="AH643" s="8">
        <f t="shared" ref="AH643:AH706" si="98">+V643*$Y643</f>
        <v>0</v>
      </c>
      <c r="AI643" s="8">
        <f t="shared" ref="AI643:AI706" si="99">+W643*$Y643</f>
        <v>0</v>
      </c>
    </row>
    <row r="644" spans="1:35" x14ac:dyDescent="0.55000000000000004">
      <c r="A644" s="1">
        <v>642</v>
      </c>
      <c r="B644" s="1" t="s">
        <v>20</v>
      </c>
      <c r="C644" s="1">
        <v>46</v>
      </c>
      <c r="D644" s="1">
        <v>9</v>
      </c>
      <c r="E644" s="1" t="s">
        <v>109</v>
      </c>
      <c r="F644" s="1" t="s">
        <v>110</v>
      </c>
      <c r="G644" s="1">
        <v>24</v>
      </c>
      <c r="H644" s="1">
        <v>2</v>
      </c>
      <c r="I644" s="1">
        <v>24090000</v>
      </c>
      <c r="J644" s="1">
        <v>759</v>
      </c>
      <c r="K644" s="1">
        <v>0</v>
      </c>
      <c r="L644" s="1">
        <v>13866</v>
      </c>
      <c r="M644" s="1">
        <v>13.446358</v>
      </c>
      <c r="N644" s="1">
        <v>101.52182999999999</v>
      </c>
      <c r="O644" s="1">
        <v>24.77</v>
      </c>
      <c r="P644" s="1">
        <v>0.04</v>
      </c>
      <c r="Q644" s="1">
        <v>7.0000000000000007E-2</v>
      </c>
      <c r="R644" s="1">
        <v>0.24</v>
      </c>
      <c r="S644" s="1">
        <v>3.86</v>
      </c>
      <c r="T644" s="1">
        <v>17.459999</v>
      </c>
      <c r="U644" s="1">
        <v>8.1199999999999992</v>
      </c>
      <c r="V644" s="1">
        <v>0</v>
      </c>
      <c r="W644" s="1">
        <v>0</v>
      </c>
      <c r="X644" s="1">
        <v>6574.1836599999997</v>
      </c>
      <c r="Y644" s="1">
        <v>1447973.92484</v>
      </c>
      <c r="Z644" t="str">
        <f>VLOOKUP(G644,'Code Pro'!$A$2:$B$9,2,FALSE)</f>
        <v>จ.ฉะเชิงเทรา</v>
      </c>
      <c r="AA644" s="8">
        <f t="shared" si="91"/>
        <v>35866314.118286796</v>
      </c>
      <c r="AB644" s="8">
        <f t="shared" si="92"/>
        <v>57918.956993600004</v>
      </c>
      <c r="AC644" s="8">
        <f t="shared" si="93"/>
        <v>101358.17473880001</v>
      </c>
      <c r="AD644" s="8">
        <f t="shared" si="94"/>
        <v>347513.74196159997</v>
      </c>
      <c r="AE644" s="8">
        <f t="shared" si="95"/>
        <v>5589179.3498823997</v>
      </c>
      <c r="AF644" s="8">
        <f t="shared" si="96"/>
        <v>25281623.279732473</v>
      </c>
      <c r="AG644" s="8">
        <f t="shared" si="97"/>
        <v>11757548.269700799</v>
      </c>
      <c r="AH644" s="8">
        <f t="shared" si="98"/>
        <v>0</v>
      </c>
      <c r="AI644" s="8">
        <f t="shared" si="99"/>
        <v>0</v>
      </c>
    </row>
    <row r="645" spans="1:35" x14ac:dyDescent="0.55000000000000004">
      <c r="A645" s="1">
        <v>643</v>
      </c>
      <c r="B645" s="1" t="s">
        <v>20</v>
      </c>
      <c r="C645" s="1">
        <v>46</v>
      </c>
      <c r="D645" s="1">
        <v>9</v>
      </c>
      <c r="E645" s="1" t="s">
        <v>109</v>
      </c>
      <c r="F645" s="1" t="s">
        <v>110</v>
      </c>
      <c r="G645" s="1">
        <v>24</v>
      </c>
      <c r="H645" s="1">
        <v>2</v>
      </c>
      <c r="I645" s="1">
        <v>24090000</v>
      </c>
      <c r="J645" s="1">
        <v>775</v>
      </c>
      <c r="K645" s="1">
        <v>0</v>
      </c>
      <c r="L645" s="1">
        <v>13983</v>
      </c>
      <c r="M645" s="1">
        <v>13.527199</v>
      </c>
      <c r="N645" s="1">
        <v>101.27242</v>
      </c>
      <c r="O645" s="1">
        <v>13.37</v>
      </c>
      <c r="P645" s="1">
        <v>0</v>
      </c>
      <c r="Q645" s="1">
        <v>7.0000000000000007E-2</v>
      </c>
      <c r="R645" s="1">
        <v>1.89</v>
      </c>
      <c r="S645" s="1">
        <v>3.09</v>
      </c>
      <c r="T645" s="1">
        <v>28.48</v>
      </c>
      <c r="U645" s="1">
        <v>7.43</v>
      </c>
      <c r="V645" s="1">
        <v>0</v>
      </c>
      <c r="W645" s="1">
        <v>0</v>
      </c>
      <c r="X645" s="1">
        <v>24263.275048</v>
      </c>
      <c r="Y645" s="1">
        <v>17571492.0902</v>
      </c>
      <c r="Z645" t="str">
        <f>VLOOKUP(G645,'Code Pro'!$A$2:$B$9,2,FALSE)</f>
        <v>จ.ฉะเชิงเทรา</v>
      </c>
      <c r="AA645" s="8">
        <f t="shared" si="91"/>
        <v>234930849.24597397</v>
      </c>
      <c r="AB645" s="8">
        <f t="shared" si="92"/>
        <v>0</v>
      </c>
      <c r="AC645" s="8">
        <f t="shared" si="93"/>
        <v>1230004.4463140001</v>
      </c>
      <c r="AD645" s="8">
        <f t="shared" si="94"/>
        <v>33210120.050477996</v>
      </c>
      <c r="AE645" s="8">
        <f t="shared" si="95"/>
        <v>54295910.558717996</v>
      </c>
      <c r="AF645" s="8">
        <f t="shared" si="96"/>
        <v>500436094.72889602</v>
      </c>
      <c r="AG645" s="8">
        <f t="shared" si="97"/>
        <v>130556186.23018599</v>
      </c>
      <c r="AH645" s="8">
        <f t="shared" si="98"/>
        <v>0</v>
      </c>
      <c r="AI645" s="8">
        <f t="shared" si="99"/>
        <v>0</v>
      </c>
    </row>
    <row r="646" spans="1:35" x14ac:dyDescent="0.55000000000000004">
      <c r="A646" s="1">
        <v>644</v>
      </c>
      <c r="B646" s="1" t="s">
        <v>20</v>
      </c>
      <c r="C646" s="1">
        <v>46</v>
      </c>
      <c r="D646" s="1">
        <v>9</v>
      </c>
      <c r="E646" s="1" t="s">
        <v>109</v>
      </c>
      <c r="F646" s="1" t="s">
        <v>110</v>
      </c>
      <c r="G646" s="1">
        <v>24</v>
      </c>
      <c r="H646" s="1">
        <v>2</v>
      </c>
      <c r="I646" s="1">
        <v>24090000</v>
      </c>
      <c r="J646" s="1">
        <v>776</v>
      </c>
      <c r="K646" s="1">
        <v>0</v>
      </c>
      <c r="L646" s="1">
        <v>14102</v>
      </c>
      <c r="M646" s="1">
        <v>13.608017</v>
      </c>
      <c r="N646" s="1">
        <v>101.189285</v>
      </c>
      <c r="O646" s="1">
        <v>43.639999000000003</v>
      </c>
      <c r="P646" s="1">
        <v>0</v>
      </c>
      <c r="Q646" s="1">
        <v>0.56000000000000005</v>
      </c>
      <c r="R646" s="1">
        <v>0.14000000000000001</v>
      </c>
      <c r="S646" s="1">
        <v>1.47</v>
      </c>
      <c r="T646" s="1">
        <v>8.0399999999999991</v>
      </c>
      <c r="U646" s="1">
        <v>8.4600000000000009</v>
      </c>
      <c r="V646" s="1">
        <v>0.19</v>
      </c>
      <c r="W646" s="1">
        <v>0</v>
      </c>
      <c r="X646" s="1">
        <v>11998.182551</v>
      </c>
      <c r="Y646" s="1">
        <v>5318714.6356800003</v>
      </c>
      <c r="Z646" t="str">
        <f>VLOOKUP(G646,'Code Pro'!$A$2:$B$9,2,FALSE)</f>
        <v>จ.ฉะเชิงเทรา</v>
      </c>
      <c r="AA646" s="8">
        <f t="shared" si="91"/>
        <v>232108701.38236061</v>
      </c>
      <c r="AB646" s="8">
        <f t="shared" si="92"/>
        <v>0</v>
      </c>
      <c r="AC646" s="8">
        <f t="shared" si="93"/>
        <v>2978480.1959808003</v>
      </c>
      <c r="AD646" s="8">
        <f t="shared" si="94"/>
        <v>744620.04899520008</v>
      </c>
      <c r="AE646" s="8">
        <f t="shared" si="95"/>
        <v>7818510.5144496001</v>
      </c>
      <c r="AF646" s="8">
        <f t="shared" si="96"/>
        <v>42762465.670867197</v>
      </c>
      <c r="AG646" s="8">
        <f t="shared" si="97"/>
        <v>44996325.81785281</v>
      </c>
      <c r="AH646" s="8">
        <f t="shared" si="98"/>
        <v>1010555.7807792</v>
      </c>
      <c r="AI646" s="8">
        <f t="shared" si="99"/>
        <v>0</v>
      </c>
    </row>
    <row r="647" spans="1:35" x14ac:dyDescent="0.55000000000000004">
      <c r="A647" s="1">
        <v>645</v>
      </c>
      <c r="B647" s="1" t="s">
        <v>20</v>
      </c>
      <c r="C647" s="1">
        <v>46</v>
      </c>
      <c r="D647" s="1">
        <v>9</v>
      </c>
      <c r="E647" s="1" t="s">
        <v>109</v>
      </c>
      <c r="F647" s="1" t="s">
        <v>110</v>
      </c>
      <c r="G647" s="1">
        <v>24</v>
      </c>
      <c r="H647" s="1">
        <v>2</v>
      </c>
      <c r="I647" s="1">
        <v>24090000</v>
      </c>
      <c r="J647" s="1">
        <v>777</v>
      </c>
      <c r="K647" s="1">
        <v>0</v>
      </c>
      <c r="L647" s="1">
        <v>14223</v>
      </c>
      <c r="M647" s="1">
        <v>13.688805</v>
      </c>
      <c r="N647" s="1">
        <v>101.27242</v>
      </c>
      <c r="O647" s="1">
        <v>23.59</v>
      </c>
      <c r="P647" s="1">
        <v>0.16</v>
      </c>
      <c r="Q647" s="1">
        <v>7.06</v>
      </c>
      <c r="R647" s="1">
        <v>0.03</v>
      </c>
      <c r="S647" s="1">
        <v>0.77</v>
      </c>
      <c r="T647" s="1">
        <v>9.77</v>
      </c>
      <c r="U647" s="1">
        <v>12.61</v>
      </c>
      <c r="V647" s="1">
        <v>2.08</v>
      </c>
      <c r="W647" s="1">
        <v>0</v>
      </c>
      <c r="X647" s="1">
        <v>23040.608284000002</v>
      </c>
      <c r="Y647" s="1">
        <v>12858486.686000001</v>
      </c>
      <c r="Z647" t="str">
        <f>VLOOKUP(G647,'Code Pro'!$A$2:$B$9,2,FALSE)</f>
        <v>จ.ฉะเชิงเทรา</v>
      </c>
      <c r="AA647" s="8">
        <f t="shared" si="91"/>
        <v>303331700.92274004</v>
      </c>
      <c r="AB647" s="8">
        <f t="shared" si="92"/>
        <v>2057357.8697600001</v>
      </c>
      <c r="AC647" s="8">
        <f t="shared" si="93"/>
        <v>90780916.00316</v>
      </c>
      <c r="AD647" s="8">
        <f t="shared" si="94"/>
        <v>385754.60058000003</v>
      </c>
      <c r="AE647" s="8">
        <f t="shared" si="95"/>
        <v>9901034.7482200004</v>
      </c>
      <c r="AF647" s="8">
        <f t="shared" si="96"/>
        <v>125627414.92222001</v>
      </c>
      <c r="AG647" s="8">
        <f t="shared" si="97"/>
        <v>162145517.11046001</v>
      </c>
      <c r="AH647" s="8">
        <f t="shared" si="98"/>
        <v>26745652.306880001</v>
      </c>
      <c r="AI647" s="8">
        <f t="shared" si="99"/>
        <v>0</v>
      </c>
    </row>
    <row r="648" spans="1:35" x14ac:dyDescent="0.55000000000000004">
      <c r="A648" s="1">
        <v>646</v>
      </c>
      <c r="B648" s="1" t="s">
        <v>20</v>
      </c>
      <c r="C648" s="1">
        <v>46</v>
      </c>
      <c r="D648" s="1">
        <v>9</v>
      </c>
      <c r="E648" s="1" t="s">
        <v>109</v>
      </c>
      <c r="F648" s="1" t="s">
        <v>110</v>
      </c>
      <c r="G648" s="1">
        <v>24</v>
      </c>
      <c r="H648" s="1">
        <v>2</v>
      </c>
      <c r="I648" s="1">
        <v>24090000</v>
      </c>
      <c r="J648" s="1">
        <v>778</v>
      </c>
      <c r="K648" s="1">
        <v>0</v>
      </c>
      <c r="L648" s="1">
        <v>14222</v>
      </c>
      <c r="M648" s="1">
        <v>13.688805</v>
      </c>
      <c r="N648" s="1">
        <v>101.189285</v>
      </c>
      <c r="O648" s="1">
        <v>53.779998999999997</v>
      </c>
      <c r="P648" s="1">
        <v>0</v>
      </c>
      <c r="Q648" s="1">
        <v>12.64</v>
      </c>
      <c r="R648" s="1">
        <v>0.01</v>
      </c>
      <c r="S648" s="1">
        <v>2.96</v>
      </c>
      <c r="T648" s="1">
        <v>13.06</v>
      </c>
      <c r="U648" s="1">
        <v>16.760000000000002</v>
      </c>
      <c r="V648" s="1">
        <v>0.04</v>
      </c>
      <c r="W648" s="1">
        <v>0</v>
      </c>
      <c r="X648" s="1">
        <v>4684.6084049999999</v>
      </c>
      <c r="Y648" s="1">
        <v>1345175.5061300001</v>
      </c>
      <c r="Z648" t="str">
        <f>VLOOKUP(G648,'Code Pro'!$A$2:$B$9,2,FALSE)</f>
        <v>จ.ฉะเชิงเทรา</v>
      </c>
      <c r="AA648" s="8">
        <f t="shared" si="91"/>
        <v>72343537.374495894</v>
      </c>
      <c r="AB648" s="8">
        <f t="shared" si="92"/>
        <v>0</v>
      </c>
      <c r="AC648" s="8">
        <f t="shared" si="93"/>
        <v>17003018.397483204</v>
      </c>
      <c r="AD648" s="8">
        <f t="shared" si="94"/>
        <v>13451.755061300002</v>
      </c>
      <c r="AE648" s="8">
        <f t="shared" si="95"/>
        <v>3981719.4981448003</v>
      </c>
      <c r="AF648" s="8">
        <f t="shared" si="96"/>
        <v>17567992.110057801</v>
      </c>
      <c r="AG648" s="8">
        <f t="shared" si="97"/>
        <v>22545141.482738804</v>
      </c>
      <c r="AH648" s="8">
        <f t="shared" si="98"/>
        <v>53807.020245200009</v>
      </c>
      <c r="AI648" s="8">
        <f t="shared" si="99"/>
        <v>0</v>
      </c>
    </row>
    <row r="649" spans="1:35" x14ac:dyDescent="0.55000000000000004">
      <c r="A649" s="1">
        <v>647</v>
      </c>
      <c r="B649" s="1" t="s">
        <v>20</v>
      </c>
      <c r="C649" s="1">
        <v>46</v>
      </c>
      <c r="D649" s="1">
        <v>9</v>
      </c>
      <c r="E649" s="1" t="s">
        <v>109</v>
      </c>
      <c r="F649" s="1" t="s">
        <v>110</v>
      </c>
      <c r="G649" s="1">
        <v>24</v>
      </c>
      <c r="H649" s="1">
        <v>2</v>
      </c>
      <c r="I649" s="1">
        <v>24090000</v>
      </c>
      <c r="J649" s="1">
        <v>779</v>
      </c>
      <c r="K649" s="1">
        <v>0</v>
      </c>
      <c r="L649" s="1">
        <v>14103</v>
      </c>
      <c r="M649" s="1">
        <v>13.608017</v>
      </c>
      <c r="N649" s="1">
        <v>101.27242</v>
      </c>
      <c r="O649" s="1">
        <v>55.900002000000001</v>
      </c>
      <c r="P649" s="1">
        <v>11.87</v>
      </c>
      <c r="Q649" s="1">
        <v>0.64</v>
      </c>
      <c r="R649" s="1">
        <v>3.48</v>
      </c>
      <c r="S649" s="1">
        <v>3.59</v>
      </c>
      <c r="T649" s="1">
        <v>6.66</v>
      </c>
      <c r="U649" s="1">
        <v>20.74</v>
      </c>
      <c r="V649" s="1">
        <v>0.14000000000000001</v>
      </c>
      <c r="W649" s="1">
        <v>0.05</v>
      </c>
      <c r="X649" s="1">
        <v>34982.407973000001</v>
      </c>
      <c r="Y649" s="1">
        <v>76681253.721399993</v>
      </c>
      <c r="Z649" t="str">
        <f>VLOOKUP(G649,'Code Pro'!$A$2:$B$9,2,FALSE)</f>
        <v>จ.ฉะเชิงเทรา</v>
      </c>
      <c r="AA649" s="8">
        <f t="shared" si="91"/>
        <v>4286482236.3887672</v>
      </c>
      <c r="AB649" s="8">
        <f t="shared" si="92"/>
        <v>910206481.67301786</v>
      </c>
      <c r="AC649" s="8">
        <f t="shared" si="93"/>
        <v>49076002.381695993</v>
      </c>
      <c r="AD649" s="8">
        <f t="shared" si="94"/>
        <v>266850762.95047197</v>
      </c>
      <c r="AE649" s="8">
        <f t="shared" si="95"/>
        <v>275285700.85982597</v>
      </c>
      <c r="AF649" s="8">
        <f t="shared" si="96"/>
        <v>510697149.78452396</v>
      </c>
      <c r="AG649" s="8">
        <f t="shared" si="97"/>
        <v>1590369202.1818357</v>
      </c>
      <c r="AH649" s="8">
        <f t="shared" si="98"/>
        <v>10735375.520996001</v>
      </c>
      <c r="AI649" s="8">
        <f t="shared" si="99"/>
        <v>3834062.6860699998</v>
      </c>
    </row>
    <row r="650" spans="1:35" x14ac:dyDescent="0.55000000000000004">
      <c r="A650" s="1">
        <v>648</v>
      </c>
      <c r="B650" s="1" t="s">
        <v>20</v>
      </c>
      <c r="C650" s="1">
        <v>46</v>
      </c>
      <c r="D650" s="1">
        <v>9</v>
      </c>
      <c r="E650" s="1" t="s">
        <v>109</v>
      </c>
      <c r="F650" s="1" t="s">
        <v>110</v>
      </c>
      <c r="G650" s="1">
        <v>24</v>
      </c>
      <c r="H650" s="1">
        <v>2</v>
      </c>
      <c r="I650" s="1">
        <v>24090000</v>
      </c>
      <c r="J650" s="1">
        <v>784</v>
      </c>
      <c r="K650" s="1">
        <v>0</v>
      </c>
      <c r="L650" s="1">
        <v>13984</v>
      </c>
      <c r="M650" s="1">
        <v>13.527199</v>
      </c>
      <c r="N650" s="1">
        <v>101.35556</v>
      </c>
      <c r="O650" s="1">
        <v>67.080001999999993</v>
      </c>
      <c r="P650" s="1">
        <v>0</v>
      </c>
      <c r="Q650" s="1">
        <v>0</v>
      </c>
      <c r="R650" s="1">
        <v>0.04</v>
      </c>
      <c r="S650" s="1">
        <v>0</v>
      </c>
      <c r="T650" s="1">
        <v>13.54</v>
      </c>
      <c r="U650" s="1">
        <v>5.29</v>
      </c>
      <c r="V650" s="1">
        <v>0</v>
      </c>
      <c r="W650" s="1">
        <v>0</v>
      </c>
      <c r="X650" s="1">
        <v>34625.763128999999</v>
      </c>
      <c r="Y650" s="1">
        <v>77537674.233500004</v>
      </c>
      <c r="Z650" t="str">
        <f>VLOOKUP(G650,'Code Pro'!$A$2:$B$9,2,FALSE)</f>
        <v>จ.ฉะเชิงเทรา</v>
      </c>
      <c r="AA650" s="8">
        <f t="shared" si="91"/>
        <v>5201227342.6585283</v>
      </c>
      <c r="AB650" s="8">
        <f t="shared" si="92"/>
        <v>0</v>
      </c>
      <c r="AC650" s="8">
        <f t="shared" si="93"/>
        <v>0</v>
      </c>
      <c r="AD650" s="8">
        <f t="shared" si="94"/>
        <v>3101506.9693400003</v>
      </c>
      <c r="AE650" s="8">
        <f t="shared" si="95"/>
        <v>0</v>
      </c>
      <c r="AF650" s="8">
        <f t="shared" si="96"/>
        <v>1049860109.12159</v>
      </c>
      <c r="AG650" s="8">
        <f t="shared" si="97"/>
        <v>410174296.69521505</v>
      </c>
      <c r="AH650" s="8">
        <f t="shared" si="98"/>
        <v>0</v>
      </c>
      <c r="AI650" s="8">
        <f t="shared" si="99"/>
        <v>0</v>
      </c>
    </row>
    <row r="651" spans="1:35" x14ac:dyDescent="0.55000000000000004">
      <c r="A651" s="1">
        <v>649</v>
      </c>
      <c r="B651" s="1" t="s">
        <v>20</v>
      </c>
      <c r="C651" s="1">
        <v>46</v>
      </c>
      <c r="D651" s="1">
        <v>9</v>
      </c>
      <c r="E651" s="1" t="s">
        <v>109</v>
      </c>
      <c r="F651" s="1" t="s">
        <v>110</v>
      </c>
      <c r="G651" s="1">
        <v>24</v>
      </c>
      <c r="H651" s="1">
        <v>2</v>
      </c>
      <c r="I651" s="1">
        <v>24090000</v>
      </c>
      <c r="J651" s="1">
        <v>785</v>
      </c>
      <c r="K651" s="1">
        <v>0</v>
      </c>
      <c r="L651" s="1">
        <v>14104</v>
      </c>
      <c r="M651" s="1">
        <v>13.608017</v>
      </c>
      <c r="N651" s="1">
        <v>101.35556</v>
      </c>
      <c r="O651" s="1">
        <v>19.41</v>
      </c>
      <c r="P651" s="1">
        <v>0.08</v>
      </c>
      <c r="Q651" s="1">
        <v>0.55000000000000004</v>
      </c>
      <c r="R651" s="1">
        <v>8.59</v>
      </c>
      <c r="S651" s="1">
        <v>4.33</v>
      </c>
      <c r="T651" s="1">
        <v>22.6</v>
      </c>
      <c r="U651" s="1">
        <v>66.849997999999999</v>
      </c>
      <c r="V651" s="1">
        <v>0.64</v>
      </c>
      <c r="W651" s="1">
        <v>0.01</v>
      </c>
      <c r="X651" s="1">
        <v>34534.082678999999</v>
      </c>
      <c r="Y651" s="1">
        <v>54995417.3715</v>
      </c>
      <c r="Z651" t="str">
        <f>VLOOKUP(G651,'Code Pro'!$A$2:$B$9,2,FALSE)</f>
        <v>จ.ฉะเชิงเทรา</v>
      </c>
      <c r="AA651" s="8">
        <f t="shared" si="91"/>
        <v>1067461051.180815</v>
      </c>
      <c r="AB651" s="8">
        <f t="shared" si="92"/>
        <v>4399633.3897200003</v>
      </c>
      <c r="AC651" s="8">
        <f t="shared" si="93"/>
        <v>30247479.554325003</v>
      </c>
      <c r="AD651" s="8">
        <f t="shared" si="94"/>
        <v>472410635.22118497</v>
      </c>
      <c r="AE651" s="8">
        <f t="shared" si="95"/>
        <v>238130157.218595</v>
      </c>
      <c r="AF651" s="8">
        <f t="shared" si="96"/>
        <v>1242896432.5959001</v>
      </c>
      <c r="AG651" s="8">
        <f t="shared" si="97"/>
        <v>3676443541.2939401</v>
      </c>
      <c r="AH651" s="8">
        <f t="shared" si="98"/>
        <v>35197067.117760003</v>
      </c>
      <c r="AI651" s="8">
        <f t="shared" si="99"/>
        <v>549954.17371500004</v>
      </c>
    </row>
    <row r="652" spans="1:35" x14ac:dyDescent="0.55000000000000004">
      <c r="A652" s="1">
        <v>650</v>
      </c>
      <c r="B652" s="1" t="s">
        <v>20</v>
      </c>
      <c r="C652" s="1">
        <v>46</v>
      </c>
      <c r="D652" s="1">
        <v>9</v>
      </c>
      <c r="E652" s="1" t="s">
        <v>109</v>
      </c>
      <c r="F652" s="1" t="s">
        <v>110</v>
      </c>
      <c r="G652" s="1">
        <v>24</v>
      </c>
      <c r="H652" s="1">
        <v>2</v>
      </c>
      <c r="I652" s="1">
        <v>24090000</v>
      </c>
      <c r="J652" s="1">
        <v>786</v>
      </c>
      <c r="K652" s="1">
        <v>0</v>
      </c>
      <c r="L652" s="1">
        <v>13985</v>
      </c>
      <c r="M652" s="1">
        <v>13.527199</v>
      </c>
      <c r="N652" s="1">
        <v>101.4387</v>
      </c>
      <c r="O652" s="1">
        <v>13.93</v>
      </c>
      <c r="P652" s="1">
        <v>0</v>
      </c>
      <c r="Q652" s="1">
        <v>0.04</v>
      </c>
      <c r="R652" s="1">
        <v>0.13</v>
      </c>
      <c r="S652" s="1">
        <v>0</v>
      </c>
      <c r="T652" s="1">
        <v>13.69</v>
      </c>
      <c r="U652" s="1">
        <v>2.91</v>
      </c>
      <c r="V652" s="1">
        <v>0</v>
      </c>
      <c r="W652" s="1">
        <v>0.01</v>
      </c>
      <c r="X652" s="1">
        <v>29702.761838999999</v>
      </c>
      <c r="Y652" s="1">
        <v>34200703.076300003</v>
      </c>
      <c r="Z652" t="str">
        <f>VLOOKUP(G652,'Code Pro'!$A$2:$B$9,2,FALSE)</f>
        <v>จ.ฉะเชิงเทรา</v>
      </c>
      <c r="AA652" s="8">
        <f t="shared" si="91"/>
        <v>476415793.85285902</v>
      </c>
      <c r="AB652" s="8">
        <f t="shared" si="92"/>
        <v>0</v>
      </c>
      <c r="AC652" s="8">
        <f t="shared" si="93"/>
        <v>1368028.1230520001</v>
      </c>
      <c r="AD652" s="8">
        <f t="shared" si="94"/>
        <v>4446091.3999190005</v>
      </c>
      <c r="AE652" s="8">
        <f t="shared" si="95"/>
        <v>0</v>
      </c>
      <c r="AF652" s="8">
        <f t="shared" si="96"/>
        <v>468207625.11454701</v>
      </c>
      <c r="AG652" s="8">
        <f t="shared" si="97"/>
        <v>99524045.952033013</v>
      </c>
      <c r="AH652" s="8">
        <f t="shared" si="98"/>
        <v>0</v>
      </c>
      <c r="AI652" s="8">
        <f t="shared" si="99"/>
        <v>342007.03076300002</v>
      </c>
    </row>
    <row r="653" spans="1:35" x14ac:dyDescent="0.55000000000000004">
      <c r="A653" s="1">
        <v>651</v>
      </c>
      <c r="B653" s="1" t="s">
        <v>20</v>
      </c>
      <c r="C653" s="1">
        <v>46</v>
      </c>
      <c r="D653" s="1">
        <v>9</v>
      </c>
      <c r="E653" s="1" t="s">
        <v>109</v>
      </c>
      <c r="F653" s="1" t="s">
        <v>110</v>
      </c>
      <c r="G653" s="1">
        <v>24</v>
      </c>
      <c r="H653" s="1">
        <v>2</v>
      </c>
      <c r="I653" s="1">
        <v>24090000</v>
      </c>
      <c r="J653" s="1">
        <v>787</v>
      </c>
      <c r="K653" s="1">
        <v>0</v>
      </c>
      <c r="L653" s="1">
        <v>14105</v>
      </c>
      <c r="M653" s="1">
        <v>13.608017</v>
      </c>
      <c r="N653" s="1">
        <v>101.4387</v>
      </c>
      <c r="O653" s="1">
        <v>10.130000000000001</v>
      </c>
      <c r="P653" s="1">
        <v>0</v>
      </c>
      <c r="Q653" s="1">
        <v>0.43</v>
      </c>
      <c r="R653" s="1">
        <v>0.25</v>
      </c>
      <c r="S653" s="1">
        <v>2.06</v>
      </c>
      <c r="T653" s="1">
        <v>13.75</v>
      </c>
      <c r="U653" s="1">
        <v>4.55</v>
      </c>
      <c r="V653" s="1">
        <v>0.49</v>
      </c>
      <c r="W653" s="1">
        <v>0.31</v>
      </c>
      <c r="X653" s="1">
        <v>8002.8247339999998</v>
      </c>
      <c r="Y653" s="1">
        <v>1966507.1512800001</v>
      </c>
      <c r="Z653" t="str">
        <f>VLOOKUP(G653,'Code Pro'!$A$2:$B$9,2,FALSE)</f>
        <v>จ.ฉะเชิงเทรา</v>
      </c>
      <c r="AA653" s="8">
        <f t="shared" si="91"/>
        <v>19920717.442466404</v>
      </c>
      <c r="AB653" s="8">
        <f t="shared" si="92"/>
        <v>0</v>
      </c>
      <c r="AC653" s="8">
        <f t="shared" si="93"/>
        <v>845598.07505039999</v>
      </c>
      <c r="AD653" s="8">
        <f t="shared" si="94"/>
        <v>491626.78782000003</v>
      </c>
      <c r="AE653" s="8">
        <f t="shared" si="95"/>
        <v>4051004.7316368003</v>
      </c>
      <c r="AF653" s="8">
        <f t="shared" si="96"/>
        <v>27039473.3301</v>
      </c>
      <c r="AG653" s="8">
        <f t="shared" si="97"/>
        <v>8947607.5383240003</v>
      </c>
      <c r="AH653" s="8">
        <f t="shared" si="98"/>
        <v>963588.50412719999</v>
      </c>
      <c r="AI653" s="8">
        <f t="shared" si="99"/>
        <v>609617.21689679998</v>
      </c>
    </row>
    <row r="654" spans="1:35" x14ac:dyDescent="0.55000000000000004">
      <c r="A654" s="1">
        <v>652</v>
      </c>
      <c r="B654" s="1" t="s">
        <v>20</v>
      </c>
      <c r="C654" s="1">
        <v>46</v>
      </c>
      <c r="D654" s="1">
        <v>9</v>
      </c>
      <c r="E654" s="1" t="s">
        <v>109</v>
      </c>
      <c r="F654" s="1" t="s">
        <v>110</v>
      </c>
      <c r="G654" s="1">
        <v>24</v>
      </c>
      <c r="H654" s="1">
        <v>2</v>
      </c>
      <c r="I654" s="1">
        <v>24090000</v>
      </c>
      <c r="J654" s="1">
        <v>789</v>
      </c>
      <c r="K654" s="1">
        <v>0</v>
      </c>
      <c r="L654" s="1">
        <v>14224</v>
      </c>
      <c r="M654" s="1">
        <v>13.688805</v>
      </c>
      <c r="N654" s="1">
        <v>101.35556</v>
      </c>
      <c r="O654" s="1">
        <v>34.509998000000003</v>
      </c>
      <c r="P654" s="1">
        <v>4.0199999999999996</v>
      </c>
      <c r="Q654" s="1">
        <v>0.9</v>
      </c>
      <c r="R654" s="1">
        <v>1.62</v>
      </c>
      <c r="S654" s="1">
        <v>0.94</v>
      </c>
      <c r="T654" s="1">
        <v>9.74</v>
      </c>
      <c r="U654" s="1">
        <v>6.83</v>
      </c>
      <c r="V654" s="1">
        <v>17.989999999999998</v>
      </c>
      <c r="W654" s="1">
        <v>0</v>
      </c>
      <c r="X654" s="1">
        <v>138.05047200000001</v>
      </c>
      <c r="Y654" s="1">
        <v>763.42704900000001</v>
      </c>
      <c r="Z654" t="str">
        <f>VLOOKUP(G654,'Code Pro'!$A$2:$B$9,2,FALSE)</f>
        <v>จ.ฉะเชิงเทรา</v>
      </c>
      <c r="AA654" s="8">
        <f t="shared" si="91"/>
        <v>26345.865934135905</v>
      </c>
      <c r="AB654" s="8">
        <f t="shared" si="92"/>
        <v>3068.9767369799997</v>
      </c>
      <c r="AC654" s="8">
        <f t="shared" si="93"/>
        <v>687.08434410000007</v>
      </c>
      <c r="AD654" s="8">
        <f t="shared" si="94"/>
        <v>1236.7518193800001</v>
      </c>
      <c r="AE654" s="8">
        <f t="shared" si="95"/>
        <v>717.62142605999998</v>
      </c>
      <c r="AF654" s="8">
        <f t="shared" si="96"/>
        <v>7435.7794572600005</v>
      </c>
      <c r="AG654" s="8">
        <f t="shared" si="97"/>
        <v>5214.2067446700003</v>
      </c>
      <c r="AH654" s="8">
        <f t="shared" si="98"/>
        <v>13734.052611509998</v>
      </c>
      <c r="AI654" s="8">
        <f t="shared" si="99"/>
        <v>0</v>
      </c>
    </row>
    <row r="655" spans="1:35" x14ac:dyDescent="0.55000000000000004">
      <c r="A655" s="1">
        <v>653</v>
      </c>
      <c r="B655" s="1" t="s">
        <v>20</v>
      </c>
      <c r="C655" s="1">
        <v>47</v>
      </c>
      <c r="D655" s="1">
        <v>10</v>
      </c>
      <c r="E655" s="1" t="s">
        <v>111</v>
      </c>
      <c r="F655" s="1" t="s">
        <v>112</v>
      </c>
      <c r="G655" s="1">
        <v>24</v>
      </c>
      <c r="H655" s="1">
        <v>2</v>
      </c>
      <c r="I655" s="1">
        <v>24100000</v>
      </c>
      <c r="J655" s="1">
        <v>753</v>
      </c>
      <c r="K655" s="1">
        <v>0</v>
      </c>
      <c r="L655" s="1">
        <v>13746</v>
      </c>
      <c r="M655" s="1">
        <v>13.365479000000001</v>
      </c>
      <c r="N655" s="1">
        <v>101.52182999999999</v>
      </c>
      <c r="O655" s="1">
        <v>2.58</v>
      </c>
      <c r="P655" s="1">
        <v>0.37</v>
      </c>
      <c r="Q655" s="1">
        <v>5.22</v>
      </c>
      <c r="R655" s="1">
        <v>0.3</v>
      </c>
      <c r="S655" s="1">
        <v>2.71</v>
      </c>
      <c r="T655" s="1">
        <v>19.52</v>
      </c>
      <c r="U655" s="1">
        <v>9.2100000000000009</v>
      </c>
      <c r="V655" s="1">
        <v>0</v>
      </c>
      <c r="W655" s="1">
        <v>0</v>
      </c>
      <c r="X655" s="1">
        <v>19695.240990999999</v>
      </c>
      <c r="Y655" s="1">
        <v>9056430.7834099997</v>
      </c>
      <c r="Z655" t="str">
        <f>VLOOKUP(G655,'Code Pro'!$A$2:$B$9,2,FALSE)</f>
        <v>จ.ฉะเชิงเทรา</v>
      </c>
      <c r="AA655" s="8">
        <f t="shared" si="91"/>
        <v>23365591.421197798</v>
      </c>
      <c r="AB655" s="8">
        <f t="shared" si="92"/>
        <v>3350879.3898616997</v>
      </c>
      <c r="AC655" s="8">
        <f t="shared" si="93"/>
        <v>47274568.689400196</v>
      </c>
      <c r="AD655" s="8">
        <f t="shared" si="94"/>
        <v>2716929.2350229998</v>
      </c>
      <c r="AE655" s="8">
        <f t="shared" si="95"/>
        <v>24542927.423041098</v>
      </c>
      <c r="AF655" s="8">
        <f t="shared" si="96"/>
        <v>176781528.89216319</v>
      </c>
      <c r="AG655" s="8">
        <f t="shared" si="97"/>
        <v>83409727.515206099</v>
      </c>
      <c r="AH655" s="8">
        <f t="shared" si="98"/>
        <v>0</v>
      </c>
      <c r="AI655" s="8">
        <f t="shared" si="99"/>
        <v>0</v>
      </c>
    </row>
    <row r="656" spans="1:35" x14ac:dyDescent="0.55000000000000004">
      <c r="A656" s="1">
        <v>654</v>
      </c>
      <c r="B656" s="1" t="s">
        <v>20</v>
      </c>
      <c r="C656" s="1">
        <v>47</v>
      </c>
      <c r="D656" s="1">
        <v>10</v>
      </c>
      <c r="E656" s="1" t="s">
        <v>111</v>
      </c>
      <c r="F656" s="1" t="s">
        <v>112</v>
      </c>
      <c r="G656" s="1">
        <v>24</v>
      </c>
      <c r="H656" s="1">
        <v>2</v>
      </c>
      <c r="I656" s="1">
        <v>24100000</v>
      </c>
      <c r="J656" s="1">
        <v>756</v>
      </c>
      <c r="K656" s="1">
        <v>0</v>
      </c>
      <c r="L656" s="1">
        <v>13628</v>
      </c>
      <c r="M656" s="1">
        <v>13.284592</v>
      </c>
      <c r="N656" s="1">
        <v>101.68810000000001</v>
      </c>
      <c r="O656" s="1">
        <v>0.83</v>
      </c>
      <c r="P656" s="1">
        <v>0.08</v>
      </c>
      <c r="Q656" s="1">
        <v>0.53</v>
      </c>
      <c r="R656" s="1">
        <v>0.23</v>
      </c>
      <c r="S656" s="1">
        <v>19.620000999999998</v>
      </c>
      <c r="T656" s="1">
        <v>10.66</v>
      </c>
      <c r="U656" s="1">
        <v>29.82</v>
      </c>
      <c r="V656" s="1">
        <v>0.01</v>
      </c>
      <c r="W656" s="1">
        <v>0.01</v>
      </c>
      <c r="X656" s="1">
        <v>34096.505635000001</v>
      </c>
      <c r="Y656" s="1">
        <v>69440916.479900002</v>
      </c>
      <c r="Z656" t="str">
        <f>VLOOKUP(G656,'Code Pro'!$A$2:$B$9,2,FALSE)</f>
        <v>จ.ฉะเชิงเทรา</v>
      </c>
      <c r="AA656" s="8">
        <f t="shared" si="91"/>
        <v>57635960.678317003</v>
      </c>
      <c r="AB656" s="8">
        <f t="shared" si="92"/>
        <v>5555273.3183920002</v>
      </c>
      <c r="AC656" s="8">
        <f t="shared" si="93"/>
        <v>36803685.734347001</v>
      </c>
      <c r="AD656" s="8">
        <f t="shared" si="94"/>
        <v>15971410.790377</v>
      </c>
      <c r="AE656" s="8">
        <f t="shared" si="95"/>
        <v>1362430850.7765543</v>
      </c>
      <c r="AF656" s="8">
        <f t="shared" si="96"/>
        <v>740240169.67573404</v>
      </c>
      <c r="AG656" s="8">
        <f t="shared" si="97"/>
        <v>2070728129.430618</v>
      </c>
      <c r="AH656" s="8">
        <f t="shared" si="98"/>
        <v>694409.16479900002</v>
      </c>
      <c r="AI656" s="8">
        <f t="shared" si="99"/>
        <v>694409.16479900002</v>
      </c>
    </row>
    <row r="657" spans="1:35" x14ac:dyDescent="0.55000000000000004">
      <c r="A657" s="1">
        <v>655</v>
      </c>
      <c r="B657" s="1" t="s">
        <v>20</v>
      </c>
      <c r="C657" s="1">
        <v>47</v>
      </c>
      <c r="D657" s="1">
        <v>10</v>
      </c>
      <c r="E657" s="1" t="s">
        <v>111</v>
      </c>
      <c r="F657" s="1" t="s">
        <v>112</v>
      </c>
      <c r="G657" s="1">
        <v>24</v>
      </c>
      <c r="H657" s="1">
        <v>2</v>
      </c>
      <c r="I657" s="1">
        <v>24100000</v>
      </c>
      <c r="J657" s="1">
        <v>758</v>
      </c>
      <c r="K657" s="1">
        <v>0</v>
      </c>
      <c r="L657" s="1">
        <v>13508</v>
      </c>
      <c r="M657" s="1">
        <v>13.203666999999999</v>
      </c>
      <c r="N657" s="1">
        <v>101.68810000000001</v>
      </c>
      <c r="O657" s="1">
        <v>7.24</v>
      </c>
      <c r="P657" s="1">
        <v>0.11</v>
      </c>
      <c r="Q657" s="1">
        <v>0.27</v>
      </c>
      <c r="R657" s="1">
        <v>0.15</v>
      </c>
      <c r="S657" s="1">
        <v>34.200001</v>
      </c>
      <c r="T657" s="1">
        <v>43.549999</v>
      </c>
      <c r="U657" s="1">
        <v>12.57</v>
      </c>
      <c r="V657" s="1">
        <v>6.21</v>
      </c>
      <c r="W657" s="1">
        <v>0.05</v>
      </c>
      <c r="X657" s="1">
        <v>21926.829758</v>
      </c>
      <c r="Y657" s="1">
        <v>21343454.315200001</v>
      </c>
      <c r="Z657" t="str">
        <f>VLOOKUP(G657,'Code Pro'!$A$2:$B$9,2,FALSE)</f>
        <v>จ.ฉะเชิงเทรา</v>
      </c>
      <c r="AA657" s="8">
        <f t="shared" si="91"/>
        <v>154526609.24204803</v>
      </c>
      <c r="AB657" s="8">
        <f t="shared" si="92"/>
        <v>2347779.9746719999</v>
      </c>
      <c r="AC657" s="8">
        <f t="shared" si="93"/>
        <v>5762732.6651040008</v>
      </c>
      <c r="AD657" s="8">
        <f t="shared" si="94"/>
        <v>3201518.1472800002</v>
      </c>
      <c r="AE657" s="8">
        <f t="shared" si="95"/>
        <v>729946158.92329431</v>
      </c>
      <c r="AF657" s="8">
        <f t="shared" si="96"/>
        <v>929507414.08350575</v>
      </c>
      <c r="AG657" s="8">
        <f t="shared" si="97"/>
        <v>268287220.74206403</v>
      </c>
      <c r="AH657" s="8">
        <f t="shared" si="98"/>
        <v>132542851.29739201</v>
      </c>
      <c r="AI657" s="8">
        <f t="shared" si="99"/>
        <v>1067172.7157600001</v>
      </c>
    </row>
    <row r="658" spans="1:35" x14ac:dyDescent="0.55000000000000004">
      <c r="A658" s="1">
        <v>656</v>
      </c>
      <c r="B658" s="1" t="s">
        <v>20</v>
      </c>
      <c r="C658" s="1">
        <v>47</v>
      </c>
      <c r="D658" s="1">
        <v>10</v>
      </c>
      <c r="E658" s="1" t="s">
        <v>111</v>
      </c>
      <c r="F658" s="1" t="s">
        <v>112</v>
      </c>
      <c r="G658" s="1">
        <v>24</v>
      </c>
      <c r="H658" s="1">
        <v>2</v>
      </c>
      <c r="I658" s="1">
        <v>24100000</v>
      </c>
      <c r="J658" s="1">
        <v>759</v>
      </c>
      <c r="K658" s="1">
        <v>0</v>
      </c>
      <c r="L658" s="1">
        <v>13866</v>
      </c>
      <c r="M658" s="1">
        <v>13.446358</v>
      </c>
      <c r="N658" s="1">
        <v>101.52182999999999</v>
      </c>
      <c r="O658" s="1">
        <v>24.77</v>
      </c>
      <c r="P658" s="1">
        <v>0.04</v>
      </c>
      <c r="Q658" s="1">
        <v>7.0000000000000007E-2</v>
      </c>
      <c r="R658" s="1">
        <v>0.24</v>
      </c>
      <c r="S658" s="1">
        <v>3.86</v>
      </c>
      <c r="T658" s="1">
        <v>17.459999</v>
      </c>
      <c r="U658" s="1">
        <v>8.1199999999999992</v>
      </c>
      <c r="V658" s="1">
        <v>0</v>
      </c>
      <c r="W658" s="1">
        <v>0</v>
      </c>
      <c r="X658" s="1">
        <v>34368.963628999998</v>
      </c>
      <c r="Y658" s="1">
        <v>51391224.318599999</v>
      </c>
      <c r="Z658" t="str">
        <f>VLOOKUP(G658,'Code Pro'!$A$2:$B$9,2,FALSE)</f>
        <v>จ.ฉะเชิงเทรา</v>
      </c>
      <c r="AA658" s="8">
        <f t="shared" si="91"/>
        <v>1272960626.371722</v>
      </c>
      <c r="AB658" s="8">
        <f t="shared" si="92"/>
        <v>2055648.9727439999</v>
      </c>
      <c r="AC658" s="8">
        <f t="shared" si="93"/>
        <v>3597385.7023020005</v>
      </c>
      <c r="AD658" s="8">
        <f t="shared" si="94"/>
        <v>12333893.836463999</v>
      </c>
      <c r="AE658" s="8">
        <f t="shared" si="95"/>
        <v>198370125.86979598</v>
      </c>
      <c r="AF658" s="8">
        <f t="shared" si="96"/>
        <v>897290725.21153164</v>
      </c>
      <c r="AG658" s="8">
        <f t="shared" si="97"/>
        <v>417296741.46703196</v>
      </c>
      <c r="AH658" s="8">
        <f t="shared" si="98"/>
        <v>0</v>
      </c>
      <c r="AI658" s="8">
        <f t="shared" si="99"/>
        <v>0</v>
      </c>
    </row>
    <row r="659" spans="1:35" x14ac:dyDescent="0.55000000000000004">
      <c r="A659" s="1">
        <v>657</v>
      </c>
      <c r="B659" s="1" t="s">
        <v>20</v>
      </c>
      <c r="C659" s="1">
        <v>47</v>
      </c>
      <c r="D659" s="1">
        <v>10</v>
      </c>
      <c r="E659" s="1" t="s">
        <v>111</v>
      </c>
      <c r="F659" s="1" t="s">
        <v>112</v>
      </c>
      <c r="G659" s="1">
        <v>24</v>
      </c>
      <c r="H659" s="1">
        <v>2</v>
      </c>
      <c r="I659" s="1">
        <v>24100000</v>
      </c>
      <c r="J659" s="1">
        <v>760</v>
      </c>
      <c r="K659" s="1">
        <v>0</v>
      </c>
      <c r="L659" s="1">
        <v>13627</v>
      </c>
      <c r="M659" s="1">
        <v>13.284592</v>
      </c>
      <c r="N659" s="1">
        <v>101.60496500000001</v>
      </c>
      <c r="O659" s="1">
        <v>0.1</v>
      </c>
      <c r="P659" s="1">
        <v>0.17</v>
      </c>
      <c r="Q659" s="1">
        <v>0.02</v>
      </c>
      <c r="R659" s="1">
        <v>0.34</v>
      </c>
      <c r="S659" s="1">
        <v>2.35</v>
      </c>
      <c r="T659" s="1">
        <v>23.09</v>
      </c>
      <c r="U659" s="1">
        <v>24.9</v>
      </c>
      <c r="V659" s="1">
        <v>0.13</v>
      </c>
      <c r="W659" s="1">
        <v>0</v>
      </c>
      <c r="X659" s="1">
        <v>21258.61361</v>
      </c>
      <c r="Y659" s="1">
        <v>17891896.4844</v>
      </c>
      <c r="Z659" t="str">
        <f>VLOOKUP(G659,'Code Pro'!$A$2:$B$9,2,FALSE)</f>
        <v>จ.ฉะเชิงเทรา</v>
      </c>
      <c r="AA659" s="8">
        <f t="shared" si="91"/>
        <v>1789189.6484400001</v>
      </c>
      <c r="AB659" s="8">
        <f t="shared" si="92"/>
        <v>3041622.4023480001</v>
      </c>
      <c r="AC659" s="8">
        <f t="shared" si="93"/>
        <v>357837.929688</v>
      </c>
      <c r="AD659" s="8">
        <f t="shared" si="94"/>
        <v>6083244.8046960002</v>
      </c>
      <c r="AE659" s="8">
        <f t="shared" si="95"/>
        <v>42045956.738340005</v>
      </c>
      <c r="AF659" s="8">
        <f t="shared" si="96"/>
        <v>413123889.82479602</v>
      </c>
      <c r="AG659" s="8">
        <f t="shared" si="97"/>
        <v>445508222.46156001</v>
      </c>
      <c r="AH659" s="8">
        <f t="shared" si="98"/>
        <v>2325946.5429720003</v>
      </c>
      <c r="AI659" s="8">
        <f t="shared" si="99"/>
        <v>0</v>
      </c>
    </row>
    <row r="660" spans="1:35" x14ac:dyDescent="0.55000000000000004">
      <c r="A660" s="1">
        <v>658</v>
      </c>
      <c r="B660" s="1" t="s">
        <v>20</v>
      </c>
      <c r="C660" s="1">
        <v>47</v>
      </c>
      <c r="D660" s="1">
        <v>10</v>
      </c>
      <c r="E660" s="1" t="s">
        <v>111</v>
      </c>
      <c r="F660" s="1" t="s">
        <v>112</v>
      </c>
      <c r="G660" s="1">
        <v>24</v>
      </c>
      <c r="H660" s="1">
        <v>2</v>
      </c>
      <c r="I660" s="1">
        <v>24100000</v>
      </c>
      <c r="J660" s="1">
        <v>761</v>
      </c>
      <c r="K660" s="1">
        <v>0</v>
      </c>
      <c r="L660" s="1">
        <v>13747</v>
      </c>
      <c r="M660" s="1">
        <v>13.365479000000001</v>
      </c>
      <c r="N660" s="1">
        <v>101.60496500000001</v>
      </c>
      <c r="O660" s="1">
        <v>5.31</v>
      </c>
      <c r="P660" s="1">
        <v>8.61</v>
      </c>
      <c r="Q660" s="1">
        <v>0.78</v>
      </c>
      <c r="R660" s="1">
        <v>0</v>
      </c>
      <c r="S660" s="1">
        <v>1.48</v>
      </c>
      <c r="T660" s="1">
        <v>7.16</v>
      </c>
      <c r="U660" s="1">
        <v>15.18</v>
      </c>
      <c r="V660" s="1">
        <v>0</v>
      </c>
      <c r="W660" s="1">
        <v>0</v>
      </c>
      <c r="X660" s="1">
        <v>36168.102124999998</v>
      </c>
      <c r="Y660" s="1">
        <v>79058859.363600001</v>
      </c>
      <c r="Z660" t="str">
        <f>VLOOKUP(G660,'Code Pro'!$A$2:$B$9,2,FALSE)</f>
        <v>จ.ฉะเชิงเทรา</v>
      </c>
      <c r="AA660" s="8">
        <f t="shared" si="91"/>
        <v>419802543.220716</v>
      </c>
      <c r="AB660" s="8">
        <f t="shared" si="92"/>
        <v>680696779.12059593</v>
      </c>
      <c r="AC660" s="8">
        <f t="shared" si="93"/>
        <v>61665910.303608</v>
      </c>
      <c r="AD660" s="8">
        <f t="shared" si="94"/>
        <v>0</v>
      </c>
      <c r="AE660" s="8">
        <f t="shared" si="95"/>
        <v>117007111.858128</v>
      </c>
      <c r="AF660" s="8">
        <f t="shared" si="96"/>
        <v>566061433.04337597</v>
      </c>
      <c r="AG660" s="8">
        <f t="shared" si="97"/>
        <v>1200113485.1394479</v>
      </c>
      <c r="AH660" s="8">
        <f t="shared" si="98"/>
        <v>0</v>
      </c>
      <c r="AI660" s="8">
        <f t="shared" si="99"/>
        <v>0</v>
      </c>
    </row>
    <row r="661" spans="1:35" x14ac:dyDescent="0.55000000000000004">
      <c r="A661" s="1">
        <v>659</v>
      </c>
      <c r="B661" s="1" t="s">
        <v>20</v>
      </c>
      <c r="C661" s="1">
        <v>47</v>
      </c>
      <c r="D661" s="1">
        <v>10</v>
      </c>
      <c r="E661" s="1" t="s">
        <v>111</v>
      </c>
      <c r="F661" s="1" t="s">
        <v>112</v>
      </c>
      <c r="G661" s="1">
        <v>24</v>
      </c>
      <c r="H661" s="1">
        <v>2</v>
      </c>
      <c r="I661" s="1">
        <v>24100000</v>
      </c>
      <c r="J661" s="1">
        <v>762</v>
      </c>
      <c r="K661" s="1">
        <v>0</v>
      </c>
      <c r="L661" s="1">
        <v>13867</v>
      </c>
      <c r="M661" s="1">
        <v>13.446358</v>
      </c>
      <c r="N661" s="1">
        <v>101.60496500000001</v>
      </c>
      <c r="O661" s="1">
        <v>8.5299999999999994</v>
      </c>
      <c r="P661" s="1">
        <v>5.34</v>
      </c>
      <c r="Q661" s="1">
        <v>0</v>
      </c>
      <c r="R661" s="1">
        <v>0</v>
      </c>
      <c r="S661" s="1">
        <v>0.42</v>
      </c>
      <c r="T661" s="1">
        <v>1.06</v>
      </c>
      <c r="U661" s="1">
        <v>14.02</v>
      </c>
      <c r="V661" s="1">
        <v>0.01</v>
      </c>
      <c r="W661" s="1">
        <v>0</v>
      </c>
      <c r="X661" s="1">
        <v>35917.741811</v>
      </c>
      <c r="Y661" s="1">
        <v>80629458.203199998</v>
      </c>
      <c r="Z661" t="str">
        <f>VLOOKUP(G661,'Code Pro'!$A$2:$B$9,2,FALSE)</f>
        <v>จ.ฉะเชิงเทรา</v>
      </c>
      <c r="AA661" s="8">
        <f t="shared" si="91"/>
        <v>687769278.47329593</v>
      </c>
      <c r="AB661" s="8">
        <f t="shared" si="92"/>
        <v>430561306.80508798</v>
      </c>
      <c r="AC661" s="8">
        <f t="shared" si="93"/>
        <v>0</v>
      </c>
      <c r="AD661" s="8">
        <f t="shared" si="94"/>
        <v>0</v>
      </c>
      <c r="AE661" s="8">
        <f t="shared" si="95"/>
        <v>33864372.445344001</v>
      </c>
      <c r="AF661" s="8">
        <f t="shared" si="96"/>
        <v>85467225.695391998</v>
      </c>
      <c r="AG661" s="8">
        <f t="shared" si="97"/>
        <v>1130425004.0088639</v>
      </c>
      <c r="AH661" s="8">
        <f t="shared" si="98"/>
        <v>806294.58203199995</v>
      </c>
      <c r="AI661" s="8">
        <f t="shared" si="99"/>
        <v>0</v>
      </c>
    </row>
    <row r="662" spans="1:35" x14ac:dyDescent="0.55000000000000004">
      <c r="A662" s="1">
        <v>660</v>
      </c>
      <c r="B662" s="1" t="s">
        <v>20</v>
      </c>
      <c r="C662" s="1">
        <v>47</v>
      </c>
      <c r="D662" s="1">
        <v>10</v>
      </c>
      <c r="E662" s="1" t="s">
        <v>111</v>
      </c>
      <c r="F662" s="1" t="s">
        <v>112</v>
      </c>
      <c r="G662" s="1">
        <v>24</v>
      </c>
      <c r="H662" s="1">
        <v>2</v>
      </c>
      <c r="I662" s="1">
        <v>24100000</v>
      </c>
      <c r="J662" s="1">
        <v>763</v>
      </c>
      <c r="K662" s="1">
        <v>0</v>
      </c>
      <c r="L662" s="1">
        <v>13748</v>
      </c>
      <c r="M662" s="1">
        <v>13.365479000000001</v>
      </c>
      <c r="N662" s="1">
        <v>101.68810000000001</v>
      </c>
      <c r="O662" s="1">
        <v>1.74</v>
      </c>
      <c r="P662" s="1">
        <v>0.43</v>
      </c>
      <c r="Q662" s="1">
        <v>11.72</v>
      </c>
      <c r="R662" s="1">
        <v>0</v>
      </c>
      <c r="S662" s="1">
        <v>19.549999</v>
      </c>
      <c r="T662" s="1">
        <v>2.78</v>
      </c>
      <c r="U662" s="1">
        <v>38.18</v>
      </c>
      <c r="V662" s="1">
        <v>0</v>
      </c>
      <c r="W662" s="1">
        <v>0</v>
      </c>
      <c r="X662" s="1">
        <v>35931.604045</v>
      </c>
      <c r="Y662" s="1">
        <v>80691685.002299994</v>
      </c>
      <c r="Z662" t="str">
        <f>VLOOKUP(G662,'Code Pro'!$A$2:$B$9,2,FALSE)</f>
        <v>จ.ฉะเชิงเทรา</v>
      </c>
      <c r="AA662" s="8">
        <f t="shared" si="91"/>
        <v>140403531.90400198</v>
      </c>
      <c r="AB662" s="8">
        <f t="shared" si="92"/>
        <v>34697424.550988995</v>
      </c>
      <c r="AC662" s="8">
        <f t="shared" si="93"/>
        <v>945706548.22695601</v>
      </c>
      <c r="AD662" s="8">
        <f t="shared" si="94"/>
        <v>0</v>
      </c>
      <c r="AE662" s="8">
        <f t="shared" si="95"/>
        <v>1577522361.1032798</v>
      </c>
      <c r="AF662" s="8">
        <f t="shared" si="96"/>
        <v>224322884.30639398</v>
      </c>
      <c r="AG662" s="8">
        <f t="shared" si="97"/>
        <v>3080808533.3878136</v>
      </c>
      <c r="AH662" s="8">
        <f t="shared" si="98"/>
        <v>0</v>
      </c>
      <c r="AI662" s="8">
        <f t="shared" si="99"/>
        <v>0</v>
      </c>
    </row>
    <row r="663" spans="1:35" x14ac:dyDescent="0.55000000000000004">
      <c r="A663" s="1">
        <v>661</v>
      </c>
      <c r="B663" s="1" t="s">
        <v>20</v>
      </c>
      <c r="C663" s="1">
        <v>47</v>
      </c>
      <c r="D663" s="1">
        <v>10</v>
      </c>
      <c r="E663" s="1" t="s">
        <v>111</v>
      </c>
      <c r="F663" s="1" t="s">
        <v>112</v>
      </c>
      <c r="G663" s="1">
        <v>24</v>
      </c>
      <c r="H663" s="1">
        <v>2</v>
      </c>
      <c r="I663" s="1">
        <v>24100000</v>
      </c>
      <c r="J663" s="1">
        <v>766</v>
      </c>
      <c r="K663" s="1">
        <v>0</v>
      </c>
      <c r="L663" s="1">
        <v>13630</v>
      </c>
      <c r="M663" s="1">
        <v>13.284592</v>
      </c>
      <c r="N663" s="1">
        <v>101.85438000000001</v>
      </c>
      <c r="O663" s="1">
        <v>26.780000999999999</v>
      </c>
      <c r="P663" s="1">
        <v>0.52</v>
      </c>
      <c r="Q663" s="1">
        <v>1.69</v>
      </c>
      <c r="R663" s="1">
        <v>3.77</v>
      </c>
      <c r="S663" s="1">
        <v>2.56</v>
      </c>
      <c r="T663" s="1">
        <v>16.93</v>
      </c>
      <c r="U663" s="1">
        <v>20.25</v>
      </c>
      <c r="V663" s="1">
        <v>0.02</v>
      </c>
      <c r="W663" s="1">
        <v>0.04</v>
      </c>
      <c r="X663" s="1">
        <v>37008.747709000003</v>
      </c>
      <c r="Y663" s="1">
        <v>79890963.687900007</v>
      </c>
      <c r="Z663" t="str">
        <f>VLOOKUP(G663,'Code Pro'!$A$2:$B$9,2,FALSE)</f>
        <v>จ.ฉะเชิงเทรา</v>
      </c>
      <c r="AA663" s="8">
        <f t="shared" si="91"/>
        <v>2139480087.4529257</v>
      </c>
      <c r="AB663" s="8">
        <f t="shared" si="92"/>
        <v>41543301.117708005</v>
      </c>
      <c r="AC663" s="8">
        <f t="shared" si="93"/>
        <v>135015728.63255101</v>
      </c>
      <c r="AD663" s="8">
        <f t="shared" si="94"/>
        <v>301188933.103383</v>
      </c>
      <c r="AE663" s="8">
        <f t="shared" si="95"/>
        <v>204520867.04102403</v>
      </c>
      <c r="AF663" s="8">
        <f t="shared" si="96"/>
        <v>1352554015.2361472</v>
      </c>
      <c r="AG663" s="8">
        <f t="shared" si="97"/>
        <v>1617792014.679975</v>
      </c>
      <c r="AH663" s="8">
        <f t="shared" si="98"/>
        <v>1597819.2737580002</v>
      </c>
      <c r="AI663" s="8">
        <f t="shared" si="99"/>
        <v>3195638.5475160005</v>
      </c>
    </row>
    <row r="664" spans="1:35" x14ac:dyDescent="0.55000000000000004">
      <c r="A664" s="1">
        <v>662</v>
      </c>
      <c r="B664" s="1" t="s">
        <v>20</v>
      </c>
      <c r="C664" s="1">
        <v>47</v>
      </c>
      <c r="D664" s="1">
        <v>10</v>
      </c>
      <c r="E664" s="1" t="s">
        <v>111</v>
      </c>
      <c r="F664" s="1" t="s">
        <v>112</v>
      </c>
      <c r="G664" s="1">
        <v>24</v>
      </c>
      <c r="H664" s="1">
        <v>2</v>
      </c>
      <c r="I664" s="1">
        <v>24100000</v>
      </c>
      <c r="J664" s="1">
        <v>767</v>
      </c>
      <c r="K664" s="1">
        <v>0</v>
      </c>
      <c r="L664" s="1">
        <v>13509</v>
      </c>
      <c r="M664" s="1">
        <v>13.203666999999999</v>
      </c>
      <c r="N664" s="1">
        <v>101.77124000000001</v>
      </c>
      <c r="O664" s="1">
        <v>78.720000999999996</v>
      </c>
      <c r="P664" s="1">
        <v>3.92</v>
      </c>
      <c r="Q664" s="1">
        <v>1.0900000000000001</v>
      </c>
      <c r="R664" s="1">
        <v>0.15</v>
      </c>
      <c r="S664" s="1">
        <v>52.889999000000003</v>
      </c>
      <c r="T664" s="1">
        <v>14.79</v>
      </c>
      <c r="U664" s="1">
        <v>19.59</v>
      </c>
      <c r="V664" s="1">
        <v>7.0000000000000007E-2</v>
      </c>
      <c r="W664" s="1">
        <v>0.19</v>
      </c>
      <c r="X664" s="1">
        <v>31383.942727000001</v>
      </c>
      <c r="Y664" s="1">
        <v>51373782.540700004</v>
      </c>
      <c r="Z664" t="str">
        <f>VLOOKUP(G664,'Code Pro'!$A$2:$B$9,2,FALSE)</f>
        <v>จ.ฉะเชิงเทรา</v>
      </c>
      <c r="AA664" s="8">
        <f t="shared" si="91"/>
        <v>4044144212.9776864</v>
      </c>
      <c r="AB664" s="8">
        <f t="shared" si="92"/>
        <v>201385227.559544</v>
      </c>
      <c r="AC664" s="8">
        <f t="shared" si="93"/>
        <v>55997422.969363011</v>
      </c>
      <c r="AD664" s="8">
        <f t="shared" si="94"/>
        <v>7706067.3811050002</v>
      </c>
      <c r="AE664" s="8">
        <f t="shared" si="95"/>
        <v>2717159307.2038407</v>
      </c>
      <c r="AF664" s="8">
        <f t="shared" si="96"/>
        <v>759818243.77695298</v>
      </c>
      <c r="AG664" s="8">
        <f t="shared" si="97"/>
        <v>1006412399.972313</v>
      </c>
      <c r="AH664" s="8">
        <f t="shared" si="98"/>
        <v>3596164.7778490004</v>
      </c>
      <c r="AI664" s="8">
        <f t="shared" si="99"/>
        <v>9761018.6827330012</v>
      </c>
    </row>
    <row r="665" spans="1:35" x14ac:dyDescent="0.55000000000000004">
      <c r="A665" s="1">
        <v>663</v>
      </c>
      <c r="B665" s="1" t="s">
        <v>20</v>
      </c>
      <c r="C665" s="1">
        <v>47</v>
      </c>
      <c r="D665" s="1">
        <v>10</v>
      </c>
      <c r="E665" s="1" t="s">
        <v>111</v>
      </c>
      <c r="F665" s="1" t="s">
        <v>112</v>
      </c>
      <c r="G665" s="1">
        <v>24</v>
      </c>
      <c r="H665" s="1">
        <v>2</v>
      </c>
      <c r="I665" s="1">
        <v>24100000</v>
      </c>
      <c r="J665" s="1">
        <v>768</v>
      </c>
      <c r="K665" s="1">
        <v>0</v>
      </c>
      <c r="L665" s="1">
        <v>13510</v>
      </c>
      <c r="M665" s="1">
        <v>13.203666999999999</v>
      </c>
      <c r="N665" s="1">
        <v>101.85438000000001</v>
      </c>
      <c r="O665" s="1">
        <v>35.790000999999997</v>
      </c>
      <c r="P665" s="1">
        <v>0.12</v>
      </c>
      <c r="Q665" s="1">
        <v>0.45</v>
      </c>
      <c r="R665" s="1">
        <v>4.7</v>
      </c>
      <c r="S665" s="1">
        <v>27.59</v>
      </c>
      <c r="T665" s="1">
        <v>32.630001</v>
      </c>
      <c r="U665" s="1">
        <v>10.87</v>
      </c>
      <c r="V665" s="1">
        <v>0</v>
      </c>
      <c r="W665" s="1">
        <v>0.19</v>
      </c>
      <c r="X665" s="1">
        <v>25345.509007000001</v>
      </c>
      <c r="Y665" s="1">
        <v>9378922.3737199996</v>
      </c>
      <c r="Z665" t="str">
        <f>VLOOKUP(G665,'Code Pro'!$A$2:$B$9,2,FALSE)</f>
        <v>จ.ฉะเชิงเทรา</v>
      </c>
      <c r="AA665" s="8">
        <f t="shared" si="91"/>
        <v>335671641.13436115</v>
      </c>
      <c r="AB665" s="8">
        <f t="shared" si="92"/>
        <v>1125470.6848463998</v>
      </c>
      <c r="AC665" s="8">
        <f t="shared" si="93"/>
        <v>4220515.0681739999</v>
      </c>
      <c r="AD665" s="8">
        <f t="shared" si="94"/>
        <v>44080935.156484</v>
      </c>
      <c r="AE665" s="8">
        <f t="shared" si="95"/>
        <v>258764468.2909348</v>
      </c>
      <c r="AF665" s="8">
        <f t="shared" si="96"/>
        <v>306034246.43340594</v>
      </c>
      <c r="AG665" s="8">
        <f t="shared" si="97"/>
        <v>101948886.20233639</v>
      </c>
      <c r="AH665" s="8">
        <f t="shared" si="98"/>
        <v>0</v>
      </c>
      <c r="AI665" s="8">
        <f t="shared" si="99"/>
        <v>1781995.2510068</v>
      </c>
    </row>
    <row r="666" spans="1:35" x14ac:dyDescent="0.55000000000000004">
      <c r="A666" s="1">
        <v>664</v>
      </c>
      <c r="B666" s="1" t="s">
        <v>20</v>
      </c>
      <c r="C666" s="1">
        <v>47</v>
      </c>
      <c r="D666" s="1">
        <v>10</v>
      </c>
      <c r="E666" s="1" t="s">
        <v>111</v>
      </c>
      <c r="F666" s="1" t="s">
        <v>112</v>
      </c>
      <c r="G666" s="1">
        <v>24</v>
      </c>
      <c r="H666" s="1">
        <v>2</v>
      </c>
      <c r="I666" s="1">
        <v>24100000</v>
      </c>
      <c r="J666" s="1">
        <v>769</v>
      </c>
      <c r="K666" s="1">
        <v>0</v>
      </c>
      <c r="L666" s="1">
        <v>13869</v>
      </c>
      <c r="M666" s="1">
        <v>13.446358</v>
      </c>
      <c r="N666" s="1">
        <v>101.77124000000001</v>
      </c>
      <c r="O666" s="1">
        <v>0.72</v>
      </c>
      <c r="P666" s="1">
        <v>0.12</v>
      </c>
      <c r="Q666" s="1">
        <v>0.03</v>
      </c>
      <c r="R666" s="1">
        <v>0</v>
      </c>
      <c r="S666" s="1">
        <v>5.0199999999999996</v>
      </c>
      <c r="T666" s="1">
        <v>3.7</v>
      </c>
      <c r="U666" s="1">
        <v>13.77</v>
      </c>
      <c r="V666" s="1">
        <v>0.14000000000000001</v>
      </c>
      <c r="W666" s="1">
        <v>0</v>
      </c>
      <c r="X666" s="1">
        <v>35923.484048999999</v>
      </c>
      <c r="Y666" s="1">
        <v>80655225.662799999</v>
      </c>
      <c r="Z666" t="str">
        <f>VLOOKUP(G666,'Code Pro'!$A$2:$B$9,2,FALSE)</f>
        <v>จ.ฉะเชิงเทรา</v>
      </c>
      <c r="AA666" s="8">
        <f t="shared" si="91"/>
        <v>58071762.477215998</v>
      </c>
      <c r="AB666" s="8">
        <f t="shared" si="92"/>
        <v>9678627.0795360003</v>
      </c>
      <c r="AC666" s="8">
        <f t="shared" si="93"/>
        <v>2419656.7698840001</v>
      </c>
      <c r="AD666" s="8">
        <f t="shared" si="94"/>
        <v>0</v>
      </c>
      <c r="AE666" s="8">
        <f t="shared" si="95"/>
        <v>404889232.82725596</v>
      </c>
      <c r="AF666" s="8">
        <f t="shared" si="96"/>
        <v>298424334.95236003</v>
      </c>
      <c r="AG666" s="8">
        <f t="shared" si="97"/>
        <v>1110622457.376756</v>
      </c>
      <c r="AH666" s="8">
        <f t="shared" si="98"/>
        <v>11291731.592792001</v>
      </c>
      <c r="AI666" s="8">
        <f t="shared" si="99"/>
        <v>0</v>
      </c>
    </row>
    <row r="667" spans="1:35" x14ac:dyDescent="0.55000000000000004">
      <c r="A667" s="1">
        <v>665</v>
      </c>
      <c r="B667" s="1" t="s">
        <v>20</v>
      </c>
      <c r="C667" s="1">
        <v>47</v>
      </c>
      <c r="D667" s="1">
        <v>10</v>
      </c>
      <c r="E667" s="1" t="s">
        <v>111</v>
      </c>
      <c r="F667" s="1" t="s">
        <v>112</v>
      </c>
      <c r="G667" s="1">
        <v>24</v>
      </c>
      <c r="H667" s="1">
        <v>2</v>
      </c>
      <c r="I667" s="1">
        <v>24100000</v>
      </c>
      <c r="J667" s="1">
        <v>770</v>
      </c>
      <c r="K667" s="1">
        <v>0</v>
      </c>
      <c r="L667" s="1">
        <v>13868</v>
      </c>
      <c r="M667" s="1">
        <v>13.446358</v>
      </c>
      <c r="N667" s="1">
        <v>101.68810000000001</v>
      </c>
      <c r="O667" s="1">
        <v>0.47</v>
      </c>
      <c r="P667" s="1">
        <v>22.16</v>
      </c>
      <c r="Q667" s="1">
        <v>0.61</v>
      </c>
      <c r="R667" s="1">
        <v>0</v>
      </c>
      <c r="S667" s="1">
        <v>7.78</v>
      </c>
      <c r="T667" s="1">
        <v>3.07</v>
      </c>
      <c r="U667" s="1">
        <v>16.93</v>
      </c>
      <c r="V667" s="1">
        <v>0.75</v>
      </c>
      <c r="W667" s="1">
        <v>0</v>
      </c>
      <c r="X667" s="1">
        <v>35920.576718999997</v>
      </c>
      <c r="Y667" s="1">
        <v>80642178.846900001</v>
      </c>
      <c r="Z667" t="str">
        <f>VLOOKUP(G667,'Code Pro'!$A$2:$B$9,2,FALSE)</f>
        <v>จ.ฉะเชิงเทรา</v>
      </c>
      <c r="AA667" s="8">
        <f t="shared" si="91"/>
        <v>37901824.058042996</v>
      </c>
      <c r="AB667" s="8">
        <f t="shared" si="92"/>
        <v>1787030683.247304</v>
      </c>
      <c r="AC667" s="8">
        <f t="shared" si="93"/>
        <v>49191729.096608996</v>
      </c>
      <c r="AD667" s="8">
        <f t="shared" si="94"/>
        <v>0</v>
      </c>
      <c r="AE667" s="8">
        <f t="shared" si="95"/>
        <v>627396151.428882</v>
      </c>
      <c r="AF667" s="8">
        <f t="shared" si="96"/>
        <v>247571489.05998299</v>
      </c>
      <c r="AG667" s="8">
        <f t="shared" si="97"/>
        <v>1365272087.8780169</v>
      </c>
      <c r="AH667" s="8">
        <f t="shared" si="98"/>
        <v>60481634.135175005</v>
      </c>
      <c r="AI667" s="8">
        <f t="shared" si="99"/>
        <v>0</v>
      </c>
    </row>
    <row r="668" spans="1:35" x14ac:dyDescent="0.55000000000000004">
      <c r="A668" s="1">
        <v>666</v>
      </c>
      <c r="B668" s="1" t="s">
        <v>20</v>
      </c>
      <c r="C668" s="1">
        <v>47</v>
      </c>
      <c r="D668" s="1">
        <v>10</v>
      </c>
      <c r="E668" s="1" t="s">
        <v>111</v>
      </c>
      <c r="F668" s="1" t="s">
        <v>112</v>
      </c>
      <c r="G668" s="1">
        <v>24</v>
      </c>
      <c r="H668" s="1">
        <v>2</v>
      </c>
      <c r="I668" s="1">
        <v>24100000</v>
      </c>
      <c r="J668" s="1">
        <v>771</v>
      </c>
      <c r="K668" s="1">
        <v>0</v>
      </c>
      <c r="L668" s="1">
        <v>13749</v>
      </c>
      <c r="M668" s="1">
        <v>13.365479000000001</v>
      </c>
      <c r="N668" s="1">
        <v>101.77124000000001</v>
      </c>
      <c r="O668" s="1">
        <v>2.4700000000000002</v>
      </c>
      <c r="P668" s="1">
        <v>1.02</v>
      </c>
      <c r="Q668" s="1">
        <v>1.69</v>
      </c>
      <c r="R668" s="1">
        <v>0</v>
      </c>
      <c r="S668" s="1">
        <v>0.18</v>
      </c>
      <c r="T668" s="1">
        <v>16.170000000000002</v>
      </c>
      <c r="U668" s="1">
        <v>36.18</v>
      </c>
      <c r="V668" s="1">
        <v>0.11</v>
      </c>
      <c r="W668" s="1">
        <v>0</v>
      </c>
      <c r="X668" s="1">
        <v>35934.513890000002</v>
      </c>
      <c r="Y668" s="1">
        <v>80704747.042799994</v>
      </c>
      <c r="Z668" t="str">
        <f>VLOOKUP(G668,'Code Pro'!$A$2:$B$9,2,FALSE)</f>
        <v>จ.ฉะเชิงเทรา</v>
      </c>
      <c r="AA668" s="8">
        <f t="shared" si="91"/>
        <v>199340725.19571599</v>
      </c>
      <c r="AB668" s="8">
        <f t="shared" si="92"/>
        <v>82318841.983655989</v>
      </c>
      <c r="AC668" s="8">
        <f t="shared" si="93"/>
        <v>136391022.50233197</v>
      </c>
      <c r="AD668" s="8">
        <f t="shared" si="94"/>
        <v>0</v>
      </c>
      <c r="AE668" s="8">
        <f t="shared" si="95"/>
        <v>14526854.467703998</v>
      </c>
      <c r="AF668" s="8">
        <f t="shared" si="96"/>
        <v>1304995759.682076</v>
      </c>
      <c r="AG668" s="8">
        <f t="shared" si="97"/>
        <v>2919897748.0085039</v>
      </c>
      <c r="AH668" s="8">
        <f t="shared" si="98"/>
        <v>8877522.1747079995</v>
      </c>
      <c r="AI668" s="8">
        <f t="shared" si="99"/>
        <v>0</v>
      </c>
    </row>
    <row r="669" spans="1:35" x14ac:dyDescent="0.55000000000000004">
      <c r="A669" s="1">
        <v>667</v>
      </c>
      <c r="B669" s="1" t="s">
        <v>20</v>
      </c>
      <c r="C669" s="1">
        <v>47</v>
      </c>
      <c r="D669" s="1">
        <v>10</v>
      </c>
      <c r="E669" s="1" t="s">
        <v>111</v>
      </c>
      <c r="F669" s="1" t="s">
        <v>112</v>
      </c>
      <c r="G669" s="1">
        <v>24</v>
      </c>
      <c r="H669" s="1">
        <v>2</v>
      </c>
      <c r="I669" s="1">
        <v>24100000</v>
      </c>
      <c r="J669" s="1">
        <v>772</v>
      </c>
      <c r="K669" s="1">
        <v>0</v>
      </c>
      <c r="L669" s="1">
        <v>13629</v>
      </c>
      <c r="M669" s="1">
        <v>13.284592</v>
      </c>
      <c r="N669" s="1">
        <v>101.77124000000001</v>
      </c>
      <c r="O669" s="1">
        <v>31.450001</v>
      </c>
      <c r="P669" s="1">
        <v>15.05</v>
      </c>
      <c r="Q669" s="1">
        <v>19.030000999999999</v>
      </c>
      <c r="R669" s="1">
        <v>0.19</v>
      </c>
      <c r="S669" s="1">
        <v>13.59</v>
      </c>
      <c r="T669" s="1">
        <v>26.24</v>
      </c>
      <c r="U669" s="1">
        <v>29.719999000000001</v>
      </c>
      <c r="V669" s="1">
        <v>0</v>
      </c>
      <c r="W669" s="1">
        <v>0.01</v>
      </c>
      <c r="X669" s="1">
        <v>35945.510124</v>
      </c>
      <c r="Y669" s="1">
        <v>80754132.998099998</v>
      </c>
      <c r="Z669" t="str">
        <f>VLOOKUP(G669,'Code Pro'!$A$2:$B$9,2,FALSE)</f>
        <v>จ.ฉะเชิงเทรา</v>
      </c>
      <c r="AA669" s="8">
        <f t="shared" si="91"/>
        <v>2539717563.5443778</v>
      </c>
      <c r="AB669" s="8">
        <f t="shared" si="92"/>
        <v>1215349701.6214051</v>
      </c>
      <c r="AC669" s="8">
        <f t="shared" si="93"/>
        <v>1536751231.7079759</v>
      </c>
      <c r="AD669" s="8">
        <f t="shared" si="94"/>
        <v>15343285.269639</v>
      </c>
      <c r="AE669" s="8">
        <f t="shared" si="95"/>
        <v>1097448667.4441791</v>
      </c>
      <c r="AF669" s="8">
        <f t="shared" si="96"/>
        <v>2118988449.8701439</v>
      </c>
      <c r="AG669" s="8">
        <f t="shared" si="97"/>
        <v>2400012751.949399</v>
      </c>
      <c r="AH669" s="8">
        <f t="shared" si="98"/>
        <v>0</v>
      </c>
      <c r="AI669" s="8">
        <f t="shared" si="99"/>
        <v>807541.32998100005</v>
      </c>
    </row>
    <row r="670" spans="1:35" x14ac:dyDescent="0.55000000000000004">
      <c r="A670" s="1">
        <v>668</v>
      </c>
      <c r="B670" s="1" t="s">
        <v>20</v>
      </c>
      <c r="C670" s="1">
        <v>47</v>
      </c>
      <c r="D670" s="1">
        <v>10</v>
      </c>
      <c r="E670" s="1" t="s">
        <v>111</v>
      </c>
      <c r="F670" s="1" t="s">
        <v>112</v>
      </c>
      <c r="G670" s="1">
        <v>24</v>
      </c>
      <c r="H670" s="1">
        <v>2</v>
      </c>
      <c r="I670" s="1">
        <v>24100000</v>
      </c>
      <c r="J670" s="1">
        <v>773</v>
      </c>
      <c r="K670" s="1">
        <v>0</v>
      </c>
      <c r="L670" s="1">
        <v>13870</v>
      </c>
      <c r="M670" s="1">
        <v>13.446358</v>
      </c>
      <c r="N670" s="1">
        <v>101.85438000000001</v>
      </c>
      <c r="O670" s="1">
        <v>1.38</v>
      </c>
      <c r="P670" s="1">
        <v>0.03</v>
      </c>
      <c r="Q670" s="1">
        <v>7.0000000000000007E-2</v>
      </c>
      <c r="R670" s="1">
        <v>0</v>
      </c>
      <c r="S670" s="1">
        <v>0.02</v>
      </c>
      <c r="T670" s="1">
        <v>6.81</v>
      </c>
      <c r="U670" s="1">
        <v>22.530000999999999</v>
      </c>
      <c r="V670" s="1">
        <v>0.3</v>
      </c>
      <c r="W670" s="1">
        <v>0</v>
      </c>
      <c r="X670" s="1">
        <v>35351.537730999997</v>
      </c>
      <c r="Y670" s="1">
        <v>78433275.928900003</v>
      </c>
      <c r="Z670" t="str">
        <f>VLOOKUP(G670,'Code Pro'!$A$2:$B$9,2,FALSE)</f>
        <v>จ.ฉะเชิงเทรา</v>
      </c>
      <c r="AA670" s="8">
        <f t="shared" si="91"/>
        <v>108237920.781882</v>
      </c>
      <c r="AB670" s="8">
        <f t="shared" si="92"/>
        <v>2352998.2778670001</v>
      </c>
      <c r="AC670" s="8">
        <f t="shared" si="93"/>
        <v>5490329.3150230004</v>
      </c>
      <c r="AD670" s="8">
        <f t="shared" si="94"/>
        <v>0</v>
      </c>
      <c r="AE670" s="8">
        <f t="shared" si="95"/>
        <v>1568665.5185780001</v>
      </c>
      <c r="AF670" s="8">
        <f t="shared" si="96"/>
        <v>534130609.075809</v>
      </c>
      <c r="AG670" s="8">
        <f t="shared" si="97"/>
        <v>1767101785.111393</v>
      </c>
      <c r="AH670" s="8">
        <f t="shared" si="98"/>
        <v>23529982.778670002</v>
      </c>
      <c r="AI670" s="8">
        <f t="shared" si="99"/>
        <v>0</v>
      </c>
    </row>
    <row r="671" spans="1:35" x14ac:dyDescent="0.55000000000000004">
      <c r="A671" s="1">
        <v>669</v>
      </c>
      <c r="B671" s="1" t="s">
        <v>20</v>
      </c>
      <c r="C671" s="1">
        <v>47</v>
      </c>
      <c r="D671" s="1">
        <v>10</v>
      </c>
      <c r="E671" s="1" t="s">
        <v>111</v>
      </c>
      <c r="F671" s="1" t="s">
        <v>112</v>
      </c>
      <c r="G671" s="1">
        <v>24</v>
      </c>
      <c r="H671" s="1">
        <v>2</v>
      </c>
      <c r="I671" s="1">
        <v>24100000</v>
      </c>
      <c r="J671" s="1">
        <v>774</v>
      </c>
      <c r="K671" s="1">
        <v>0</v>
      </c>
      <c r="L671" s="1">
        <v>13750</v>
      </c>
      <c r="M671" s="1">
        <v>13.365479000000001</v>
      </c>
      <c r="N671" s="1">
        <v>101.85438000000001</v>
      </c>
      <c r="O671" s="1">
        <v>25.18</v>
      </c>
      <c r="P671" s="1">
        <v>0.1</v>
      </c>
      <c r="Q671" s="1">
        <v>0.67</v>
      </c>
      <c r="R671" s="1">
        <v>0.05</v>
      </c>
      <c r="S671" s="1">
        <v>0.08</v>
      </c>
      <c r="T671" s="1">
        <v>13.94</v>
      </c>
      <c r="U671" s="1">
        <v>34.18</v>
      </c>
      <c r="V671" s="1">
        <v>5.95</v>
      </c>
      <c r="W671" s="1">
        <v>0</v>
      </c>
      <c r="X671" s="1">
        <v>35935.870020000002</v>
      </c>
      <c r="Y671" s="1">
        <v>80710854.091800004</v>
      </c>
      <c r="Z671" t="str">
        <f>VLOOKUP(G671,'Code Pro'!$A$2:$B$9,2,FALSE)</f>
        <v>จ.ฉะเชิงเทรา</v>
      </c>
      <c r="AA671" s="8">
        <f t="shared" si="91"/>
        <v>2032299306.0315242</v>
      </c>
      <c r="AB671" s="8">
        <f t="shared" si="92"/>
        <v>8071085.4091800004</v>
      </c>
      <c r="AC671" s="8">
        <f t="shared" si="93"/>
        <v>54076272.241506003</v>
      </c>
      <c r="AD671" s="8">
        <f t="shared" si="94"/>
        <v>4035542.7045900002</v>
      </c>
      <c r="AE671" s="8">
        <f t="shared" si="95"/>
        <v>6456868.3273440003</v>
      </c>
      <c r="AF671" s="8">
        <f t="shared" si="96"/>
        <v>1125109306.0396919</v>
      </c>
      <c r="AG671" s="8">
        <f t="shared" si="97"/>
        <v>2758696992.8577242</v>
      </c>
      <c r="AH671" s="8">
        <f t="shared" si="98"/>
        <v>480229581.84621006</v>
      </c>
      <c r="AI671" s="8">
        <f t="shared" si="99"/>
        <v>0</v>
      </c>
    </row>
    <row r="672" spans="1:35" x14ac:dyDescent="0.55000000000000004">
      <c r="A672" s="1">
        <v>670</v>
      </c>
      <c r="B672" s="1" t="s">
        <v>20</v>
      </c>
      <c r="C672" s="1">
        <v>47</v>
      </c>
      <c r="D672" s="1">
        <v>10</v>
      </c>
      <c r="E672" s="1" t="s">
        <v>111</v>
      </c>
      <c r="F672" s="1" t="s">
        <v>112</v>
      </c>
      <c r="G672" s="1">
        <v>24</v>
      </c>
      <c r="H672" s="1">
        <v>2</v>
      </c>
      <c r="I672" s="1">
        <v>24100000</v>
      </c>
      <c r="J672" s="1">
        <v>788</v>
      </c>
      <c r="K672" s="1">
        <v>0</v>
      </c>
      <c r="L672" s="1">
        <v>13986</v>
      </c>
      <c r="M672" s="1">
        <v>13.527199</v>
      </c>
      <c r="N672" s="1">
        <v>101.52182999999999</v>
      </c>
      <c r="O672" s="1">
        <v>1.44</v>
      </c>
      <c r="P672" s="1">
        <v>0</v>
      </c>
      <c r="Q672" s="1">
        <v>0.05</v>
      </c>
      <c r="R672" s="1">
        <v>0.25</v>
      </c>
      <c r="S672" s="1">
        <v>2.67</v>
      </c>
      <c r="T672" s="1">
        <v>24.35</v>
      </c>
      <c r="U672" s="1">
        <v>4.47</v>
      </c>
      <c r="V672" s="1">
        <v>0</v>
      </c>
      <c r="W672" s="1">
        <v>0.02</v>
      </c>
      <c r="X672" s="1">
        <v>21457.724887</v>
      </c>
      <c r="Y672" s="1">
        <v>14112719.133400001</v>
      </c>
      <c r="Z672" t="str">
        <f>VLOOKUP(G672,'Code Pro'!$A$2:$B$9,2,FALSE)</f>
        <v>จ.ฉะเชิงเทรา</v>
      </c>
      <c r="AA672" s="8">
        <f t="shared" si="91"/>
        <v>20322315.552096002</v>
      </c>
      <c r="AB672" s="8">
        <f t="shared" si="92"/>
        <v>0</v>
      </c>
      <c r="AC672" s="8">
        <f t="shared" si="93"/>
        <v>705635.9566700001</v>
      </c>
      <c r="AD672" s="8">
        <f t="shared" si="94"/>
        <v>3528179.7833500002</v>
      </c>
      <c r="AE672" s="8">
        <f t="shared" si="95"/>
        <v>37680960.086177997</v>
      </c>
      <c r="AF672" s="8">
        <f t="shared" si="96"/>
        <v>343644710.89829004</v>
      </c>
      <c r="AG672" s="8">
        <f t="shared" si="97"/>
        <v>63083854.526298001</v>
      </c>
      <c r="AH672" s="8">
        <f t="shared" si="98"/>
        <v>0</v>
      </c>
      <c r="AI672" s="8">
        <f t="shared" si="99"/>
        <v>282254.38266800001</v>
      </c>
    </row>
    <row r="673" spans="1:35" x14ac:dyDescent="0.55000000000000004">
      <c r="A673" s="1">
        <v>671</v>
      </c>
      <c r="B673" s="1" t="s">
        <v>20</v>
      </c>
      <c r="C673" s="1">
        <v>47</v>
      </c>
      <c r="D673" s="1">
        <v>10</v>
      </c>
      <c r="E673" s="1" t="s">
        <v>111</v>
      </c>
      <c r="F673" s="1" t="s">
        <v>112</v>
      </c>
      <c r="G673" s="1">
        <v>24</v>
      </c>
      <c r="H673" s="1">
        <v>2</v>
      </c>
      <c r="I673" s="1">
        <v>24100000</v>
      </c>
      <c r="J673" s="1">
        <v>797</v>
      </c>
      <c r="K673" s="1">
        <v>0</v>
      </c>
      <c r="L673" s="1">
        <v>14107</v>
      </c>
      <c r="M673" s="1">
        <v>13.608017</v>
      </c>
      <c r="N673" s="1">
        <v>101.60496500000001</v>
      </c>
      <c r="O673" s="1">
        <v>7.0000000000000007E-2</v>
      </c>
      <c r="P673" s="1">
        <v>4.57</v>
      </c>
      <c r="Q673" s="1">
        <v>0.17</v>
      </c>
      <c r="R673" s="1">
        <v>0.04</v>
      </c>
      <c r="S673" s="1">
        <v>4.59</v>
      </c>
      <c r="T673" s="1">
        <v>4.12</v>
      </c>
      <c r="U673" s="1">
        <v>6.87</v>
      </c>
      <c r="V673" s="1">
        <v>0</v>
      </c>
      <c r="W673" s="1">
        <v>0</v>
      </c>
      <c r="X673" s="1">
        <v>16238.075150000001</v>
      </c>
      <c r="Y673" s="1">
        <v>7509526.6104800003</v>
      </c>
      <c r="Z673" t="str">
        <f>VLOOKUP(G673,'Code Pro'!$A$2:$B$9,2,FALSE)</f>
        <v>จ.ฉะเชิงเทรา</v>
      </c>
      <c r="AA673" s="8">
        <f t="shared" si="91"/>
        <v>525666.86273360008</v>
      </c>
      <c r="AB673" s="8">
        <f t="shared" si="92"/>
        <v>34318536.609893605</v>
      </c>
      <c r="AC673" s="8">
        <f t="shared" si="93"/>
        <v>1276619.5237816002</v>
      </c>
      <c r="AD673" s="8">
        <f t="shared" si="94"/>
        <v>300381.0644192</v>
      </c>
      <c r="AE673" s="8">
        <f t="shared" si="95"/>
        <v>34468727.142103203</v>
      </c>
      <c r="AF673" s="8">
        <f t="shared" si="96"/>
        <v>30939249.635177601</v>
      </c>
      <c r="AG673" s="8">
        <f t="shared" si="97"/>
        <v>51590447.813997604</v>
      </c>
      <c r="AH673" s="8">
        <f t="shared" si="98"/>
        <v>0</v>
      </c>
      <c r="AI673" s="8">
        <f t="shared" si="99"/>
        <v>0</v>
      </c>
    </row>
    <row r="674" spans="1:35" x14ac:dyDescent="0.55000000000000004">
      <c r="A674" s="1">
        <v>672</v>
      </c>
      <c r="B674" s="1" t="s">
        <v>20</v>
      </c>
      <c r="C674" s="1">
        <v>47</v>
      </c>
      <c r="D674" s="1">
        <v>10</v>
      </c>
      <c r="E674" s="1" t="s">
        <v>111</v>
      </c>
      <c r="F674" s="1" t="s">
        <v>112</v>
      </c>
      <c r="G674" s="1">
        <v>24</v>
      </c>
      <c r="H674" s="1">
        <v>2</v>
      </c>
      <c r="I674" s="1">
        <v>24100000</v>
      </c>
      <c r="J674" s="1">
        <v>798</v>
      </c>
      <c r="K674" s="1">
        <v>0</v>
      </c>
      <c r="L674" s="1">
        <v>13988</v>
      </c>
      <c r="M674" s="1">
        <v>13.527199</v>
      </c>
      <c r="N674" s="1">
        <v>101.68810000000001</v>
      </c>
      <c r="O674" s="1">
        <v>0.13</v>
      </c>
      <c r="P674" s="1">
        <v>2.13</v>
      </c>
      <c r="Q674" s="1">
        <v>0.01</v>
      </c>
      <c r="R674" s="1">
        <v>0.03</v>
      </c>
      <c r="S674" s="1">
        <v>0.35</v>
      </c>
      <c r="T674" s="1">
        <v>4.53</v>
      </c>
      <c r="U674" s="1">
        <v>17.260000000000002</v>
      </c>
      <c r="V674" s="1">
        <v>0</v>
      </c>
      <c r="W674" s="1">
        <v>0</v>
      </c>
      <c r="X674" s="1">
        <v>34716.677747000002</v>
      </c>
      <c r="Y674" s="1">
        <v>76046819.501100004</v>
      </c>
      <c r="Z674" t="str">
        <f>VLOOKUP(G674,'Code Pro'!$A$2:$B$9,2,FALSE)</f>
        <v>จ.ฉะเชิงเทรา</v>
      </c>
      <c r="AA674" s="8">
        <f t="shared" si="91"/>
        <v>9886086.535143001</v>
      </c>
      <c r="AB674" s="8">
        <f t="shared" si="92"/>
        <v>161979725.537343</v>
      </c>
      <c r="AC674" s="8">
        <f t="shared" si="93"/>
        <v>760468.19501100003</v>
      </c>
      <c r="AD674" s="8">
        <f t="shared" si="94"/>
        <v>2281404.585033</v>
      </c>
      <c r="AE674" s="8">
        <f t="shared" si="95"/>
        <v>26616386.825385001</v>
      </c>
      <c r="AF674" s="8">
        <f t="shared" si="96"/>
        <v>344492092.33998305</v>
      </c>
      <c r="AG674" s="8">
        <f t="shared" si="97"/>
        <v>1312568104.5889862</v>
      </c>
      <c r="AH674" s="8">
        <f t="shared" si="98"/>
        <v>0</v>
      </c>
      <c r="AI674" s="8">
        <f t="shared" si="99"/>
        <v>0</v>
      </c>
    </row>
    <row r="675" spans="1:35" x14ac:dyDescent="0.55000000000000004">
      <c r="A675" s="1">
        <v>673</v>
      </c>
      <c r="B675" s="1" t="s">
        <v>20</v>
      </c>
      <c r="C675" s="1">
        <v>47</v>
      </c>
      <c r="D675" s="1">
        <v>10</v>
      </c>
      <c r="E675" s="1" t="s">
        <v>111</v>
      </c>
      <c r="F675" s="1" t="s">
        <v>112</v>
      </c>
      <c r="G675" s="1">
        <v>24</v>
      </c>
      <c r="H675" s="1">
        <v>2</v>
      </c>
      <c r="I675" s="1">
        <v>24100000</v>
      </c>
      <c r="J675" s="1">
        <v>799</v>
      </c>
      <c r="K675" s="1">
        <v>0</v>
      </c>
      <c r="L675" s="1">
        <v>14108</v>
      </c>
      <c r="M675" s="1">
        <v>13.608017</v>
      </c>
      <c r="N675" s="1">
        <v>101.68810000000001</v>
      </c>
      <c r="O675" s="1">
        <v>0.13</v>
      </c>
      <c r="P675" s="1">
        <v>10.92</v>
      </c>
      <c r="Q675" s="1">
        <v>4.92</v>
      </c>
      <c r="R675" s="1">
        <v>0.09</v>
      </c>
      <c r="S675" s="1">
        <v>0.02</v>
      </c>
      <c r="T675" s="1">
        <v>2.4700000000000002</v>
      </c>
      <c r="U675" s="1">
        <v>11.48</v>
      </c>
      <c r="V675" s="1">
        <v>0</v>
      </c>
      <c r="W675" s="1">
        <v>0</v>
      </c>
      <c r="X675" s="1">
        <v>13583.307051</v>
      </c>
      <c r="Y675" s="1">
        <v>8446833.3341700006</v>
      </c>
      <c r="Z675" t="str">
        <f>VLOOKUP(G675,'Code Pro'!$A$2:$B$9,2,FALSE)</f>
        <v>จ.ฉะเชิงเทรา</v>
      </c>
      <c r="AA675" s="8">
        <f t="shared" si="91"/>
        <v>1098088.3334421001</v>
      </c>
      <c r="AB675" s="8">
        <f t="shared" si="92"/>
        <v>92239420.009136409</v>
      </c>
      <c r="AC675" s="8">
        <f t="shared" si="93"/>
        <v>41558420.004116401</v>
      </c>
      <c r="AD675" s="8">
        <f t="shared" si="94"/>
        <v>760215.00007529999</v>
      </c>
      <c r="AE675" s="8">
        <f t="shared" si="95"/>
        <v>168936.66668340002</v>
      </c>
      <c r="AF675" s="8">
        <f t="shared" si="96"/>
        <v>20863678.335399903</v>
      </c>
      <c r="AG675" s="8">
        <f t="shared" si="97"/>
        <v>96969646.676271617</v>
      </c>
      <c r="AH675" s="8">
        <f t="shared" si="98"/>
        <v>0</v>
      </c>
      <c r="AI675" s="8">
        <f t="shared" si="99"/>
        <v>0</v>
      </c>
    </row>
    <row r="676" spans="1:35" x14ac:dyDescent="0.55000000000000004">
      <c r="A676" s="1">
        <v>674</v>
      </c>
      <c r="B676" s="1" t="s">
        <v>20</v>
      </c>
      <c r="C676" s="1">
        <v>47</v>
      </c>
      <c r="D676" s="1">
        <v>10</v>
      </c>
      <c r="E676" s="1" t="s">
        <v>111</v>
      </c>
      <c r="F676" s="1" t="s">
        <v>112</v>
      </c>
      <c r="G676" s="1">
        <v>24</v>
      </c>
      <c r="H676" s="1">
        <v>2</v>
      </c>
      <c r="I676" s="1">
        <v>24100000</v>
      </c>
      <c r="J676" s="1">
        <v>800</v>
      </c>
      <c r="K676" s="1">
        <v>0</v>
      </c>
      <c r="L676" s="1">
        <v>13987</v>
      </c>
      <c r="M676" s="1">
        <v>13.527199</v>
      </c>
      <c r="N676" s="1">
        <v>101.60496500000001</v>
      </c>
      <c r="O676" s="1">
        <v>0.25</v>
      </c>
      <c r="P676" s="1">
        <v>0.06</v>
      </c>
      <c r="Q676" s="1">
        <v>0.01</v>
      </c>
      <c r="R676" s="1">
        <v>0.04</v>
      </c>
      <c r="S676" s="1">
        <v>2.34</v>
      </c>
      <c r="T676" s="1">
        <v>8.9600000000000009</v>
      </c>
      <c r="U676" s="1">
        <v>4.8899999999999997</v>
      </c>
      <c r="V676" s="1">
        <v>0</v>
      </c>
      <c r="W676" s="1">
        <v>0</v>
      </c>
      <c r="X676" s="1">
        <v>38190.826442999998</v>
      </c>
      <c r="Y676" s="1">
        <v>73884245.097599998</v>
      </c>
      <c r="Z676" t="str">
        <f>VLOOKUP(G676,'Code Pro'!$A$2:$B$9,2,FALSE)</f>
        <v>จ.ฉะเชิงเทรา</v>
      </c>
      <c r="AA676" s="8">
        <f t="shared" si="91"/>
        <v>18471061.2744</v>
      </c>
      <c r="AB676" s="8">
        <f t="shared" si="92"/>
        <v>4433054.7058560001</v>
      </c>
      <c r="AC676" s="8">
        <f t="shared" si="93"/>
        <v>738842.45097600005</v>
      </c>
      <c r="AD676" s="8">
        <f t="shared" si="94"/>
        <v>2955369.8039040002</v>
      </c>
      <c r="AE676" s="8">
        <f t="shared" si="95"/>
        <v>172889133.52838397</v>
      </c>
      <c r="AF676" s="8">
        <f t="shared" si="96"/>
        <v>662002836.07449603</v>
      </c>
      <c r="AG676" s="8">
        <f t="shared" si="97"/>
        <v>361293958.52726394</v>
      </c>
      <c r="AH676" s="8">
        <f t="shared" si="98"/>
        <v>0</v>
      </c>
      <c r="AI676" s="8">
        <f t="shared" si="99"/>
        <v>0</v>
      </c>
    </row>
    <row r="677" spans="1:35" x14ac:dyDescent="0.55000000000000004">
      <c r="A677" s="1">
        <v>675</v>
      </c>
      <c r="B677" s="1" t="s">
        <v>20</v>
      </c>
      <c r="C677" s="1">
        <v>47</v>
      </c>
      <c r="D677" s="1">
        <v>10</v>
      </c>
      <c r="E677" s="1" t="s">
        <v>111</v>
      </c>
      <c r="F677" s="1" t="s">
        <v>112</v>
      </c>
      <c r="G677" s="1">
        <v>24</v>
      </c>
      <c r="H677" s="1">
        <v>2</v>
      </c>
      <c r="I677" s="1">
        <v>24100000</v>
      </c>
      <c r="J677" s="1">
        <v>801</v>
      </c>
      <c r="K677" s="1">
        <v>0</v>
      </c>
      <c r="L677" s="1">
        <v>13990</v>
      </c>
      <c r="M677" s="1">
        <v>13.527199</v>
      </c>
      <c r="N677" s="1">
        <v>101.85438000000001</v>
      </c>
      <c r="O677" s="1">
        <v>0.01</v>
      </c>
      <c r="P677" s="1">
        <v>0.32</v>
      </c>
      <c r="Q677" s="1">
        <v>0.1</v>
      </c>
      <c r="R677" s="1">
        <v>0.01</v>
      </c>
      <c r="S677" s="1">
        <v>0</v>
      </c>
      <c r="T677" s="1">
        <v>9.67</v>
      </c>
      <c r="U677" s="1">
        <v>20.43</v>
      </c>
      <c r="V677" s="1">
        <v>0.44</v>
      </c>
      <c r="W677" s="1">
        <v>0</v>
      </c>
      <c r="X677" s="1">
        <v>14996.230664999999</v>
      </c>
      <c r="Y677" s="1">
        <v>3903105.2878299998</v>
      </c>
      <c r="Z677" t="str">
        <f>VLOOKUP(G677,'Code Pro'!$A$2:$B$9,2,FALSE)</f>
        <v>จ.ฉะเชิงเทรา</v>
      </c>
      <c r="AA677" s="8">
        <f t="shared" si="91"/>
        <v>39031.052878299997</v>
      </c>
      <c r="AB677" s="8">
        <f t="shared" si="92"/>
        <v>1248993.6921055999</v>
      </c>
      <c r="AC677" s="8">
        <f t="shared" si="93"/>
        <v>390310.52878300002</v>
      </c>
      <c r="AD677" s="8">
        <f t="shared" si="94"/>
        <v>39031.052878299997</v>
      </c>
      <c r="AE677" s="8">
        <f t="shared" si="95"/>
        <v>0</v>
      </c>
      <c r="AF677" s="8">
        <f t="shared" si="96"/>
        <v>37743028.1333161</v>
      </c>
      <c r="AG677" s="8">
        <f t="shared" si="97"/>
        <v>79740441.030366898</v>
      </c>
      <c r="AH677" s="8">
        <f t="shared" si="98"/>
        <v>1717366.3266451999</v>
      </c>
      <c r="AI677" s="8">
        <f t="shared" si="99"/>
        <v>0</v>
      </c>
    </row>
    <row r="678" spans="1:35" x14ac:dyDescent="0.55000000000000004">
      <c r="A678" s="1">
        <v>676</v>
      </c>
      <c r="B678" s="1" t="s">
        <v>20</v>
      </c>
      <c r="C678" s="1">
        <v>47</v>
      </c>
      <c r="D678" s="1">
        <v>10</v>
      </c>
      <c r="E678" s="1" t="s">
        <v>111</v>
      </c>
      <c r="F678" s="1" t="s">
        <v>112</v>
      </c>
      <c r="G678" s="1">
        <v>24</v>
      </c>
      <c r="H678" s="1">
        <v>2</v>
      </c>
      <c r="I678" s="1">
        <v>24100000</v>
      </c>
      <c r="J678" s="1">
        <v>802</v>
      </c>
      <c r="K678" s="1">
        <v>0</v>
      </c>
      <c r="L678" s="1">
        <v>13989</v>
      </c>
      <c r="M678" s="1">
        <v>13.527199</v>
      </c>
      <c r="N678" s="1">
        <v>101.77124000000001</v>
      </c>
      <c r="O678" s="1">
        <v>0</v>
      </c>
      <c r="P678" s="1">
        <v>16.670000000000002</v>
      </c>
      <c r="Q678" s="1">
        <v>0.24</v>
      </c>
      <c r="R678" s="1">
        <v>0</v>
      </c>
      <c r="S678" s="1">
        <v>0.4</v>
      </c>
      <c r="T678" s="1">
        <v>2.94</v>
      </c>
      <c r="U678" s="1">
        <v>57.279998999999997</v>
      </c>
      <c r="V678" s="1">
        <v>0.71</v>
      </c>
      <c r="W678" s="1">
        <v>0</v>
      </c>
      <c r="X678" s="1">
        <v>30159.111070999999</v>
      </c>
      <c r="Y678" s="1">
        <v>50972058.2984</v>
      </c>
      <c r="Z678" t="str">
        <f>VLOOKUP(G678,'Code Pro'!$A$2:$B$9,2,FALSE)</f>
        <v>จ.ฉะเชิงเทรา</v>
      </c>
      <c r="AA678" s="8">
        <f t="shared" si="91"/>
        <v>0</v>
      </c>
      <c r="AB678" s="8">
        <f t="shared" si="92"/>
        <v>849704211.83432806</v>
      </c>
      <c r="AC678" s="8">
        <f t="shared" si="93"/>
        <v>12233293.991615999</v>
      </c>
      <c r="AD678" s="8">
        <f t="shared" si="94"/>
        <v>0</v>
      </c>
      <c r="AE678" s="8">
        <f t="shared" si="95"/>
        <v>20388823.319360003</v>
      </c>
      <c r="AF678" s="8">
        <f t="shared" si="96"/>
        <v>149857851.39729598</v>
      </c>
      <c r="AG678" s="8">
        <f t="shared" si="97"/>
        <v>2919679448.3602934</v>
      </c>
      <c r="AH678" s="8">
        <f t="shared" si="98"/>
        <v>36190161.391863994</v>
      </c>
      <c r="AI678" s="8">
        <f t="shared" si="99"/>
        <v>0</v>
      </c>
    </row>
    <row r="679" spans="1:35" x14ac:dyDescent="0.55000000000000004">
      <c r="A679" s="1">
        <v>677</v>
      </c>
      <c r="B679" s="1" t="s">
        <v>20</v>
      </c>
      <c r="C679" s="1">
        <v>47</v>
      </c>
      <c r="D679" s="1">
        <v>10</v>
      </c>
      <c r="E679" s="1" t="s">
        <v>111</v>
      </c>
      <c r="F679" s="1" t="s">
        <v>112</v>
      </c>
      <c r="G679" s="1">
        <v>24</v>
      </c>
      <c r="H679" s="1">
        <v>2</v>
      </c>
      <c r="I679" s="1">
        <v>24100000</v>
      </c>
      <c r="J679" s="1">
        <v>975</v>
      </c>
      <c r="K679" s="1">
        <v>0</v>
      </c>
      <c r="L679" s="1">
        <v>13511</v>
      </c>
      <c r="M679" s="1">
        <v>13.203666999999999</v>
      </c>
      <c r="N679" s="1">
        <v>101.93751</v>
      </c>
      <c r="O679" s="1">
        <v>53.84</v>
      </c>
      <c r="P679" s="1">
        <v>0.16</v>
      </c>
      <c r="Q679" s="1">
        <v>1.47</v>
      </c>
      <c r="R679" s="1">
        <v>4.0999999999999996</v>
      </c>
      <c r="S679" s="1">
        <v>2.42</v>
      </c>
      <c r="T679" s="1">
        <v>32.599997999999999</v>
      </c>
      <c r="U679" s="1">
        <v>5.51</v>
      </c>
      <c r="V679" s="1">
        <v>0</v>
      </c>
      <c r="W679" s="1">
        <v>0.09</v>
      </c>
      <c r="X679" s="1">
        <v>2898.8211240000001</v>
      </c>
      <c r="Y679" s="1">
        <v>357203.582223</v>
      </c>
      <c r="Z679" t="str">
        <f>VLOOKUP(G679,'Code Pro'!$A$2:$B$9,2,FALSE)</f>
        <v>จ.ฉะเชิงเทรา</v>
      </c>
      <c r="AA679" s="8">
        <f t="shared" si="91"/>
        <v>19231840.866886321</v>
      </c>
      <c r="AB679" s="8">
        <f t="shared" si="92"/>
        <v>57152.573155680002</v>
      </c>
      <c r="AC679" s="8">
        <f t="shared" si="93"/>
        <v>525089.26586781</v>
      </c>
      <c r="AD679" s="8">
        <f t="shared" si="94"/>
        <v>1464534.6871143</v>
      </c>
      <c r="AE679" s="8">
        <f t="shared" si="95"/>
        <v>864432.66897966003</v>
      </c>
      <c r="AF679" s="8">
        <f t="shared" si="96"/>
        <v>11644836.066062635</v>
      </c>
      <c r="AG679" s="8">
        <f t="shared" si="97"/>
        <v>1968191.73804873</v>
      </c>
      <c r="AH679" s="8">
        <f t="shared" si="98"/>
        <v>0</v>
      </c>
      <c r="AI679" s="8">
        <f t="shared" si="99"/>
        <v>32148.322400069999</v>
      </c>
    </row>
    <row r="680" spans="1:35" x14ac:dyDescent="0.55000000000000004">
      <c r="A680" s="1">
        <v>678</v>
      </c>
      <c r="B680" s="1" t="s">
        <v>20</v>
      </c>
      <c r="C680" s="1">
        <v>47</v>
      </c>
      <c r="D680" s="1">
        <v>10</v>
      </c>
      <c r="E680" s="1" t="s">
        <v>111</v>
      </c>
      <c r="F680" s="1" t="s">
        <v>112</v>
      </c>
      <c r="G680" s="1">
        <v>24</v>
      </c>
      <c r="H680" s="1">
        <v>2</v>
      </c>
      <c r="I680" s="1">
        <v>24100000</v>
      </c>
      <c r="J680" s="1">
        <v>982</v>
      </c>
      <c r="K680" s="1">
        <v>0</v>
      </c>
      <c r="L680" s="1">
        <v>13752</v>
      </c>
      <c r="M680" s="1">
        <v>13.365479000000001</v>
      </c>
      <c r="N680" s="1">
        <v>102.020645</v>
      </c>
      <c r="O680" s="1">
        <v>1.91</v>
      </c>
      <c r="P680" s="1">
        <v>0.43</v>
      </c>
      <c r="Q680" s="1">
        <v>10.199999999999999</v>
      </c>
      <c r="R680" s="1">
        <v>1.77</v>
      </c>
      <c r="S680" s="1">
        <v>3.01</v>
      </c>
      <c r="T680" s="1">
        <v>8.15</v>
      </c>
      <c r="U680" s="1">
        <v>66.080001999999993</v>
      </c>
      <c r="V680" s="1">
        <v>0.05</v>
      </c>
      <c r="W680" s="1">
        <v>0.1</v>
      </c>
      <c r="X680" s="1">
        <v>13670.547629000001</v>
      </c>
      <c r="Y680" s="1">
        <v>3582185.6680999999</v>
      </c>
      <c r="Z680" t="str">
        <f>VLOOKUP(G680,'Code Pro'!$A$2:$B$9,2,FALSE)</f>
        <v>จ.ฉะเชิงเทรา</v>
      </c>
      <c r="AA680" s="8">
        <f t="shared" si="91"/>
        <v>6841974.6260709995</v>
      </c>
      <c r="AB680" s="8">
        <f t="shared" si="92"/>
        <v>1540339.8372829999</v>
      </c>
      <c r="AC680" s="8">
        <f t="shared" si="93"/>
        <v>36538293.814619996</v>
      </c>
      <c r="AD680" s="8">
        <f t="shared" si="94"/>
        <v>6340468.6325369999</v>
      </c>
      <c r="AE680" s="8">
        <f t="shared" si="95"/>
        <v>10782378.860980999</v>
      </c>
      <c r="AF680" s="8">
        <f t="shared" si="96"/>
        <v>29194813.195015002</v>
      </c>
      <c r="AG680" s="8">
        <f t="shared" si="97"/>
        <v>236710836.11241931</v>
      </c>
      <c r="AH680" s="8">
        <f t="shared" si="98"/>
        <v>179109.28340499999</v>
      </c>
      <c r="AI680" s="8">
        <f t="shared" si="99"/>
        <v>358218.56680999999</v>
      </c>
    </row>
    <row r="681" spans="1:35" x14ac:dyDescent="0.55000000000000004">
      <c r="A681" s="1">
        <v>679</v>
      </c>
      <c r="B681" s="1" t="s">
        <v>20</v>
      </c>
      <c r="C681" s="1">
        <v>47</v>
      </c>
      <c r="D681" s="1">
        <v>10</v>
      </c>
      <c r="E681" s="1" t="s">
        <v>111</v>
      </c>
      <c r="F681" s="1" t="s">
        <v>112</v>
      </c>
      <c r="G681" s="1">
        <v>24</v>
      </c>
      <c r="H681" s="1">
        <v>2</v>
      </c>
      <c r="I681" s="1">
        <v>24100000</v>
      </c>
      <c r="J681" s="1">
        <v>983</v>
      </c>
      <c r="K681" s="1">
        <v>0</v>
      </c>
      <c r="L681" s="1">
        <v>13751</v>
      </c>
      <c r="M681" s="1">
        <v>13.365479000000001</v>
      </c>
      <c r="N681" s="1">
        <v>101.93751</v>
      </c>
      <c r="O681" s="1">
        <v>0.75</v>
      </c>
      <c r="P681" s="1">
        <v>0.48</v>
      </c>
      <c r="Q681" s="1">
        <v>0.08</v>
      </c>
      <c r="R681" s="1">
        <v>0.51</v>
      </c>
      <c r="S681" s="1">
        <v>2.91</v>
      </c>
      <c r="T681" s="1">
        <v>5.45</v>
      </c>
      <c r="U681" s="1">
        <v>37.07</v>
      </c>
      <c r="V681" s="1">
        <v>2.42</v>
      </c>
      <c r="W681" s="1">
        <v>0</v>
      </c>
      <c r="X681" s="1">
        <v>35856.368437999998</v>
      </c>
      <c r="Y681" s="1">
        <v>79555717.361399993</v>
      </c>
      <c r="Z681" t="str">
        <f>VLOOKUP(G681,'Code Pro'!$A$2:$B$9,2,FALSE)</f>
        <v>จ.ฉะเชิงเทรา</v>
      </c>
      <c r="AA681" s="8">
        <f t="shared" si="91"/>
        <v>59666788.021049991</v>
      </c>
      <c r="AB681" s="8">
        <f t="shared" si="92"/>
        <v>38186744.333471999</v>
      </c>
      <c r="AC681" s="8">
        <f t="shared" si="93"/>
        <v>6364457.3889119998</v>
      </c>
      <c r="AD681" s="8">
        <f t="shared" si="94"/>
        <v>40573415.854313999</v>
      </c>
      <c r="AE681" s="8">
        <f t="shared" si="95"/>
        <v>231507137.52167398</v>
      </c>
      <c r="AF681" s="8">
        <f t="shared" si="96"/>
        <v>433578659.61962998</v>
      </c>
      <c r="AG681" s="8">
        <f t="shared" si="97"/>
        <v>2949130442.5870976</v>
      </c>
      <c r="AH681" s="8">
        <f t="shared" si="98"/>
        <v>192524836.01458797</v>
      </c>
      <c r="AI681" s="8">
        <f t="shared" si="99"/>
        <v>0</v>
      </c>
    </row>
    <row r="682" spans="1:35" x14ac:dyDescent="0.55000000000000004">
      <c r="A682" s="1">
        <v>680</v>
      </c>
      <c r="B682" s="1" t="s">
        <v>20</v>
      </c>
      <c r="C682" s="1">
        <v>47</v>
      </c>
      <c r="D682" s="1">
        <v>10</v>
      </c>
      <c r="E682" s="1" t="s">
        <v>111</v>
      </c>
      <c r="F682" s="1" t="s">
        <v>112</v>
      </c>
      <c r="G682" s="1">
        <v>24</v>
      </c>
      <c r="H682" s="1">
        <v>2</v>
      </c>
      <c r="I682" s="1">
        <v>24100000</v>
      </c>
      <c r="J682" s="1">
        <v>985</v>
      </c>
      <c r="K682" s="1">
        <v>0</v>
      </c>
      <c r="L682" s="1">
        <v>13871</v>
      </c>
      <c r="M682" s="1">
        <v>13.446358</v>
      </c>
      <c r="N682" s="1">
        <v>101.93751</v>
      </c>
      <c r="O682" s="1">
        <v>1.22</v>
      </c>
      <c r="P682" s="1">
        <v>0.04</v>
      </c>
      <c r="Q682" s="1">
        <v>0.22</v>
      </c>
      <c r="R682" s="1">
        <v>0.02</v>
      </c>
      <c r="S682" s="1">
        <v>0.19</v>
      </c>
      <c r="T682" s="1">
        <v>8.06</v>
      </c>
      <c r="U682" s="1">
        <v>31.709999</v>
      </c>
      <c r="V682" s="1">
        <v>0</v>
      </c>
      <c r="W682" s="1">
        <v>0</v>
      </c>
      <c r="X682" s="1">
        <v>31395.882598</v>
      </c>
      <c r="Y682" s="1">
        <v>43994020.922399998</v>
      </c>
      <c r="Z682" t="str">
        <f>VLOOKUP(G682,'Code Pro'!$A$2:$B$9,2,FALSE)</f>
        <v>จ.ฉะเชิงเทรา</v>
      </c>
      <c r="AA682" s="8">
        <f t="shared" si="91"/>
        <v>53672705.525327995</v>
      </c>
      <c r="AB682" s="8">
        <f t="shared" si="92"/>
        <v>1759760.836896</v>
      </c>
      <c r="AC682" s="8">
        <f t="shared" si="93"/>
        <v>9678684.6029279996</v>
      </c>
      <c r="AD682" s="8">
        <f t="shared" si="94"/>
        <v>879880.41844799998</v>
      </c>
      <c r="AE682" s="8">
        <f t="shared" si="95"/>
        <v>8358863.9752559997</v>
      </c>
      <c r="AF682" s="8">
        <f t="shared" si="96"/>
        <v>354591808.63454401</v>
      </c>
      <c r="AG682" s="8">
        <f t="shared" si="97"/>
        <v>1395050359.4552829</v>
      </c>
      <c r="AH682" s="8">
        <f t="shared" si="98"/>
        <v>0</v>
      </c>
      <c r="AI682" s="8">
        <f t="shared" si="99"/>
        <v>0</v>
      </c>
    </row>
    <row r="683" spans="1:35" x14ac:dyDescent="0.55000000000000004">
      <c r="A683" s="1">
        <v>681</v>
      </c>
      <c r="B683" s="1" t="s">
        <v>20</v>
      </c>
      <c r="C683" s="1">
        <v>47</v>
      </c>
      <c r="D683" s="1">
        <v>10</v>
      </c>
      <c r="E683" s="1" t="s">
        <v>111</v>
      </c>
      <c r="F683" s="1" t="s">
        <v>112</v>
      </c>
      <c r="G683" s="1">
        <v>24</v>
      </c>
      <c r="H683" s="1">
        <v>2</v>
      </c>
      <c r="I683" s="1">
        <v>24100000</v>
      </c>
      <c r="J683" s="1">
        <v>987</v>
      </c>
      <c r="K683" s="1">
        <v>0</v>
      </c>
      <c r="L683" s="1">
        <v>13631</v>
      </c>
      <c r="M683" s="1">
        <v>13.284592</v>
      </c>
      <c r="N683" s="1">
        <v>101.93751</v>
      </c>
      <c r="O683" s="1">
        <v>10.11</v>
      </c>
      <c r="P683" s="1">
        <v>0.08</v>
      </c>
      <c r="Q683" s="1">
        <v>0.11</v>
      </c>
      <c r="R683" s="1">
        <v>10.49</v>
      </c>
      <c r="S683" s="1">
        <v>0.94</v>
      </c>
      <c r="T683" s="1">
        <v>8.0500000000000007</v>
      </c>
      <c r="U683" s="1">
        <v>17.239999999999998</v>
      </c>
      <c r="V683" s="1">
        <v>0.01</v>
      </c>
      <c r="W683" s="1">
        <v>0.04</v>
      </c>
      <c r="X683" s="1">
        <v>31695.130495000001</v>
      </c>
      <c r="Y683" s="1">
        <v>28197464.420299999</v>
      </c>
      <c r="Z683" t="str">
        <f>VLOOKUP(G683,'Code Pro'!$A$2:$B$9,2,FALSE)</f>
        <v>จ.ฉะเชิงเทรา</v>
      </c>
      <c r="AA683" s="8">
        <f t="shared" si="91"/>
        <v>285076365.28923297</v>
      </c>
      <c r="AB683" s="8">
        <f t="shared" si="92"/>
        <v>2255797.153624</v>
      </c>
      <c r="AC683" s="8">
        <f t="shared" si="93"/>
        <v>3101721.0862329998</v>
      </c>
      <c r="AD683" s="8">
        <f t="shared" si="94"/>
        <v>295791401.76894701</v>
      </c>
      <c r="AE683" s="8">
        <f t="shared" si="95"/>
        <v>26505616.555081997</v>
      </c>
      <c r="AF683" s="8">
        <f t="shared" si="96"/>
        <v>226989588.583415</v>
      </c>
      <c r="AG683" s="8">
        <f t="shared" si="97"/>
        <v>486124286.60597193</v>
      </c>
      <c r="AH683" s="8">
        <f t="shared" si="98"/>
        <v>281974.644203</v>
      </c>
      <c r="AI683" s="8">
        <f t="shared" si="99"/>
        <v>1127898.576812</v>
      </c>
    </row>
    <row r="684" spans="1:35" x14ac:dyDescent="0.55000000000000004">
      <c r="A684" s="1">
        <v>682</v>
      </c>
      <c r="B684" s="1" t="s">
        <v>20</v>
      </c>
      <c r="C684" s="1">
        <v>48</v>
      </c>
      <c r="D684" s="1">
        <v>11</v>
      </c>
      <c r="E684" s="1" t="s">
        <v>113</v>
      </c>
      <c r="F684" s="1" t="s">
        <v>114</v>
      </c>
      <c r="G684" s="1">
        <v>24</v>
      </c>
      <c r="H684" s="1">
        <v>2</v>
      </c>
      <c r="I684" s="1">
        <v>24110000</v>
      </c>
      <c r="J684" s="1">
        <v>729</v>
      </c>
      <c r="K684" s="1">
        <v>0</v>
      </c>
      <c r="L684" s="1">
        <v>14341</v>
      </c>
      <c r="M684" s="1">
        <v>13.769569000000001</v>
      </c>
      <c r="N684" s="1">
        <v>101.10615</v>
      </c>
      <c r="O684" s="1">
        <v>63.450001</v>
      </c>
      <c r="P684" s="1">
        <v>0.01</v>
      </c>
      <c r="Q684" s="1">
        <v>9.68</v>
      </c>
      <c r="R684" s="1">
        <v>0.17</v>
      </c>
      <c r="S684" s="1">
        <v>0.84</v>
      </c>
      <c r="T684" s="1">
        <v>8.25</v>
      </c>
      <c r="U684" s="1">
        <v>34.369999</v>
      </c>
      <c r="V684" s="1">
        <v>0</v>
      </c>
      <c r="W684" s="1">
        <v>0</v>
      </c>
      <c r="X684" s="1">
        <v>24588.615140999998</v>
      </c>
      <c r="Y684" s="1">
        <v>27339317.470400002</v>
      </c>
      <c r="Z684" t="str">
        <f>VLOOKUP(G684,'Code Pro'!$A$2:$B$9,2,FALSE)</f>
        <v>จ.ฉะเชิงเทรา</v>
      </c>
      <c r="AA684" s="8">
        <f t="shared" si="91"/>
        <v>1734679720.8361976</v>
      </c>
      <c r="AB684" s="8">
        <f t="shared" si="92"/>
        <v>273393.174704</v>
      </c>
      <c r="AC684" s="8">
        <f t="shared" si="93"/>
        <v>264644593.11347201</v>
      </c>
      <c r="AD684" s="8">
        <f t="shared" si="94"/>
        <v>4647683.9699680004</v>
      </c>
      <c r="AE684" s="8">
        <f t="shared" si="95"/>
        <v>22965026.675136</v>
      </c>
      <c r="AF684" s="8">
        <f t="shared" si="96"/>
        <v>225549369.13080001</v>
      </c>
      <c r="AG684" s="8">
        <f t="shared" si="97"/>
        <v>939652314.1183306</v>
      </c>
      <c r="AH684" s="8">
        <f t="shared" si="98"/>
        <v>0</v>
      </c>
      <c r="AI684" s="8">
        <f t="shared" si="99"/>
        <v>0</v>
      </c>
    </row>
    <row r="685" spans="1:35" x14ac:dyDescent="0.55000000000000004">
      <c r="A685" s="1">
        <v>683</v>
      </c>
      <c r="B685" s="1" t="s">
        <v>20</v>
      </c>
      <c r="C685" s="1">
        <v>48</v>
      </c>
      <c r="D685" s="1">
        <v>11</v>
      </c>
      <c r="E685" s="1" t="s">
        <v>113</v>
      </c>
      <c r="F685" s="1" t="s">
        <v>114</v>
      </c>
      <c r="G685" s="1">
        <v>24</v>
      </c>
      <c r="H685" s="1">
        <v>2</v>
      </c>
      <c r="I685" s="1">
        <v>24110000</v>
      </c>
      <c r="J685" s="1">
        <v>731</v>
      </c>
      <c r="K685" s="1">
        <v>0</v>
      </c>
      <c r="L685" s="1">
        <v>14221</v>
      </c>
      <c r="M685" s="1">
        <v>13.688805</v>
      </c>
      <c r="N685" s="1">
        <v>101.10615</v>
      </c>
      <c r="O685" s="1">
        <v>18.200001</v>
      </c>
      <c r="P685" s="1">
        <v>0</v>
      </c>
      <c r="Q685" s="1">
        <v>3.39</v>
      </c>
      <c r="R685" s="1">
        <v>0.27</v>
      </c>
      <c r="S685" s="1">
        <v>0.08</v>
      </c>
      <c r="T685" s="1">
        <v>8.5500000000000007</v>
      </c>
      <c r="U685" s="1">
        <v>31.200001</v>
      </c>
      <c r="V685" s="1">
        <v>0</v>
      </c>
      <c r="W685" s="1">
        <v>0</v>
      </c>
      <c r="X685" s="1">
        <v>6295.7373870000001</v>
      </c>
      <c r="Y685" s="1">
        <v>2031604.93502</v>
      </c>
      <c r="Z685" t="str">
        <f>VLOOKUP(G685,'Code Pro'!$A$2:$B$9,2,FALSE)</f>
        <v>จ.ฉะเชิงเทรา</v>
      </c>
      <c r="AA685" s="8">
        <f t="shared" si="91"/>
        <v>36975211.848968938</v>
      </c>
      <c r="AB685" s="8">
        <f t="shared" si="92"/>
        <v>0</v>
      </c>
      <c r="AC685" s="8">
        <f t="shared" si="93"/>
        <v>6887140.7297178004</v>
      </c>
      <c r="AD685" s="8">
        <f t="shared" si="94"/>
        <v>548533.33245540003</v>
      </c>
      <c r="AE685" s="8">
        <f t="shared" si="95"/>
        <v>162528.39480159999</v>
      </c>
      <c r="AF685" s="8">
        <f t="shared" si="96"/>
        <v>17370222.194421001</v>
      </c>
      <c r="AG685" s="8">
        <f t="shared" si="97"/>
        <v>63386076.004228935</v>
      </c>
      <c r="AH685" s="8">
        <f t="shared" si="98"/>
        <v>0</v>
      </c>
      <c r="AI685" s="8">
        <f t="shared" si="99"/>
        <v>0</v>
      </c>
    </row>
    <row r="686" spans="1:35" x14ac:dyDescent="0.55000000000000004">
      <c r="A686" s="1">
        <v>684</v>
      </c>
      <c r="B686" s="1" t="s">
        <v>20</v>
      </c>
      <c r="C686" s="1">
        <v>48</v>
      </c>
      <c r="D686" s="1">
        <v>11</v>
      </c>
      <c r="E686" s="1" t="s">
        <v>113</v>
      </c>
      <c r="F686" s="1" t="s">
        <v>114</v>
      </c>
      <c r="G686" s="1">
        <v>24</v>
      </c>
      <c r="H686" s="1">
        <v>2</v>
      </c>
      <c r="I686" s="1">
        <v>24110000</v>
      </c>
      <c r="J686" s="1">
        <v>732</v>
      </c>
      <c r="K686" s="1">
        <v>0</v>
      </c>
      <c r="L686" s="1">
        <v>14461</v>
      </c>
      <c r="M686" s="1">
        <v>13.850304</v>
      </c>
      <c r="N686" s="1">
        <v>101.10615</v>
      </c>
      <c r="O686" s="1">
        <v>39.360000999999997</v>
      </c>
      <c r="P686" s="1">
        <v>0.01</v>
      </c>
      <c r="Q686" s="1">
        <v>9.23</v>
      </c>
      <c r="R686" s="1">
        <v>0.04</v>
      </c>
      <c r="S686" s="1">
        <v>0</v>
      </c>
      <c r="T686" s="1">
        <v>11.64</v>
      </c>
      <c r="U686" s="1">
        <v>7.03</v>
      </c>
      <c r="V686" s="1">
        <v>0</v>
      </c>
      <c r="W686" s="1">
        <v>0</v>
      </c>
      <c r="X686" s="1">
        <v>16643.183587</v>
      </c>
      <c r="Y686" s="1">
        <v>15571763.3796</v>
      </c>
      <c r="Z686" t="str">
        <f>VLOOKUP(G686,'Code Pro'!$A$2:$B$9,2,FALSE)</f>
        <v>จ.ฉะเชิงเทรา</v>
      </c>
      <c r="AA686" s="8">
        <f t="shared" si="91"/>
        <v>612904622.19281936</v>
      </c>
      <c r="AB686" s="8">
        <f t="shared" si="92"/>
        <v>155717.63379600001</v>
      </c>
      <c r="AC686" s="8">
        <f t="shared" si="93"/>
        <v>143727375.99370801</v>
      </c>
      <c r="AD686" s="8">
        <f t="shared" si="94"/>
        <v>622870.53518400004</v>
      </c>
      <c r="AE686" s="8">
        <f t="shared" si="95"/>
        <v>0</v>
      </c>
      <c r="AF686" s="8">
        <f t="shared" si="96"/>
        <v>181255325.73854402</v>
      </c>
      <c r="AG686" s="8">
        <f t="shared" si="97"/>
        <v>109469496.558588</v>
      </c>
      <c r="AH686" s="8">
        <f t="shared" si="98"/>
        <v>0</v>
      </c>
      <c r="AI686" s="8">
        <f t="shared" si="99"/>
        <v>0</v>
      </c>
    </row>
    <row r="687" spans="1:35" x14ac:dyDescent="0.55000000000000004">
      <c r="A687" s="1">
        <v>685</v>
      </c>
      <c r="B687" s="1" t="s">
        <v>20</v>
      </c>
      <c r="C687" s="1">
        <v>48</v>
      </c>
      <c r="D687" s="1">
        <v>11</v>
      </c>
      <c r="E687" s="1" t="s">
        <v>113</v>
      </c>
      <c r="F687" s="1" t="s">
        <v>114</v>
      </c>
      <c r="G687" s="1">
        <v>24</v>
      </c>
      <c r="H687" s="1">
        <v>2</v>
      </c>
      <c r="I687" s="1">
        <v>24110000</v>
      </c>
      <c r="J687" s="1">
        <v>778</v>
      </c>
      <c r="K687" s="1">
        <v>0</v>
      </c>
      <c r="L687" s="1">
        <v>14222</v>
      </c>
      <c r="M687" s="1">
        <v>13.688805</v>
      </c>
      <c r="N687" s="1">
        <v>101.189285</v>
      </c>
      <c r="O687" s="1">
        <v>53.779998999999997</v>
      </c>
      <c r="P687" s="1">
        <v>0</v>
      </c>
      <c r="Q687" s="1">
        <v>12.64</v>
      </c>
      <c r="R687" s="1">
        <v>0.01</v>
      </c>
      <c r="S687" s="1">
        <v>2.96</v>
      </c>
      <c r="T687" s="1">
        <v>13.06</v>
      </c>
      <c r="U687" s="1">
        <v>16.760000000000002</v>
      </c>
      <c r="V687" s="1">
        <v>0.04</v>
      </c>
      <c r="W687" s="1">
        <v>0</v>
      </c>
      <c r="X687" s="1">
        <v>18961.764825999999</v>
      </c>
      <c r="Y687" s="1">
        <v>11086715.5208</v>
      </c>
      <c r="Z687" t="str">
        <f>VLOOKUP(G687,'Code Pro'!$A$2:$B$9,2,FALSE)</f>
        <v>จ.ฉะเชิงเทรา</v>
      </c>
      <c r="AA687" s="8">
        <f t="shared" si="91"/>
        <v>596243549.62190843</v>
      </c>
      <c r="AB687" s="8">
        <f t="shared" si="92"/>
        <v>0</v>
      </c>
      <c r="AC687" s="8">
        <f t="shared" si="93"/>
        <v>140136084.18291202</v>
      </c>
      <c r="AD687" s="8">
        <f t="shared" si="94"/>
        <v>110867.155208</v>
      </c>
      <c r="AE687" s="8">
        <f t="shared" si="95"/>
        <v>32816677.941567998</v>
      </c>
      <c r="AF687" s="8">
        <f t="shared" si="96"/>
        <v>144792504.701648</v>
      </c>
      <c r="AG687" s="8">
        <f t="shared" si="97"/>
        <v>185813352.12860802</v>
      </c>
      <c r="AH687" s="8">
        <f t="shared" si="98"/>
        <v>443468.62083199999</v>
      </c>
      <c r="AI687" s="8">
        <f t="shared" si="99"/>
        <v>0</v>
      </c>
    </row>
    <row r="688" spans="1:35" x14ac:dyDescent="0.55000000000000004">
      <c r="A688" s="1">
        <v>686</v>
      </c>
      <c r="B688" s="1" t="s">
        <v>20</v>
      </c>
      <c r="C688" s="1">
        <v>48</v>
      </c>
      <c r="D688" s="1">
        <v>11</v>
      </c>
      <c r="E688" s="1" t="s">
        <v>113</v>
      </c>
      <c r="F688" s="1" t="s">
        <v>114</v>
      </c>
      <c r="G688" s="1">
        <v>24</v>
      </c>
      <c r="H688" s="1">
        <v>2</v>
      </c>
      <c r="I688" s="1">
        <v>24110000</v>
      </c>
      <c r="J688" s="1">
        <v>781</v>
      </c>
      <c r="K688" s="1">
        <v>0</v>
      </c>
      <c r="L688" s="1">
        <v>14342</v>
      </c>
      <c r="M688" s="1">
        <v>13.769569000000001</v>
      </c>
      <c r="N688" s="1">
        <v>101.189285</v>
      </c>
      <c r="O688" s="1">
        <v>76.089995999999999</v>
      </c>
      <c r="P688" s="1">
        <v>5.27</v>
      </c>
      <c r="Q688" s="1">
        <v>5.12</v>
      </c>
      <c r="R688" s="1">
        <v>0.22</v>
      </c>
      <c r="S688" s="1">
        <v>1.91</v>
      </c>
      <c r="T688" s="1">
        <v>10.66</v>
      </c>
      <c r="U688" s="1">
        <v>41.119999</v>
      </c>
      <c r="V688" s="1">
        <v>0</v>
      </c>
      <c r="W688" s="1">
        <v>0</v>
      </c>
      <c r="X688" s="1">
        <v>41726.887160999999</v>
      </c>
      <c r="Y688" s="1">
        <v>41639886.807700001</v>
      </c>
      <c r="Z688" t="str">
        <f>VLOOKUP(G688,'Code Pro'!$A$2:$B$9,2,FALSE)</f>
        <v>จ.ฉะเชิงเทรา</v>
      </c>
      <c r="AA688" s="8">
        <f t="shared" si="91"/>
        <v>3168378820.6383457</v>
      </c>
      <c r="AB688" s="8">
        <f t="shared" si="92"/>
        <v>219442203.47657898</v>
      </c>
      <c r="AC688" s="8">
        <f t="shared" si="93"/>
        <v>213196220.45542401</v>
      </c>
      <c r="AD688" s="8">
        <f t="shared" si="94"/>
        <v>9160775.0976940002</v>
      </c>
      <c r="AE688" s="8">
        <f t="shared" si="95"/>
        <v>79532183.802707002</v>
      </c>
      <c r="AF688" s="8">
        <f t="shared" si="96"/>
        <v>443881193.37008202</v>
      </c>
      <c r="AG688" s="8">
        <f t="shared" si="97"/>
        <v>1712232103.8927372</v>
      </c>
      <c r="AH688" s="8">
        <f t="shared" si="98"/>
        <v>0</v>
      </c>
      <c r="AI688" s="8">
        <f t="shared" si="99"/>
        <v>0</v>
      </c>
    </row>
    <row r="689" spans="1:35" x14ac:dyDescent="0.55000000000000004">
      <c r="A689" s="1">
        <v>687</v>
      </c>
      <c r="B689" s="1" t="s">
        <v>20</v>
      </c>
      <c r="C689" s="1">
        <v>48</v>
      </c>
      <c r="D689" s="1">
        <v>11</v>
      </c>
      <c r="E689" s="1" t="s">
        <v>113</v>
      </c>
      <c r="F689" s="1" t="s">
        <v>114</v>
      </c>
      <c r="G689" s="1">
        <v>24</v>
      </c>
      <c r="H689" s="1">
        <v>2</v>
      </c>
      <c r="I689" s="1">
        <v>24110000</v>
      </c>
      <c r="J689" s="1">
        <v>783</v>
      </c>
      <c r="K689" s="1">
        <v>0</v>
      </c>
      <c r="L689" s="1">
        <v>14462</v>
      </c>
      <c r="M689" s="1">
        <v>13.850304</v>
      </c>
      <c r="N689" s="1">
        <v>101.189285</v>
      </c>
      <c r="O689" s="1">
        <v>26.26</v>
      </c>
      <c r="P689" s="1">
        <v>0.56999999999999995</v>
      </c>
      <c r="Q689" s="1">
        <v>8.17</v>
      </c>
      <c r="R689" s="1">
        <v>0.02</v>
      </c>
      <c r="S689" s="1">
        <v>0.4</v>
      </c>
      <c r="T689" s="1">
        <v>30.01</v>
      </c>
      <c r="U689" s="1">
        <v>27.219999000000001</v>
      </c>
      <c r="V689" s="1">
        <v>0</v>
      </c>
      <c r="W689" s="1">
        <v>0</v>
      </c>
      <c r="X689" s="1">
        <v>17739.169852999999</v>
      </c>
      <c r="Y689" s="1">
        <v>9499325.22645</v>
      </c>
      <c r="Z689" t="str">
        <f>VLOOKUP(G689,'Code Pro'!$A$2:$B$9,2,FALSE)</f>
        <v>จ.ฉะเชิงเทรา</v>
      </c>
      <c r="AA689" s="8">
        <f t="shared" si="91"/>
        <v>249452280.44657701</v>
      </c>
      <c r="AB689" s="8">
        <f t="shared" si="92"/>
        <v>5414615.3790764995</v>
      </c>
      <c r="AC689" s="8">
        <f t="shared" si="93"/>
        <v>77609487.100096494</v>
      </c>
      <c r="AD689" s="8">
        <f t="shared" si="94"/>
        <v>189986.504529</v>
      </c>
      <c r="AE689" s="8">
        <f t="shared" si="95"/>
        <v>3799730.0905800001</v>
      </c>
      <c r="AF689" s="8">
        <f t="shared" si="96"/>
        <v>285074750.04576451</v>
      </c>
      <c r="AG689" s="8">
        <f t="shared" si="97"/>
        <v>258571623.16464379</v>
      </c>
      <c r="AH689" s="8">
        <f t="shared" si="98"/>
        <v>0</v>
      </c>
      <c r="AI689" s="8">
        <f t="shared" si="99"/>
        <v>0</v>
      </c>
    </row>
    <row r="690" spans="1:35" x14ac:dyDescent="0.55000000000000004">
      <c r="A690" s="1">
        <v>688</v>
      </c>
      <c r="B690" s="1" t="s">
        <v>20</v>
      </c>
      <c r="C690" s="1">
        <v>49</v>
      </c>
      <c r="D690" s="1">
        <v>1</v>
      </c>
      <c r="E690" s="1" t="s">
        <v>115</v>
      </c>
      <c r="F690" s="1" t="s">
        <v>116</v>
      </c>
      <c r="G690" s="1">
        <v>25</v>
      </c>
      <c r="H690" s="1">
        <v>2</v>
      </c>
      <c r="I690" s="1">
        <v>25010000</v>
      </c>
      <c r="J690" s="1">
        <v>890</v>
      </c>
      <c r="K690" s="1">
        <v>0</v>
      </c>
      <c r="L690" s="1">
        <v>14823</v>
      </c>
      <c r="M690" s="1">
        <v>14.092331</v>
      </c>
      <c r="N690" s="1">
        <v>101.27242</v>
      </c>
      <c r="O690" s="1">
        <v>0.15</v>
      </c>
      <c r="P690" s="1">
        <v>0.09</v>
      </c>
      <c r="Q690" s="1">
        <v>2.81</v>
      </c>
      <c r="R690" s="1">
        <v>0.82</v>
      </c>
      <c r="S690" s="1">
        <v>3.92</v>
      </c>
      <c r="T690" s="1">
        <v>3.65</v>
      </c>
      <c r="U690" s="1">
        <v>62.110000999999997</v>
      </c>
      <c r="V690" s="1">
        <v>0</v>
      </c>
      <c r="W690" s="1">
        <v>0</v>
      </c>
      <c r="X690" s="1">
        <v>24977.416463000001</v>
      </c>
      <c r="Y690" s="1">
        <v>10609278.2338</v>
      </c>
      <c r="Z690" t="str">
        <f>VLOOKUP(G690,'Code Pro'!$A$2:$B$9,2,FALSE)</f>
        <v>จ.ปราจีนบุรี</v>
      </c>
      <c r="AA690" s="8">
        <f t="shared" si="91"/>
        <v>1591391.7350699999</v>
      </c>
      <c r="AB690" s="8">
        <f t="shared" si="92"/>
        <v>954835.04104199994</v>
      </c>
      <c r="AC690" s="8">
        <f t="shared" si="93"/>
        <v>29812071.836978</v>
      </c>
      <c r="AD690" s="8">
        <f t="shared" si="94"/>
        <v>8699608.1517159995</v>
      </c>
      <c r="AE690" s="8">
        <f t="shared" si="95"/>
        <v>41588370.676495999</v>
      </c>
      <c r="AF690" s="8">
        <f t="shared" si="96"/>
        <v>38723865.553369999</v>
      </c>
      <c r="AG690" s="8">
        <f t="shared" si="97"/>
        <v>658942281.7105962</v>
      </c>
      <c r="AH690" s="8">
        <f t="shared" si="98"/>
        <v>0</v>
      </c>
      <c r="AI690" s="8">
        <f t="shared" si="99"/>
        <v>0</v>
      </c>
    </row>
    <row r="691" spans="1:35" x14ac:dyDescent="0.55000000000000004">
      <c r="A691" s="1">
        <v>689</v>
      </c>
      <c r="B691" s="1" t="s">
        <v>20</v>
      </c>
      <c r="C691" s="1">
        <v>49</v>
      </c>
      <c r="D691" s="1">
        <v>1</v>
      </c>
      <c r="E691" s="1" t="s">
        <v>115</v>
      </c>
      <c r="F691" s="1" t="s">
        <v>116</v>
      </c>
      <c r="G691" s="1">
        <v>25</v>
      </c>
      <c r="H691" s="1">
        <v>2</v>
      </c>
      <c r="I691" s="1">
        <v>25010000</v>
      </c>
      <c r="J691" s="1">
        <v>892</v>
      </c>
      <c r="K691" s="1">
        <v>0</v>
      </c>
      <c r="L691" s="1">
        <v>14703</v>
      </c>
      <c r="M691" s="1">
        <v>14.011680999999999</v>
      </c>
      <c r="N691" s="1">
        <v>101.27242</v>
      </c>
      <c r="O691" s="1">
        <v>0.03</v>
      </c>
      <c r="P691" s="1">
        <v>0.61</v>
      </c>
      <c r="Q691" s="1">
        <v>20.09</v>
      </c>
      <c r="R691" s="1">
        <v>0.46</v>
      </c>
      <c r="S691" s="1">
        <v>0.56000000000000005</v>
      </c>
      <c r="T691" s="1">
        <v>7.34</v>
      </c>
      <c r="U691" s="1">
        <v>7.2</v>
      </c>
      <c r="V691" s="1">
        <v>0</v>
      </c>
      <c r="W691" s="1">
        <v>0</v>
      </c>
      <c r="X691" s="1">
        <v>23051.672384000001</v>
      </c>
      <c r="Y691" s="1">
        <v>16042715.210999999</v>
      </c>
      <c r="Z691" t="str">
        <f>VLOOKUP(G691,'Code Pro'!$A$2:$B$9,2,FALSE)</f>
        <v>จ.ปราจีนบุรี</v>
      </c>
      <c r="AA691" s="8">
        <f t="shared" si="91"/>
        <v>481281.45632999996</v>
      </c>
      <c r="AB691" s="8">
        <f t="shared" si="92"/>
        <v>9786056.2787100002</v>
      </c>
      <c r="AC691" s="8">
        <f t="shared" si="93"/>
        <v>322298148.58898997</v>
      </c>
      <c r="AD691" s="8">
        <f t="shared" si="94"/>
        <v>7379648.99706</v>
      </c>
      <c r="AE691" s="8">
        <f t="shared" si="95"/>
        <v>8983920.5181600004</v>
      </c>
      <c r="AF691" s="8">
        <f t="shared" si="96"/>
        <v>117753529.64873999</v>
      </c>
      <c r="AG691" s="8">
        <f t="shared" si="97"/>
        <v>115507549.5192</v>
      </c>
      <c r="AH691" s="8">
        <f t="shared" si="98"/>
        <v>0</v>
      </c>
      <c r="AI691" s="8">
        <f t="shared" si="99"/>
        <v>0</v>
      </c>
    </row>
    <row r="692" spans="1:35" x14ac:dyDescent="0.55000000000000004">
      <c r="A692" s="1">
        <v>690</v>
      </c>
      <c r="B692" s="1" t="s">
        <v>20</v>
      </c>
      <c r="C692" s="1">
        <v>49</v>
      </c>
      <c r="D692" s="1">
        <v>1</v>
      </c>
      <c r="E692" s="1" t="s">
        <v>115</v>
      </c>
      <c r="F692" s="1" t="s">
        <v>116</v>
      </c>
      <c r="G692" s="1">
        <v>25</v>
      </c>
      <c r="H692" s="1">
        <v>2</v>
      </c>
      <c r="I692" s="1">
        <v>25010000</v>
      </c>
      <c r="J692" s="1">
        <v>893</v>
      </c>
      <c r="K692" s="1">
        <v>0</v>
      </c>
      <c r="L692" s="1">
        <v>14584</v>
      </c>
      <c r="M692" s="1">
        <v>13.931006999999999</v>
      </c>
      <c r="N692" s="1">
        <v>101.35556</v>
      </c>
      <c r="O692" s="1">
        <v>4.92</v>
      </c>
      <c r="P692" s="1">
        <v>4.8600000000000003</v>
      </c>
      <c r="Q692" s="1">
        <v>0.84</v>
      </c>
      <c r="R692" s="1">
        <v>0.83</v>
      </c>
      <c r="S692" s="1">
        <v>18.790001</v>
      </c>
      <c r="T692" s="1">
        <v>6.35</v>
      </c>
      <c r="U692" s="1">
        <v>43.5</v>
      </c>
      <c r="V692" s="1">
        <v>0</v>
      </c>
      <c r="W692" s="1">
        <v>0</v>
      </c>
      <c r="X692" s="1">
        <v>13366.764789000001</v>
      </c>
      <c r="Y692" s="1">
        <v>9197587.9448600002</v>
      </c>
      <c r="Z692" t="str">
        <f>VLOOKUP(G692,'Code Pro'!$A$2:$B$9,2,FALSE)</f>
        <v>จ.ปราจีนบุรี</v>
      </c>
      <c r="AA692" s="8">
        <f t="shared" si="91"/>
        <v>45252132.688711204</v>
      </c>
      <c r="AB692" s="8">
        <f t="shared" si="92"/>
        <v>44700277.412019603</v>
      </c>
      <c r="AC692" s="8">
        <f t="shared" si="93"/>
        <v>7725973.8736824002</v>
      </c>
      <c r="AD692" s="8">
        <f t="shared" si="94"/>
        <v>7633997.9942338001</v>
      </c>
      <c r="AE692" s="8">
        <f t="shared" si="95"/>
        <v>172822686.68150735</v>
      </c>
      <c r="AF692" s="8">
        <f t="shared" si="96"/>
        <v>58404683.449860997</v>
      </c>
      <c r="AG692" s="8">
        <f t="shared" si="97"/>
        <v>400095075.60141003</v>
      </c>
      <c r="AH692" s="8">
        <f t="shared" si="98"/>
        <v>0</v>
      </c>
      <c r="AI692" s="8">
        <f t="shared" si="99"/>
        <v>0</v>
      </c>
    </row>
    <row r="693" spans="1:35" x14ac:dyDescent="0.55000000000000004">
      <c r="A693" s="1">
        <v>691</v>
      </c>
      <c r="B693" s="1" t="s">
        <v>20</v>
      </c>
      <c r="C693" s="1">
        <v>49</v>
      </c>
      <c r="D693" s="1">
        <v>1</v>
      </c>
      <c r="E693" s="1" t="s">
        <v>115</v>
      </c>
      <c r="F693" s="1" t="s">
        <v>116</v>
      </c>
      <c r="G693" s="1">
        <v>25</v>
      </c>
      <c r="H693" s="1">
        <v>2</v>
      </c>
      <c r="I693" s="1">
        <v>25010000</v>
      </c>
      <c r="J693" s="1">
        <v>894</v>
      </c>
      <c r="K693" s="1">
        <v>0</v>
      </c>
      <c r="L693" s="1">
        <v>14943</v>
      </c>
      <c r="M693" s="1">
        <v>14.172943</v>
      </c>
      <c r="N693" s="1">
        <v>101.27242</v>
      </c>
      <c r="O693" s="1">
        <v>1.44</v>
      </c>
      <c r="P693" s="1">
        <v>0</v>
      </c>
      <c r="Q693" s="1">
        <v>0.2</v>
      </c>
      <c r="R693" s="1">
        <v>5.63</v>
      </c>
      <c r="S693" s="1">
        <v>1.37</v>
      </c>
      <c r="T693" s="1">
        <v>12.46</v>
      </c>
      <c r="U693" s="1">
        <v>83.419998000000007</v>
      </c>
      <c r="V693" s="1">
        <v>0.57999999999999996</v>
      </c>
      <c r="W693" s="1">
        <v>0</v>
      </c>
      <c r="X693" s="1">
        <v>13544.854934000001</v>
      </c>
      <c r="Y693" s="1">
        <v>8439588.6072899997</v>
      </c>
      <c r="Z693" t="str">
        <f>VLOOKUP(G693,'Code Pro'!$A$2:$B$9,2,FALSE)</f>
        <v>จ.ปราจีนบุรี</v>
      </c>
      <c r="AA693" s="8">
        <f t="shared" si="91"/>
        <v>12153007.594497599</v>
      </c>
      <c r="AB693" s="8">
        <f t="shared" si="92"/>
        <v>0</v>
      </c>
      <c r="AC693" s="8">
        <f t="shared" si="93"/>
        <v>1687917.7214580001</v>
      </c>
      <c r="AD693" s="8">
        <f t="shared" si="94"/>
        <v>47514883.859042697</v>
      </c>
      <c r="AE693" s="8">
        <f t="shared" si="95"/>
        <v>11562236.391987301</v>
      </c>
      <c r="AF693" s="8">
        <f t="shared" si="96"/>
        <v>105157274.04683341</v>
      </c>
      <c r="AG693" s="8">
        <f t="shared" si="97"/>
        <v>704030464.74095464</v>
      </c>
      <c r="AH693" s="8">
        <f t="shared" si="98"/>
        <v>4894961.3922281992</v>
      </c>
      <c r="AI693" s="8">
        <f t="shared" si="99"/>
        <v>0</v>
      </c>
    </row>
    <row r="694" spans="1:35" x14ac:dyDescent="0.55000000000000004">
      <c r="A694" s="1">
        <v>692</v>
      </c>
      <c r="B694" s="1" t="s">
        <v>20</v>
      </c>
      <c r="C694" s="1">
        <v>49</v>
      </c>
      <c r="D694" s="1">
        <v>1</v>
      </c>
      <c r="E694" s="1" t="s">
        <v>115</v>
      </c>
      <c r="F694" s="1" t="s">
        <v>116</v>
      </c>
      <c r="G694" s="1">
        <v>25</v>
      </c>
      <c r="H694" s="1">
        <v>2</v>
      </c>
      <c r="I694" s="1">
        <v>25010000</v>
      </c>
      <c r="J694" s="1">
        <v>896</v>
      </c>
      <c r="K694" s="1">
        <v>0</v>
      </c>
      <c r="L694" s="1">
        <v>14704</v>
      </c>
      <c r="M694" s="1">
        <v>14.011680999999999</v>
      </c>
      <c r="N694" s="1">
        <v>101.35556</v>
      </c>
      <c r="O694" s="1">
        <v>0.01</v>
      </c>
      <c r="P694" s="1">
        <v>1.04</v>
      </c>
      <c r="Q694" s="1">
        <v>2.44</v>
      </c>
      <c r="R694" s="1">
        <v>0.52</v>
      </c>
      <c r="S694" s="1">
        <v>5.01</v>
      </c>
      <c r="T694" s="1">
        <v>6</v>
      </c>
      <c r="U694" s="1">
        <v>33.369999</v>
      </c>
      <c r="V694" s="1">
        <v>0</v>
      </c>
      <c r="W694" s="1">
        <v>0</v>
      </c>
      <c r="X694" s="1">
        <v>36800.592960000002</v>
      </c>
      <c r="Y694" s="1">
        <v>75137737.147400007</v>
      </c>
      <c r="Z694" t="str">
        <f>VLOOKUP(G694,'Code Pro'!$A$2:$B$9,2,FALSE)</f>
        <v>จ.ปราจีนบุรี</v>
      </c>
      <c r="AA694" s="8">
        <f t="shared" si="91"/>
        <v>751377.37147400004</v>
      </c>
      <c r="AB694" s="8">
        <f t="shared" si="92"/>
        <v>78143246.633296013</v>
      </c>
      <c r="AC694" s="8">
        <f t="shared" si="93"/>
        <v>183336078.63965601</v>
      </c>
      <c r="AD694" s="8">
        <f t="shared" si="94"/>
        <v>39071623.316648006</v>
      </c>
      <c r="AE694" s="8">
        <f t="shared" si="95"/>
        <v>376440063.10847402</v>
      </c>
      <c r="AF694" s="8">
        <f t="shared" si="96"/>
        <v>450826422.88440001</v>
      </c>
      <c r="AG694" s="8">
        <f t="shared" si="97"/>
        <v>2507346213.4710011</v>
      </c>
      <c r="AH694" s="8">
        <f t="shared" si="98"/>
        <v>0</v>
      </c>
      <c r="AI694" s="8">
        <f t="shared" si="99"/>
        <v>0</v>
      </c>
    </row>
    <row r="695" spans="1:35" x14ac:dyDescent="0.55000000000000004">
      <c r="A695" s="1">
        <v>693</v>
      </c>
      <c r="B695" s="1" t="s">
        <v>20</v>
      </c>
      <c r="C695" s="1">
        <v>49</v>
      </c>
      <c r="D695" s="1">
        <v>1</v>
      </c>
      <c r="E695" s="1" t="s">
        <v>115</v>
      </c>
      <c r="F695" s="1" t="s">
        <v>116</v>
      </c>
      <c r="G695" s="1">
        <v>25</v>
      </c>
      <c r="H695" s="1">
        <v>2</v>
      </c>
      <c r="I695" s="1">
        <v>25010000</v>
      </c>
      <c r="J695" s="1">
        <v>900</v>
      </c>
      <c r="K695" s="1">
        <v>0</v>
      </c>
      <c r="L695" s="1">
        <v>14825</v>
      </c>
      <c r="M695" s="1">
        <v>14.092331</v>
      </c>
      <c r="N695" s="1">
        <v>101.4387</v>
      </c>
      <c r="O695" s="1">
        <v>0.81</v>
      </c>
      <c r="P695" s="1">
        <v>0.26</v>
      </c>
      <c r="Q695" s="1">
        <v>0.03</v>
      </c>
      <c r="R695" s="1">
        <v>1.18</v>
      </c>
      <c r="S695" s="1">
        <v>1.3</v>
      </c>
      <c r="T695" s="1">
        <v>3.92</v>
      </c>
      <c r="U695" s="1">
        <v>12.12</v>
      </c>
      <c r="V695" s="1">
        <v>0</v>
      </c>
      <c r="W695" s="1">
        <v>0</v>
      </c>
      <c r="X695" s="1">
        <v>38119.868188</v>
      </c>
      <c r="Y695" s="1">
        <v>78799480.585299999</v>
      </c>
      <c r="Z695" t="str">
        <f>VLOOKUP(G695,'Code Pro'!$A$2:$B$9,2,FALSE)</f>
        <v>จ.ปราจีนบุรี</v>
      </c>
      <c r="AA695" s="8">
        <f t="shared" si="91"/>
        <v>63827579.274093002</v>
      </c>
      <c r="AB695" s="8">
        <f t="shared" si="92"/>
        <v>20487864.952178001</v>
      </c>
      <c r="AC695" s="8">
        <f t="shared" si="93"/>
        <v>2363984.4175589997</v>
      </c>
      <c r="AD695" s="8">
        <f t="shared" si="94"/>
        <v>92983387.090654001</v>
      </c>
      <c r="AE695" s="8">
        <f t="shared" si="95"/>
        <v>102439324.76089001</v>
      </c>
      <c r="AF695" s="8">
        <f t="shared" si="96"/>
        <v>308893963.89437598</v>
      </c>
      <c r="AG695" s="8">
        <f t="shared" si="97"/>
        <v>955049704.69383597</v>
      </c>
      <c r="AH695" s="8">
        <f t="shared" si="98"/>
        <v>0</v>
      </c>
      <c r="AI695" s="8">
        <f t="shared" si="99"/>
        <v>0</v>
      </c>
    </row>
    <row r="696" spans="1:35" x14ac:dyDescent="0.55000000000000004">
      <c r="A696" s="1">
        <v>694</v>
      </c>
      <c r="B696" s="1" t="s">
        <v>20</v>
      </c>
      <c r="C696" s="1">
        <v>49</v>
      </c>
      <c r="D696" s="1">
        <v>1</v>
      </c>
      <c r="E696" s="1" t="s">
        <v>115</v>
      </c>
      <c r="F696" s="1" t="s">
        <v>116</v>
      </c>
      <c r="G696" s="1">
        <v>25</v>
      </c>
      <c r="H696" s="1">
        <v>2</v>
      </c>
      <c r="I696" s="1">
        <v>25010000</v>
      </c>
      <c r="J696" s="1">
        <v>901</v>
      </c>
      <c r="K696" s="1">
        <v>0</v>
      </c>
      <c r="L696" s="1">
        <v>14824</v>
      </c>
      <c r="M696" s="1">
        <v>14.092331</v>
      </c>
      <c r="N696" s="1">
        <v>101.35556</v>
      </c>
      <c r="O696" s="1">
        <v>0.1</v>
      </c>
      <c r="P696" s="1">
        <v>7.0000000000000007E-2</v>
      </c>
      <c r="Q696" s="1">
        <v>0.44</v>
      </c>
      <c r="R696" s="1">
        <v>0.75</v>
      </c>
      <c r="S696" s="1">
        <v>1.9</v>
      </c>
      <c r="T696" s="1">
        <v>5.47</v>
      </c>
      <c r="U696" s="1">
        <v>11.5</v>
      </c>
      <c r="V696" s="1">
        <v>0</v>
      </c>
      <c r="W696" s="1">
        <v>0</v>
      </c>
      <c r="X696" s="1">
        <v>36572.947227999997</v>
      </c>
      <c r="Y696" s="1">
        <v>79406933.585299999</v>
      </c>
      <c r="Z696" t="str">
        <f>VLOOKUP(G696,'Code Pro'!$A$2:$B$9,2,FALSE)</f>
        <v>จ.ปราจีนบุรี</v>
      </c>
      <c r="AA696" s="8">
        <f t="shared" si="91"/>
        <v>7940693.3585299999</v>
      </c>
      <c r="AB696" s="8">
        <f t="shared" si="92"/>
        <v>5558485.3509710003</v>
      </c>
      <c r="AC696" s="8">
        <f t="shared" si="93"/>
        <v>34939050.777531996</v>
      </c>
      <c r="AD696" s="8">
        <f t="shared" si="94"/>
        <v>59555200.188974999</v>
      </c>
      <c r="AE696" s="8">
        <f t="shared" si="95"/>
        <v>150873173.81206998</v>
      </c>
      <c r="AF696" s="8">
        <f t="shared" si="96"/>
        <v>434355926.71159095</v>
      </c>
      <c r="AG696" s="8">
        <f t="shared" si="97"/>
        <v>913179736.23095</v>
      </c>
      <c r="AH696" s="8">
        <f t="shared" si="98"/>
        <v>0</v>
      </c>
      <c r="AI696" s="8">
        <f t="shared" si="99"/>
        <v>0</v>
      </c>
    </row>
    <row r="697" spans="1:35" x14ac:dyDescent="0.55000000000000004">
      <c r="A697" s="1">
        <v>695</v>
      </c>
      <c r="B697" s="1" t="s">
        <v>20</v>
      </c>
      <c r="C697" s="1">
        <v>49</v>
      </c>
      <c r="D697" s="1">
        <v>1</v>
      </c>
      <c r="E697" s="1" t="s">
        <v>115</v>
      </c>
      <c r="F697" s="1" t="s">
        <v>116</v>
      </c>
      <c r="G697" s="1">
        <v>25</v>
      </c>
      <c r="H697" s="1">
        <v>2</v>
      </c>
      <c r="I697" s="1">
        <v>25010000</v>
      </c>
      <c r="J697" s="1">
        <v>902</v>
      </c>
      <c r="K697" s="1">
        <v>0</v>
      </c>
      <c r="L697" s="1">
        <v>14705</v>
      </c>
      <c r="M697" s="1">
        <v>14.011680999999999</v>
      </c>
      <c r="N697" s="1">
        <v>101.4387</v>
      </c>
      <c r="O697" s="1">
        <v>1.57</v>
      </c>
      <c r="P697" s="1">
        <v>2.44</v>
      </c>
      <c r="Q697" s="1">
        <v>0.3</v>
      </c>
      <c r="R697" s="1">
        <v>0.82</v>
      </c>
      <c r="S697" s="1">
        <v>4.45</v>
      </c>
      <c r="T697" s="1">
        <v>3.15</v>
      </c>
      <c r="U697" s="1">
        <v>32.619999</v>
      </c>
      <c r="V697" s="1">
        <v>0</v>
      </c>
      <c r="W697" s="1">
        <v>0</v>
      </c>
      <c r="X697" s="1">
        <v>32133.128964</v>
      </c>
      <c r="Y697" s="1">
        <v>37120871.726800002</v>
      </c>
      <c r="Z697" t="str">
        <f>VLOOKUP(G697,'Code Pro'!$A$2:$B$9,2,FALSE)</f>
        <v>จ.ปราจีนบุรี</v>
      </c>
      <c r="AA697" s="8">
        <f t="shared" si="91"/>
        <v>58279768.611076005</v>
      </c>
      <c r="AB697" s="8">
        <f t="shared" si="92"/>
        <v>90574927.013392001</v>
      </c>
      <c r="AC697" s="8">
        <f t="shared" si="93"/>
        <v>11136261.51804</v>
      </c>
      <c r="AD697" s="8">
        <f t="shared" si="94"/>
        <v>30439114.815976001</v>
      </c>
      <c r="AE697" s="8">
        <f t="shared" si="95"/>
        <v>165187879.18426001</v>
      </c>
      <c r="AF697" s="8">
        <f t="shared" si="96"/>
        <v>116930745.93942</v>
      </c>
      <c r="AG697" s="8">
        <f t="shared" si="97"/>
        <v>1210882798.6073444</v>
      </c>
      <c r="AH697" s="8">
        <f t="shared" si="98"/>
        <v>0</v>
      </c>
      <c r="AI697" s="8">
        <f t="shared" si="99"/>
        <v>0</v>
      </c>
    </row>
    <row r="698" spans="1:35" x14ac:dyDescent="0.55000000000000004">
      <c r="A698" s="1">
        <v>696</v>
      </c>
      <c r="B698" s="1" t="s">
        <v>20</v>
      </c>
      <c r="C698" s="1">
        <v>49</v>
      </c>
      <c r="D698" s="1">
        <v>1</v>
      </c>
      <c r="E698" s="1" t="s">
        <v>115</v>
      </c>
      <c r="F698" s="1" t="s">
        <v>116</v>
      </c>
      <c r="G698" s="1">
        <v>25</v>
      </c>
      <c r="H698" s="1">
        <v>2</v>
      </c>
      <c r="I698" s="1">
        <v>25010000</v>
      </c>
      <c r="J698" s="1">
        <v>904</v>
      </c>
      <c r="K698" s="1">
        <v>0</v>
      </c>
      <c r="L698" s="1">
        <v>14945</v>
      </c>
      <c r="M698" s="1">
        <v>14.172943</v>
      </c>
      <c r="N698" s="1">
        <v>101.4387</v>
      </c>
      <c r="O698" s="1">
        <v>25.809999000000001</v>
      </c>
      <c r="P698" s="1">
        <v>1.81</v>
      </c>
      <c r="Q698" s="1">
        <v>0.68</v>
      </c>
      <c r="R698" s="1">
        <v>0.28999999999999998</v>
      </c>
      <c r="S698" s="1">
        <v>0.61</v>
      </c>
      <c r="T698" s="1">
        <v>36.979999999999997</v>
      </c>
      <c r="U698" s="1">
        <v>22.959999</v>
      </c>
      <c r="V698" s="1">
        <v>0</v>
      </c>
      <c r="W698" s="1">
        <v>0</v>
      </c>
      <c r="X698" s="1">
        <v>32352.139855000001</v>
      </c>
      <c r="Y698" s="1">
        <v>56782810.259800002</v>
      </c>
      <c r="Z698" t="str">
        <f>VLOOKUP(G698,'Code Pro'!$A$2:$B$9,2,FALSE)</f>
        <v>จ.ปราจีนบุรี</v>
      </c>
      <c r="AA698" s="8">
        <f t="shared" si="91"/>
        <v>1465564276.0226278</v>
      </c>
      <c r="AB698" s="8">
        <f t="shared" si="92"/>
        <v>102776886.57023801</v>
      </c>
      <c r="AC698" s="8">
        <f t="shared" si="93"/>
        <v>38612310.976664007</v>
      </c>
      <c r="AD698" s="8">
        <f t="shared" si="94"/>
        <v>16467014.975342</v>
      </c>
      <c r="AE698" s="8">
        <f t="shared" si="95"/>
        <v>34637514.258478001</v>
      </c>
      <c r="AF698" s="8">
        <f t="shared" si="96"/>
        <v>2099828323.4074039</v>
      </c>
      <c r="AG698" s="8">
        <f t="shared" si="97"/>
        <v>1303733266.7821977</v>
      </c>
      <c r="AH698" s="8">
        <f t="shared" si="98"/>
        <v>0</v>
      </c>
      <c r="AI698" s="8">
        <f t="shared" si="99"/>
        <v>0</v>
      </c>
    </row>
    <row r="699" spans="1:35" x14ac:dyDescent="0.55000000000000004">
      <c r="A699" s="1">
        <v>697</v>
      </c>
      <c r="B699" s="1" t="s">
        <v>20</v>
      </c>
      <c r="C699" s="1">
        <v>49</v>
      </c>
      <c r="D699" s="1">
        <v>1</v>
      </c>
      <c r="E699" s="1" t="s">
        <v>115</v>
      </c>
      <c r="F699" s="1" t="s">
        <v>116</v>
      </c>
      <c r="G699" s="1">
        <v>25</v>
      </c>
      <c r="H699" s="1">
        <v>2</v>
      </c>
      <c r="I699" s="1">
        <v>25010000</v>
      </c>
      <c r="J699" s="1">
        <v>905</v>
      </c>
      <c r="K699" s="1">
        <v>0</v>
      </c>
      <c r="L699" s="1">
        <v>14944</v>
      </c>
      <c r="M699" s="1">
        <v>14.172943</v>
      </c>
      <c r="N699" s="1">
        <v>101.35556</v>
      </c>
      <c r="O699" s="1">
        <v>7.38</v>
      </c>
      <c r="P699" s="1">
        <v>0.03</v>
      </c>
      <c r="Q699" s="1">
        <v>0.49</v>
      </c>
      <c r="R699" s="1">
        <v>0.27</v>
      </c>
      <c r="S699" s="1">
        <v>2.74</v>
      </c>
      <c r="T699" s="1">
        <v>48.040000999999997</v>
      </c>
      <c r="U699" s="1">
        <v>62.509998000000003</v>
      </c>
      <c r="V699" s="1">
        <v>0</v>
      </c>
      <c r="W699" s="1">
        <v>0</v>
      </c>
      <c r="X699" s="1">
        <v>34727.623936999997</v>
      </c>
      <c r="Y699" s="1">
        <v>63888682.1435</v>
      </c>
      <c r="Z699" t="str">
        <f>VLOOKUP(G699,'Code Pro'!$A$2:$B$9,2,FALSE)</f>
        <v>จ.ปราจีนบุรี</v>
      </c>
      <c r="AA699" s="8">
        <f t="shared" si="91"/>
        <v>471498474.21903002</v>
      </c>
      <c r="AB699" s="8">
        <f t="shared" si="92"/>
        <v>1916660.4643049999</v>
      </c>
      <c r="AC699" s="8">
        <f t="shared" si="93"/>
        <v>31305454.250314999</v>
      </c>
      <c r="AD699" s="8">
        <f t="shared" si="94"/>
        <v>17249944.178745002</v>
      </c>
      <c r="AE699" s="8">
        <f t="shared" si="95"/>
        <v>175054989.07319</v>
      </c>
      <c r="AF699" s="8">
        <f t="shared" si="96"/>
        <v>3069212354.0624218</v>
      </c>
      <c r="AG699" s="8">
        <f t="shared" si="97"/>
        <v>3993681393.0128207</v>
      </c>
      <c r="AH699" s="8">
        <f t="shared" si="98"/>
        <v>0</v>
      </c>
      <c r="AI699" s="8">
        <f t="shared" si="99"/>
        <v>0</v>
      </c>
    </row>
    <row r="700" spans="1:35" x14ac:dyDescent="0.55000000000000004">
      <c r="A700" s="1">
        <v>698</v>
      </c>
      <c r="B700" s="1" t="s">
        <v>20</v>
      </c>
      <c r="C700" s="1">
        <v>49</v>
      </c>
      <c r="D700" s="1">
        <v>1</v>
      </c>
      <c r="E700" s="1" t="s">
        <v>115</v>
      </c>
      <c r="F700" s="1" t="s">
        <v>116</v>
      </c>
      <c r="G700" s="1">
        <v>25</v>
      </c>
      <c r="H700" s="1">
        <v>2</v>
      </c>
      <c r="I700" s="1">
        <v>25010000</v>
      </c>
      <c r="J700" s="1">
        <v>907</v>
      </c>
      <c r="K700" s="1">
        <v>0</v>
      </c>
      <c r="L700" s="1">
        <v>15065</v>
      </c>
      <c r="M700" s="1">
        <v>14.253532</v>
      </c>
      <c r="N700" s="1">
        <v>101.4387</v>
      </c>
      <c r="O700" s="1">
        <v>3.54</v>
      </c>
      <c r="P700" s="1">
        <v>0.44</v>
      </c>
      <c r="Q700" s="1">
        <v>2.02</v>
      </c>
      <c r="R700" s="1">
        <v>1.9</v>
      </c>
      <c r="S700" s="1">
        <v>3</v>
      </c>
      <c r="T700" s="1">
        <v>59.029998999999997</v>
      </c>
      <c r="U700" s="1">
        <v>4.5</v>
      </c>
      <c r="V700" s="1">
        <v>0</v>
      </c>
      <c r="W700" s="1">
        <v>0</v>
      </c>
      <c r="X700" s="1">
        <v>20746.997285000001</v>
      </c>
      <c r="Y700" s="1">
        <v>20579602.4373</v>
      </c>
      <c r="Z700" t="str">
        <f>VLOOKUP(G700,'Code Pro'!$A$2:$B$9,2,FALSE)</f>
        <v>จ.ปราจีนบุรี</v>
      </c>
      <c r="AA700" s="8">
        <f t="shared" si="91"/>
        <v>72851792.628041998</v>
      </c>
      <c r="AB700" s="8">
        <f t="shared" si="92"/>
        <v>9055025.072412001</v>
      </c>
      <c r="AC700" s="8">
        <f t="shared" si="93"/>
        <v>41570796.923345998</v>
      </c>
      <c r="AD700" s="8">
        <f t="shared" si="94"/>
        <v>39101244.63087</v>
      </c>
      <c r="AE700" s="8">
        <f t="shared" si="95"/>
        <v>61738807.311900005</v>
      </c>
      <c r="AF700" s="8">
        <f t="shared" si="96"/>
        <v>1214813911.2942164</v>
      </c>
      <c r="AG700" s="8">
        <f t="shared" si="97"/>
        <v>92608210.96785</v>
      </c>
      <c r="AH700" s="8">
        <f t="shared" si="98"/>
        <v>0</v>
      </c>
      <c r="AI700" s="8">
        <f t="shared" si="99"/>
        <v>0</v>
      </c>
    </row>
    <row r="701" spans="1:35" x14ac:dyDescent="0.55000000000000004">
      <c r="A701" s="1">
        <v>699</v>
      </c>
      <c r="B701" s="1" t="s">
        <v>20</v>
      </c>
      <c r="C701" s="1">
        <v>49</v>
      </c>
      <c r="D701" s="1">
        <v>1</v>
      </c>
      <c r="E701" s="1" t="s">
        <v>115</v>
      </c>
      <c r="F701" s="1" t="s">
        <v>116</v>
      </c>
      <c r="G701" s="1">
        <v>25</v>
      </c>
      <c r="H701" s="1">
        <v>2</v>
      </c>
      <c r="I701" s="1">
        <v>25010000</v>
      </c>
      <c r="J701" s="1">
        <v>908</v>
      </c>
      <c r="K701" s="1">
        <v>0</v>
      </c>
      <c r="L701" s="1">
        <v>15064</v>
      </c>
      <c r="M701" s="1">
        <v>14.253532</v>
      </c>
      <c r="N701" s="1">
        <v>101.35556</v>
      </c>
      <c r="O701" s="1">
        <v>0.51</v>
      </c>
      <c r="P701" s="1">
        <v>2.38</v>
      </c>
      <c r="Q701" s="1">
        <v>1.99</v>
      </c>
      <c r="R701" s="1">
        <v>1.2</v>
      </c>
      <c r="S701" s="1">
        <v>0.44</v>
      </c>
      <c r="T701" s="1">
        <v>77.680000000000007</v>
      </c>
      <c r="U701" s="1">
        <v>12.14</v>
      </c>
      <c r="V701" s="1">
        <v>0</v>
      </c>
      <c r="W701" s="1">
        <v>0</v>
      </c>
      <c r="X701" s="1">
        <v>18033.483361999999</v>
      </c>
      <c r="Y701" s="1">
        <v>10717005.531400001</v>
      </c>
      <c r="Z701" t="str">
        <f>VLOOKUP(G701,'Code Pro'!$A$2:$B$9,2,FALSE)</f>
        <v>จ.ปราจีนบุรี</v>
      </c>
      <c r="AA701" s="8">
        <f t="shared" si="91"/>
        <v>5465672.8210140001</v>
      </c>
      <c r="AB701" s="8">
        <f t="shared" si="92"/>
        <v>25506473.164732002</v>
      </c>
      <c r="AC701" s="8">
        <f t="shared" si="93"/>
        <v>21326841.007486001</v>
      </c>
      <c r="AD701" s="8">
        <f t="shared" si="94"/>
        <v>12860406.63768</v>
      </c>
      <c r="AE701" s="8">
        <f t="shared" si="95"/>
        <v>4715482.4338159999</v>
      </c>
      <c r="AF701" s="8">
        <f t="shared" si="96"/>
        <v>832496989.67915213</v>
      </c>
      <c r="AG701" s="8">
        <f t="shared" si="97"/>
        <v>130104447.15119602</v>
      </c>
      <c r="AH701" s="8">
        <f t="shared" si="98"/>
        <v>0</v>
      </c>
      <c r="AI701" s="8">
        <f t="shared" si="99"/>
        <v>0</v>
      </c>
    </row>
    <row r="702" spans="1:35" x14ac:dyDescent="0.55000000000000004">
      <c r="A702" s="1">
        <v>700</v>
      </c>
      <c r="B702" s="1" t="s">
        <v>20</v>
      </c>
      <c r="C702" s="1">
        <v>49</v>
      </c>
      <c r="D702" s="1">
        <v>1</v>
      </c>
      <c r="E702" s="1" t="s">
        <v>115</v>
      </c>
      <c r="F702" s="1" t="s">
        <v>116</v>
      </c>
      <c r="G702" s="1">
        <v>25</v>
      </c>
      <c r="H702" s="1">
        <v>2</v>
      </c>
      <c r="I702" s="1">
        <v>25010000</v>
      </c>
      <c r="J702" s="1">
        <v>924</v>
      </c>
      <c r="K702" s="1">
        <v>0</v>
      </c>
      <c r="L702" s="1">
        <v>14826</v>
      </c>
      <c r="M702" s="1">
        <v>14.092331</v>
      </c>
      <c r="N702" s="1">
        <v>101.52182999999999</v>
      </c>
      <c r="O702" s="1">
        <v>1</v>
      </c>
      <c r="P702" s="1">
        <v>0.18</v>
      </c>
      <c r="Q702" s="1">
        <v>0.06</v>
      </c>
      <c r="R702" s="1">
        <v>1.1399999999999999</v>
      </c>
      <c r="S702" s="1">
        <v>13.44</v>
      </c>
      <c r="T702" s="1">
        <v>4.99</v>
      </c>
      <c r="U702" s="1">
        <v>15.33</v>
      </c>
      <c r="V702" s="1">
        <v>0</v>
      </c>
      <c r="W702" s="1">
        <v>0</v>
      </c>
      <c r="X702" s="1">
        <v>20304.146624000001</v>
      </c>
      <c r="Y702" s="1">
        <v>7399135.6078199996</v>
      </c>
      <c r="Z702" t="str">
        <f>VLOOKUP(G702,'Code Pro'!$A$2:$B$9,2,FALSE)</f>
        <v>จ.ปราจีนบุรี</v>
      </c>
      <c r="AA702" s="8">
        <f t="shared" si="91"/>
        <v>7399135.6078199996</v>
      </c>
      <c r="AB702" s="8">
        <f t="shared" si="92"/>
        <v>1331844.4094075998</v>
      </c>
      <c r="AC702" s="8">
        <f t="shared" si="93"/>
        <v>443948.13646919996</v>
      </c>
      <c r="AD702" s="8">
        <f t="shared" si="94"/>
        <v>8435014.5929147992</v>
      </c>
      <c r="AE702" s="8">
        <f t="shared" si="95"/>
        <v>99444382.569100797</v>
      </c>
      <c r="AF702" s="8">
        <f t="shared" si="96"/>
        <v>36921686.683021799</v>
      </c>
      <c r="AG702" s="8">
        <f t="shared" si="97"/>
        <v>113428748.8678806</v>
      </c>
      <c r="AH702" s="8">
        <f t="shared" si="98"/>
        <v>0</v>
      </c>
      <c r="AI702" s="8">
        <f t="shared" si="99"/>
        <v>0</v>
      </c>
    </row>
    <row r="703" spans="1:35" x14ac:dyDescent="0.55000000000000004">
      <c r="A703" s="1">
        <v>701</v>
      </c>
      <c r="B703" s="1" t="s">
        <v>20</v>
      </c>
      <c r="C703" s="1">
        <v>50</v>
      </c>
      <c r="D703" s="1">
        <v>2</v>
      </c>
      <c r="E703" s="1" t="s">
        <v>117</v>
      </c>
      <c r="F703" s="1" t="s">
        <v>118</v>
      </c>
      <c r="G703" s="1">
        <v>25</v>
      </c>
      <c r="H703" s="1">
        <v>2</v>
      </c>
      <c r="I703" s="1">
        <v>25020000</v>
      </c>
      <c r="J703" s="1">
        <v>803</v>
      </c>
      <c r="K703" s="1">
        <v>0</v>
      </c>
      <c r="L703" s="1">
        <v>14110</v>
      </c>
      <c r="M703" s="1">
        <v>13.608017</v>
      </c>
      <c r="N703" s="1">
        <v>101.85438000000001</v>
      </c>
      <c r="O703" s="1">
        <v>0.02</v>
      </c>
      <c r="P703" s="1">
        <v>29.18</v>
      </c>
      <c r="Q703" s="1">
        <v>0.01</v>
      </c>
      <c r="R703" s="1">
        <v>0.15</v>
      </c>
      <c r="S703" s="1">
        <v>0.02</v>
      </c>
      <c r="T703" s="1">
        <v>4.41</v>
      </c>
      <c r="U703" s="1">
        <v>36.279998999999997</v>
      </c>
      <c r="V703" s="1">
        <v>0</v>
      </c>
      <c r="W703" s="1">
        <v>0</v>
      </c>
      <c r="X703" s="1">
        <v>26693.218505000001</v>
      </c>
      <c r="Y703" s="1">
        <v>23571457.650400002</v>
      </c>
      <c r="Z703" t="str">
        <f>VLOOKUP(G703,'Code Pro'!$A$2:$B$9,2,FALSE)</f>
        <v>จ.ปราจีนบุรี</v>
      </c>
      <c r="AA703" s="8">
        <f t="shared" si="91"/>
        <v>471429.15300800005</v>
      </c>
      <c r="AB703" s="8">
        <f t="shared" si="92"/>
        <v>687815134.23867202</v>
      </c>
      <c r="AC703" s="8">
        <f t="shared" si="93"/>
        <v>235714.57650400003</v>
      </c>
      <c r="AD703" s="8">
        <f t="shared" si="94"/>
        <v>3535718.64756</v>
      </c>
      <c r="AE703" s="8">
        <f t="shared" si="95"/>
        <v>471429.15300800005</v>
      </c>
      <c r="AF703" s="8">
        <f t="shared" si="96"/>
        <v>103950128.23826401</v>
      </c>
      <c r="AG703" s="8">
        <f t="shared" si="97"/>
        <v>855172459.98505437</v>
      </c>
      <c r="AH703" s="8">
        <f t="shared" si="98"/>
        <v>0</v>
      </c>
      <c r="AI703" s="8">
        <f t="shared" si="99"/>
        <v>0</v>
      </c>
    </row>
    <row r="704" spans="1:35" x14ac:dyDescent="0.55000000000000004">
      <c r="A704" s="1">
        <v>702</v>
      </c>
      <c r="B704" s="1" t="s">
        <v>20</v>
      </c>
      <c r="C704" s="1">
        <v>50</v>
      </c>
      <c r="D704" s="1">
        <v>2</v>
      </c>
      <c r="E704" s="1" t="s">
        <v>117</v>
      </c>
      <c r="F704" s="1" t="s">
        <v>118</v>
      </c>
      <c r="G704" s="1">
        <v>25</v>
      </c>
      <c r="H704" s="1">
        <v>2</v>
      </c>
      <c r="I704" s="1">
        <v>25020000</v>
      </c>
      <c r="J704" s="1">
        <v>808</v>
      </c>
      <c r="K704" s="1">
        <v>0</v>
      </c>
      <c r="L704" s="1">
        <v>14349</v>
      </c>
      <c r="M704" s="1">
        <v>13.769569000000001</v>
      </c>
      <c r="N704" s="1">
        <v>101.77124000000001</v>
      </c>
      <c r="O704" s="1">
        <v>18.690000999999999</v>
      </c>
      <c r="P704" s="1">
        <v>0.03</v>
      </c>
      <c r="Q704" s="1">
        <v>2.9</v>
      </c>
      <c r="R704" s="1">
        <v>0</v>
      </c>
      <c r="S704" s="1">
        <v>0.78</v>
      </c>
      <c r="T704" s="1">
        <v>2.5299999999999998</v>
      </c>
      <c r="U704" s="1">
        <v>17.280000999999999</v>
      </c>
      <c r="V704" s="1">
        <v>0.01</v>
      </c>
      <c r="W704" s="1">
        <v>0</v>
      </c>
      <c r="X704" s="1">
        <v>37502.638580999999</v>
      </c>
      <c r="Y704" s="1">
        <v>57653397.569600001</v>
      </c>
      <c r="Z704" t="str">
        <f>VLOOKUP(G704,'Code Pro'!$A$2:$B$9,2,FALSE)</f>
        <v>จ.ปราจีนบุรี</v>
      </c>
      <c r="AA704" s="8">
        <f t="shared" si="91"/>
        <v>1077542058.2292216</v>
      </c>
      <c r="AB704" s="8">
        <f t="shared" si="92"/>
        <v>1729601.9270879999</v>
      </c>
      <c r="AC704" s="8">
        <f t="shared" si="93"/>
        <v>167194852.95183998</v>
      </c>
      <c r="AD704" s="8">
        <f t="shared" si="94"/>
        <v>0</v>
      </c>
      <c r="AE704" s="8">
        <f t="shared" si="95"/>
        <v>44969650.104288004</v>
      </c>
      <c r="AF704" s="8">
        <f t="shared" si="96"/>
        <v>145863095.85108799</v>
      </c>
      <c r="AG704" s="8">
        <f t="shared" si="97"/>
        <v>996250767.65608549</v>
      </c>
      <c r="AH704" s="8">
        <f t="shared" si="98"/>
        <v>576533.97569600004</v>
      </c>
      <c r="AI704" s="8">
        <f t="shared" si="99"/>
        <v>0</v>
      </c>
    </row>
    <row r="705" spans="1:35" x14ac:dyDescent="0.55000000000000004">
      <c r="A705" s="1">
        <v>703</v>
      </c>
      <c r="B705" s="1" t="s">
        <v>20</v>
      </c>
      <c r="C705" s="1">
        <v>50</v>
      </c>
      <c r="D705" s="1">
        <v>2</v>
      </c>
      <c r="E705" s="1" t="s">
        <v>117</v>
      </c>
      <c r="F705" s="1" t="s">
        <v>118</v>
      </c>
      <c r="G705" s="1">
        <v>25</v>
      </c>
      <c r="H705" s="1">
        <v>2</v>
      </c>
      <c r="I705" s="1">
        <v>25020000</v>
      </c>
      <c r="J705" s="1">
        <v>810</v>
      </c>
      <c r="K705" s="1">
        <v>0</v>
      </c>
      <c r="L705" s="1">
        <v>14347</v>
      </c>
      <c r="M705" s="1">
        <v>13.769569000000001</v>
      </c>
      <c r="N705" s="1">
        <v>101.60496500000001</v>
      </c>
      <c r="O705" s="1">
        <v>2.39</v>
      </c>
      <c r="P705" s="1">
        <v>0.17</v>
      </c>
      <c r="Q705" s="1">
        <v>0.6</v>
      </c>
      <c r="R705" s="1">
        <v>3.17</v>
      </c>
      <c r="S705" s="1">
        <v>0.81</v>
      </c>
      <c r="T705" s="1">
        <v>0.56000000000000005</v>
      </c>
      <c r="U705" s="1">
        <v>5.08</v>
      </c>
      <c r="V705" s="1">
        <v>1.77</v>
      </c>
      <c r="W705" s="1">
        <v>0</v>
      </c>
      <c r="X705" s="1">
        <v>5471.223489</v>
      </c>
      <c r="Y705" s="1">
        <v>1142336.8424500001</v>
      </c>
      <c r="Z705" t="str">
        <f>VLOOKUP(G705,'Code Pro'!$A$2:$B$9,2,FALSE)</f>
        <v>จ.ปราจีนบุรี</v>
      </c>
      <c r="AA705" s="8">
        <f t="shared" si="91"/>
        <v>2730185.0534555004</v>
      </c>
      <c r="AB705" s="8">
        <f t="shared" si="92"/>
        <v>194197.26321650003</v>
      </c>
      <c r="AC705" s="8">
        <f t="shared" si="93"/>
        <v>685402.10547000007</v>
      </c>
      <c r="AD705" s="8">
        <f t="shared" si="94"/>
        <v>3621207.7905665003</v>
      </c>
      <c r="AE705" s="8">
        <f t="shared" si="95"/>
        <v>925292.8423845002</v>
      </c>
      <c r="AF705" s="8">
        <f t="shared" si="96"/>
        <v>639708.63177200011</v>
      </c>
      <c r="AG705" s="8">
        <f t="shared" si="97"/>
        <v>5803071.1596460007</v>
      </c>
      <c r="AH705" s="8">
        <f t="shared" si="98"/>
        <v>2021936.2111365001</v>
      </c>
      <c r="AI705" s="8">
        <f t="shared" si="99"/>
        <v>0</v>
      </c>
    </row>
    <row r="706" spans="1:35" x14ac:dyDescent="0.55000000000000004">
      <c r="A706" s="1">
        <v>704</v>
      </c>
      <c r="B706" s="1" t="s">
        <v>20</v>
      </c>
      <c r="C706" s="1">
        <v>50</v>
      </c>
      <c r="D706" s="1">
        <v>2</v>
      </c>
      <c r="E706" s="1" t="s">
        <v>117</v>
      </c>
      <c r="F706" s="1" t="s">
        <v>118</v>
      </c>
      <c r="G706" s="1">
        <v>25</v>
      </c>
      <c r="H706" s="1">
        <v>2</v>
      </c>
      <c r="I706" s="1">
        <v>25020000</v>
      </c>
      <c r="J706" s="1">
        <v>812</v>
      </c>
      <c r="K706" s="1">
        <v>0</v>
      </c>
      <c r="L706" s="1">
        <v>14350</v>
      </c>
      <c r="M706" s="1">
        <v>13.769569000000001</v>
      </c>
      <c r="N706" s="1">
        <v>101.85438000000001</v>
      </c>
      <c r="O706" s="1">
        <v>0.94</v>
      </c>
      <c r="P706" s="1">
        <v>0.06</v>
      </c>
      <c r="Q706" s="1">
        <v>0.28999999999999998</v>
      </c>
      <c r="R706" s="1">
        <v>0</v>
      </c>
      <c r="S706" s="1">
        <v>0.79</v>
      </c>
      <c r="T706" s="1">
        <v>5.31</v>
      </c>
      <c r="U706" s="1">
        <v>41.740001999999997</v>
      </c>
      <c r="V706" s="1">
        <v>0</v>
      </c>
      <c r="W706" s="1">
        <v>0</v>
      </c>
      <c r="X706" s="1">
        <v>35876.281741999999</v>
      </c>
      <c r="Y706" s="1">
        <v>80443427.309100002</v>
      </c>
      <c r="Z706" t="str">
        <f>VLOOKUP(G706,'Code Pro'!$A$2:$B$9,2,FALSE)</f>
        <v>จ.ปราจีนบุรี</v>
      </c>
      <c r="AA706" s="8">
        <f t="shared" si="91"/>
        <v>75616821.670553997</v>
      </c>
      <c r="AB706" s="8">
        <f t="shared" si="92"/>
        <v>4826605.6385460002</v>
      </c>
      <c r="AC706" s="8">
        <f t="shared" si="93"/>
        <v>23328593.919638999</v>
      </c>
      <c r="AD706" s="8">
        <f t="shared" si="94"/>
        <v>0</v>
      </c>
      <c r="AE706" s="8">
        <f t="shared" si="95"/>
        <v>63550307.574189007</v>
      </c>
      <c r="AF706" s="8">
        <f t="shared" si="96"/>
        <v>427154599.01132101</v>
      </c>
      <c r="AG706" s="8">
        <f t="shared" si="97"/>
        <v>3357708816.7686887</v>
      </c>
      <c r="AH706" s="8">
        <f t="shared" si="98"/>
        <v>0</v>
      </c>
      <c r="AI706" s="8">
        <f t="shared" si="99"/>
        <v>0</v>
      </c>
    </row>
    <row r="707" spans="1:35" x14ac:dyDescent="0.55000000000000004">
      <c r="A707" s="1">
        <v>705</v>
      </c>
      <c r="B707" s="1" t="s">
        <v>20</v>
      </c>
      <c r="C707" s="1">
        <v>50</v>
      </c>
      <c r="D707" s="1">
        <v>2</v>
      </c>
      <c r="E707" s="1" t="s">
        <v>117</v>
      </c>
      <c r="F707" s="1" t="s">
        <v>118</v>
      </c>
      <c r="G707" s="1">
        <v>25</v>
      </c>
      <c r="H707" s="1">
        <v>2</v>
      </c>
      <c r="I707" s="1">
        <v>25020000</v>
      </c>
      <c r="J707" s="1">
        <v>813</v>
      </c>
      <c r="K707" s="1">
        <v>0</v>
      </c>
      <c r="L707" s="1">
        <v>14348</v>
      </c>
      <c r="M707" s="1">
        <v>13.769569000000001</v>
      </c>
      <c r="N707" s="1">
        <v>101.68810000000001</v>
      </c>
      <c r="O707" s="1">
        <v>4.33</v>
      </c>
      <c r="P707" s="1">
        <v>0.13</v>
      </c>
      <c r="Q707" s="1">
        <v>7.0000000000000007E-2</v>
      </c>
      <c r="R707" s="1">
        <v>0.38</v>
      </c>
      <c r="S707" s="1">
        <v>0.37</v>
      </c>
      <c r="T707" s="1">
        <v>0.83</v>
      </c>
      <c r="U707" s="1">
        <v>8.35</v>
      </c>
      <c r="V707" s="1">
        <v>0.01</v>
      </c>
      <c r="W707" s="1">
        <v>0</v>
      </c>
      <c r="X707" s="1">
        <v>28257.442524999999</v>
      </c>
      <c r="Y707" s="1">
        <v>31335885.6998</v>
      </c>
      <c r="Z707" t="str">
        <f>VLOOKUP(G707,'Code Pro'!$A$2:$B$9,2,FALSE)</f>
        <v>จ.ปราจีนบุรี</v>
      </c>
      <c r="AA707" s="8">
        <f t="shared" ref="AA707:AA770" si="100">+O707*$Y707</f>
        <v>135684385.080134</v>
      </c>
      <c r="AB707" s="8">
        <f t="shared" ref="AB707:AB770" si="101">+P707*$Y707</f>
        <v>4073665.1409740001</v>
      </c>
      <c r="AC707" s="8">
        <f t="shared" ref="AC707:AC770" si="102">+Q707*$Y707</f>
        <v>2193511.9989860002</v>
      </c>
      <c r="AD707" s="8">
        <f t="shared" ref="AD707:AD770" si="103">+R707*$Y707</f>
        <v>11907636.565924</v>
      </c>
      <c r="AE707" s="8">
        <f t="shared" ref="AE707:AE770" si="104">+S707*$Y707</f>
        <v>11594277.708926</v>
      </c>
      <c r="AF707" s="8">
        <f t="shared" ref="AF707:AF770" si="105">+T707*$Y707</f>
        <v>26008785.130833998</v>
      </c>
      <c r="AG707" s="8">
        <f t="shared" ref="AG707:AG770" si="106">+U707*$Y707</f>
        <v>261654645.59333</v>
      </c>
      <c r="AH707" s="8">
        <f t="shared" ref="AH707:AH770" si="107">+V707*$Y707</f>
        <v>313358.856998</v>
      </c>
      <c r="AI707" s="8">
        <f t="shared" ref="AI707:AI770" si="108">+W707*$Y707</f>
        <v>0</v>
      </c>
    </row>
    <row r="708" spans="1:35" x14ac:dyDescent="0.55000000000000004">
      <c r="A708" s="1">
        <v>706</v>
      </c>
      <c r="B708" s="1" t="s">
        <v>20</v>
      </c>
      <c r="C708" s="1">
        <v>50</v>
      </c>
      <c r="D708" s="1">
        <v>2</v>
      </c>
      <c r="E708" s="1" t="s">
        <v>117</v>
      </c>
      <c r="F708" s="1" t="s">
        <v>118</v>
      </c>
      <c r="G708" s="1">
        <v>25</v>
      </c>
      <c r="H708" s="1">
        <v>2</v>
      </c>
      <c r="I708" s="1">
        <v>25020000</v>
      </c>
      <c r="J708" s="1">
        <v>814</v>
      </c>
      <c r="K708" s="1">
        <v>0</v>
      </c>
      <c r="L708" s="1">
        <v>14229</v>
      </c>
      <c r="M708" s="1">
        <v>13.688805</v>
      </c>
      <c r="N708" s="1">
        <v>101.77124000000001</v>
      </c>
      <c r="O708" s="1">
        <v>2.46</v>
      </c>
      <c r="P708" s="1">
        <v>2.59</v>
      </c>
      <c r="Q708" s="1">
        <v>11.1</v>
      </c>
      <c r="R708" s="1">
        <v>0.08</v>
      </c>
      <c r="S708" s="1">
        <v>0.61</v>
      </c>
      <c r="T708" s="1">
        <v>2.36</v>
      </c>
      <c r="U708" s="1">
        <v>39.209999000000003</v>
      </c>
      <c r="V708" s="1">
        <v>0</v>
      </c>
      <c r="W708" s="1">
        <v>0</v>
      </c>
      <c r="X708" s="1">
        <v>10567.454313</v>
      </c>
      <c r="Y708" s="1">
        <v>6429645.4722699998</v>
      </c>
      <c r="Z708" t="str">
        <f>VLOOKUP(G708,'Code Pro'!$A$2:$B$9,2,FALSE)</f>
        <v>จ.ปราจีนบุรี</v>
      </c>
      <c r="AA708" s="8">
        <f t="shared" si="100"/>
        <v>15816927.861784199</v>
      </c>
      <c r="AB708" s="8">
        <f t="shared" si="101"/>
        <v>16652781.773179298</v>
      </c>
      <c r="AC708" s="8">
        <f t="shared" si="102"/>
        <v>71369064.742196992</v>
      </c>
      <c r="AD708" s="8">
        <f t="shared" si="103"/>
        <v>514371.6377816</v>
      </c>
      <c r="AE708" s="8">
        <f t="shared" si="104"/>
        <v>3922083.7380847</v>
      </c>
      <c r="AF708" s="8">
        <f t="shared" si="105"/>
        <v>15173963.314557198</v>
      </c>
      <c r="AG708" s="8">
        <f t="shared" si="106"/>
        <v>252106392.53806123</v>
      </c>
      <c r="AH708" s="8">
        <f t="shared" si="107"/>
        <v>0</v>
      </c>
      <c r="AI708" s="8">
        <f t="shared" si="108"/>
        <v>0</v>
      </c>
    </row>
    <row r="709" spans="1:35" x14ac:dyDescent="0.55000000000000004">
      <c r="A709" s="1">
        <v>707</v>
      </c>
      <c r="B709" s="1" t="s">
        <v>20</v>
      </c>
      <c r="C709" s="1">
        <v>50</v>
      </c>
      <c r="D709" s="1">
        <v>2</v>
      </c>
      <c r="E709" s="1" t="s">
        <v>117</v>
      </c>
      <c r="F709" s="1" t="s">
        <v>118</v>
      </c>
      <c r="G709" s="1">
        <v>25</v>
      </c>
      <c r="H709" s="1">
        <v>2</v>
      </c>
      <c r="I709" s="1">
        <v>25020000</v>
      </c>
      <c r="J709" s="1">
        <v>815</v>
      </c>
      <c r="K709" s="1">
        <v>0</v>
      </c>
      <c r="L709" s="1">
        <v>14230</v>
      </c>
      <c r="M709" s="1">
        <v>13.688805</v>
      </c>
      <c r="N709" s="1">
        <v>101.85438000000001</v>
      </c>
      <c r="O709" s="1">
        <v>0.66</v>
      </c>
      <c r="P709" s="1">
        <v>7</v>
      </c>
      <c r="Q709" s="1">
        <v>8.0500000000000007</v>
      </c>
      <c r="R709" s="1">
        <v>0.53</v>
      </c>
      <c r="S709" s="1">
        <v>0.57999999999999996</v>
      </c>
      <c r="T709" s="1">
        <v>7.13</v>
      </c>
      <c r="U709" s="1">
        <v>56.110000999999997</v>
      </c>
      <c r="V709" s="1">
        <v>0</v>
      </c>
      <c r="W709" s="1">
        <v>0</v>
      </c>
      <c r="X709" s="1">
        <v>36896.786864000002</v>
      </c>
      <c r="Y709" s="1">
        <v>63856384.2148</v>
      </c>
      <c r="Z709" t="str">
        <f>VLOOKUP(G709,'Code Pro'!$A$2:$B$9,2,FALSE)</f>
        <v>จ.ปราจีนบุรี</v>
      </c>
      <c r="AA709" s="8">
        <f t="shared" si="100"/>
        <v>42145213.581767999</v>
      </c>
      <c r="AB709" s="8">
        <f t="shared" si="101"/>
        <v>446994689.5036</v>
      </c>
      <c r="AC709" s="8">
        <f t="shared" si="102"/>
        <v>514043892.92914003</v>
      </c>
      <c r="AD709" s="8">
        <f t="shared" si="103"/>
        <v>33843883.633844003</v>
      </c>
      <c r="AE709" s="8">
        <f t="shared" si="104"/>
        <v>37036702.844583996</v>
      </c>
      <c r="AF709" s="8">
        <f t="shared" si="105"/>
        <v>455296019.45152402</v>
      </c>
      <c r="AG709" s="8">
        <f t="shared" si="106"/>
        <v>3582981782.1488118</v>
      </c>
      <c r="AH709" s="8">
        <f t="shared" si="107"/>
        <v>0</v>
      </c>
      <c r="AI709" s="8">
        <f t="shared" si="108"/>
        <v>0</v>
      </c>
    </row>
    <row r="710" spans="1:35" x14ac:dyDescent="0.55000000000000004">
      <c r="A710" s="1">
        <v>708</v>
      </c>
      <c r="B710" s="1" t="s">
        <v>20</v>
      </c>
      <c r="C710" s="1">
        <v>50</v>
      </c>
      <c r="D710" s="1">
        <v>2</v>
      </c>
      <c r="E710" s="1" t="s">
        <v>117</v>
      </c>
      <c r="F710" s="1" t="s">
        <v>118</v>
      </c>
      <c r="G710" s="1">
        <v>25</v>
      </c>
      <c r="H710" s="1">
        <v>2</v>
      </c>
      <c r="I710" s="1">
        <v>25020000</v>
      </c>
      <c r="J710" s="1">
        <v>816</v>
      </c>
      <c r="K710" s="1">
        <v>0</v>
      </c>
      <c r="L710" s="1">
        <v>14467</v>
      </c>
      <c r="M710" s="1">
        <v>13.850304</v>
      </c>
      <c r="N710" s="1">
        <v>101.60496500000001</v>
      </c>
      <c r="O710" s="1">
        <v>5.68</v>
      </c>
      <c r="P710" s="1">
        <v>4.1900000000000004</v>
      </c>
      <c r="Q710" s="1">
        <v>0.28000000000000003</v>
      </c>
      <c r="R710" s="1">
        <v>6.68</v>
      </c>
      <c r="S710" s="1">
        <v>0.93</v>
      </c>
      <c r="T710" s="1">
        <v>0.47</v>
      </c>
      <c r="U710" s="1">
        <v>38.840000000000003</v>
      </c>
      <c r="V710" s="1">
        <v>16.219999000000001</v>
      </c>
      <c r="W710" s="1">
        <v>0</v>
      </c>
      <c r="X710" s="1">
        <v>24527.352262</v>
      </c>
      <c r="Y710" s="1">
        <v>25924937.2608</v>
      </c>
      <c r="Z710" t="str">
        <f>VLOOKUP(G710,'Code Pro'!$A$2:$B$9,2,FALSE)</f>
        <v>จ.ปราจีนบุรี</v>
      </c>
      <c r="AA710" s="8">
        <f t="shared" si="100"/>
        <v>147253643.64134398</v>
      </c>
      <c r="AB710" s="8">
        <f t="shared" si="101"/>
        <v>108625487.12275201</v>
      </c>
      <c r="AC710" s="8">
        <f t="shared" si="102"/>
        <v>7258982.4330240004</v>
      </c>
      <c r="AD710" s="8">
        <f t="shared" si="103"/>
        <v>173178580.90214399</v>
      </c>
      <c r="AE710" s="8">
        <f t="shared" si="104"/>
        <v>24110191.652544003</v>
      </c>
      <c r="AF710" s="8">
        <f t="shared" si="105"/>
        <v>12184720.512575999</v>
      </c>
      <c r="AG710" s="8">
        <f t="shared" si="106"/>
        <v>1006924563.2094721</v>
      </c>
      <c r="AH710" s="8">
        <f t="shared" si="107"/>
        <v>420502456.44523877</v>
      </c>
      <c r="AI710" s="8">
        <f t="shared" si="108"/>
        <v>0</v>
      </c>
    </row>
    <row r="711" spans="1:35" x14ac:dyDescent="0.55000000000000004">
      <c r="A711" s="1">
        <v>709</v>
      </c>
      <c r="B711" s="1" t="s">
        <v>20</v>
      </c>
      <c r="C711" s="1">
        <v>50</v>
      </c>
      <c r="D711" s="1">
        <v>2</v>
      </c>
      <c r="E711" s="1" t="s">
        <v>117</v>
      </c>
      <c r="F711" s="1" t="s">
        <v>118</v>
      </c>
      <c r="G711" s="1">
        <v>25</v>
      </c>
      <c r="H711" s="1">
        <v>2</v>
      </c>
      <c r="I711" s="1">
        <v>25020000</v>
      </c>
      <c r="J711" s="1">
        <v>910</v>
      </c>
      <c r="K711" s="1">
        <v>0</v>
      </c>
      <c r="L711" s="1">
        <v>14468</v>
      </c>
      <c r="M711" s="1">
        <v>13.850304</v>
      </c>
      <c r="N711" s="1">
        <v>101.68810000000001</v>
      </c>
      <c r="O711" s="1">
        <v>1.19</v>
      </c>
      <c r="P711" s="1">
        <v>10.76</v>
      </c>
      <c r="Q711" s="1">
        <v>0.01</v>
      </c>
      <c r="R711" s="1">
        <v>3.43</v>
      </c>
      <c r="S711" s="1">
        <v>1.01</v>
      </c>
      <c r="T711" s="1">
        <v>1.17</v>
      </c>
      <c r="U711" s="1">
        <v>26.16</v>
      </c>
      <c r="V711" s="1">
        <v>4.16</v>
      </c>
      <c r="W711" s="1">
        <v>0</v>
      </c>
      <c r="X711" s="1">
        <v>35859.185619000003</v>
      </c>
      <c r="Y711" s="1">
        <v>80366763.656499997</v>
      </c>
      <c r="Z711" t="str">
        <f>VLOOKUP(G711,'Code Pro'!$A$2:$B$9,2,FALSE)</f>
        <v>จ.ปราจีนบุรี</v>
      </c>
      <c r="AA711" s="8">
        <f t="shared" si="100"/>
        <v>95636448.751234993</v>
      </c>
      <c r="AB711" s="8">
        <f t="shared" si="101"/>
        <v>864746376.94393992</v>
      </c>
      <c r="AC711" s="8">
        <f t="shared" si="102"/>
        <v>803667.63656499994</v>
      </c>
      <c r="AD711" s="8">
        <f t="shared" si="103"/>
        <v>275657999.34179503</v>
      </c>
      <c r="AE711" s="8">
        <f t="shared" si="104"/>
        <v>81170431.293064997</v>
      </c>
      <c r="AF711" s="8">
        <f t="shared" si="105"/>
        <v>94029113.478104994</v>
      </c>
      <c r="AG711" s="8">
        <f t="shared" si="106"/>
        <v>2102394537.25404</v>
      </c>
      <c r="AH711" s="8">
        <f t="shared" si="107"/>
        <v>334325736.81103998</v>
      </c>
      <c r="AI711" s="8">
        <f t="shared" si="108"/>
        <v>0</v>
      </c>
    </row>
    <row r="712" spans="1:35" x14ac:dyDescent="0.55000000000000004">
      <c r="A712" s="1">
        <v>710</v>
      </c>
      <c r="B712" s="1" t="s">
        <v>20</v>
      </c>
      <c r="C712" s="1">
        <v>50</v>
      </c>
      <c r="D712" s="1">
        <v>2</v>
      </c>
      <c r="E712" s="1" t="s">
        <v>117</v>
      </c>
      <c r="F712" s="1" t="s">
        <v>118</v>
      </c>
      <c r="G712" s="1">
        <v>25</v>
      </c>
      <c r="H712" s="1">
        <v>2</v>
      </c>
      <c r="I712" s="1">
        <v>25020000</v>
      </c>
      <c r="J712" s="1">
        <v>911</v>
      </c>
      <c r="K712" s="1">
        <v>0</v>
      </c>
      <c r="L712" s="1">
        <v>14587</v>
      </c>
      <c r="M712" s="1">
        <v>13.931006999999999</v>
      </c>
      <c r="N712" s="1">
        <v>101.60496500000001</v>
      </c>
      <c r="O712" s="1">
        <v>0.01</v>
      </c>
      <c r="P712" s="1">
        <v>3.11</v>
      </c>
      <c r="Q712" s="1">
        <v>0.51</v>
      </c>
      <c r="R712" s="1">
        <v>9.07</v>
      </c>
      <c r="S712" s="1">
        <v>3.47</v>
      </c>
      <c r="T712" s="1">
        <v>7.43</v>
      </c>
      <c r="U712" s="1">
        <v>14.88</v>
      </c>
      <c r="V712" s="1">
        <v>0.38</v>
      </c>
      <c r="W712" s="1">
        <v>0</v>
      </c>
      <c r="X712" s="1">
        <v>28039.953734999999</v>
      </c>
      <c r="Y712" s="1">
        <v>36904369.049199998</v>
      </c>
      <c r="Z712" t="str">
        <f>VLOOKUP(G712,'Code Pro'!$A$2:$B$9,2,FALSE)</f>
        <v>จ.ปราจีนบุรี</v>
      </c>
      <c r="AA712" s="8">
        <f t="shared" si="100"/>
        <v>369043.69049199997</v>
      </c>
      <c r="AB712" s="8">
        <f t="shared" si="101"/>
        <v>114772587.743012</v>
      </c>
      <c r="AC712" s="8">
        <f t="shared" si="102"/>
        <v>18821228.215092</v>
      </c>
      <c r="AD712" s="8">
        <f t="shared" si="103"/>
        <v>334722627.27624398</v>
      </c>
      <c r="AE712" s="8">
        <f t="shared" si="104"/>
        <v>128058160.600724</v>
      </c>
      <c r="AF712" s="8">
        <f t="shared" si="105"/>
        <v>274199462.03555596</v>
      </c>
      <c r="AG712" s="8">
        <f t="shared" si="106"/>
        <v>549137011.45209599</v>
      </c>
      <c r="AH712" s="8">
        <f t="shared" si="107"/>
        <v>14023660.238696</v>
      </c>
      <c r="AI712" s="8">
        <f t="shared" si="108"/>
        <v>0</v>
      </c>
    </row>
    <row r="713" spans="1:35" x14ac:dyDescent="0.55000000000000004">
      <c r="A713" s="1">
        <v>711</v>
      </c>
      <c r="B713" s="1" t="s">
        <v>20</v>
      </c>
      <c r="C713" s="1">
        <v>50</v>
      </c>
      <c r="D713" s="1">
        <v>2</v>
      </c>
      <c r="E713" s="1" t="s">
        <v>117</v>
      </c>
      <c r="F713" s="1" t="s">
        <v>118</v>
      </c>
      <c r="G713" s="1">
        <v>25</v>
      </c>
      <c r="H713" s="1">
        <v>2</v>
      </c>
      <c r="I713" s="1">
        <v>25020000</v>
      </c>
      <c r="J713" s="1">
        <v>912</v>
      </c>
      <c r="K713" s="1">
        <v>0</v>
      </c>
      <c r="L713" s="1">
        <v>14707</v>
      </c>
      <c r="M713" s="1">
        <v>14.011680999999999</v>
      </c>
      <c r="N713" s="1">
        <v>101.60496500000001</v>
      </c>
      <c r="O713" s="1">
        <v>0.02</v>
      </c>
      <c r="P713" s="1">
        <v>0.54</v>
      </c>
      <c r="Q713" s="1">
        <v>0.16</v>
      </c>
      <c r="R713" s="1">
        <v>6.23</v>
      </c>
      <c r="S713" s="1">
        <v>5.04</v>
      </c>
      <c r="T713" s="1">
        <v>9.09</v>
      </c>
      <c r="U713" s="1">
        <v>3.49</v>
      </c>
      <c r="V713" s="1">
        <v>0</v>
      </c>
      <c r="W713" s="1">
        <v>0</v>
      </c>
      <c r="X713" s="1">
        <v>29744.527223000001</v>
      </c>
      <c r="Y713" s="1">
        <v>43317224.962499999</v>
      </c>
      <c r="Z713" t="str">
        <f>VLOOKUP(G713,'Code Pro'!$A$2:$B$9,2,FALSE)</f>
        <v>จ.ปราจีนบุรี</v>
      </c>
      <c r="AA713" s="8">
        <f t="shared" si="100"/>
        <v>866344.49924999999</v>
      </c>
      <c r="AB713" s="8">
        <f t="shared" si="101"/>
        <v>23391301.47975</v>
      </c>
      <c r="AC713" s="8">
        <f t="shared" si="102"/>
        <v>6930755.9939999999</v>
      </c>
      <c r="AD713" s="8">
        <f t="shared" si="103"/>
        <v>269866311.51637501</v>
      </c>
      <c r="AE713" s="8">
        <f t="shared" si="104"/>
        <v>218318813.81099999</v>
      </c>
      <c r="AF713" s="8">
        <f t="shared" si="105"/>
        <v>393753574.90912497</v>
      </c>
      <c r="AG713" s="8">
        <f t="shared" si="106"/>
        <v>151177115.11912501</v>
      </c>
      <c r="AH713" s="8">
        <f t="shared" si="107"/>
        <v>0</v>
      </c>
      <c r="AI713" s="8">
        <f t="shared" si="108"/>
        <v>0</v>
      </c>
    </row>
    <row r="714" spans="1:35" x14ac:dyDescent="0.55000000000000004">
      <c r="A714" s="1">
        <v>712</v>
      </c>
      <c r="B714" s="1" t="s">
        <v>20</v>
      </c>
      <c r="C714" s="1">
        <v>50</v>
      </c>
      <c r="D714" s="1">
        <v>2</v>
      </c>
      <c r="E714" s="1" t="s">
        <v>117</v>
      </c>
      <c r="F714" s="1" t="s">
        <v>118</v>
      </c>
      <c r="G714" s="1">
        <v>25</v>
      </c>
      <c r="H714" s="1">
        <v>2</v>
      </c>
      <c r="I714" s="1">
        <v>25020000</v>
      </c>
      <c r="J714" s="1">
        <v>913</v>
      </c>
      <c r="K714" s="1">
        <v>0</v>
      </c>
      <c r="L714" s="1">
        <v>14588</v>
      </c>
      <c r="M714" s="1">
        <v>13.931006999999999</v>
      </c>
      <c r="N714" s="1">
        <v>101.68810000000001</v>
      </c>
      <c r="O714" s="1">
        <v>0.08</v>
      </c>
      <c r="P714" s="1">
        <v>0.45</v>
      </c>
      <c r="Q714" s="1">
        <v>2.41</v>
      </c>
      <c r="R714" s="1">
        <v>0.92</v>
      </c>
      <c r="S714" s="1">
        <v>1.21</v>
      </c>
      <c r="T714" s="1">
        <v>3.27</v>
      </c>
      <c r="U714" s="1">
        <v>9.6999999999999993</v>
      </c>
      <c r="V714" s="1">
        <v>0.15</v>
      </c>
      <c r="W714" s="1">
        <v>0</v>
      </c>
      <c r="X714" s="1">
        <v>35846.299184000003</v>
      </c>
      <c r="Y714" s="1">
        <v>80309006.036799997</v>
      </c>
      <c r="Z714" t="str">
        <f>VLOOKUP(G714,'Code Pro'!$A$2:$B$9,2,FALSE)</f>
        <v>จ.ปราจีนบุรี</v>
      </c>
      <c r="AA714" s="8">
        <f t="shared" si="100"/>
        <v>6424720.4829439996</v>
      </c>
      <c r="AB714" s="8">
        <f t="shared" si="101"/>
        <v>36139052.716559999</v>
      </c>
      <c r="AC714" s="8">
        <f t="shared" si="102"/>
        <v>193544704.54868799</v>
      </c>
      <c r="AD714" s="8">
        <f t="shared" si="103"/>
        <v>73884285.553856</v>
      </c>
      <c r="AE714" s="8">
        <f t="shared" si="104"/>
        <v>97173897.304527998</v>
      </c>
      <c r="AF714" s="8">
        <f t="shared" si="105"/>
        <v>262610449.740336</v>
      </c>
      <c r="AG714" s="8">
        <f t="shared" si="106"/>
        <v>778997358.55695987</v>
      </c>
      <c r="AH714" s="8">
        <f t="shared" si="107"/>
        <v>12046350.90552</v>
      </c>
      <c r="AI714" s="8">
        <f t="shared" si="108"/>
        <v>0</v>
      </c>
    </row>
    <row r="715" spans="1:35" x14ac:dyDescent="0.55000000000000004">
      <c r="A715" s="1">
        <v>713</v>
      </c>
      <c r="B715" s="1" t="s">
        <v>20</v>
      </c>
      <c r="C715" s="1">
        <v>50</v>
      </c>
      <c r="D715" s="1">
        <v>2</v>
      </c>
      <c r="E715" s="1" t="s">
        <v>117</v>
      </c>
      <c r="F715" s="1" t="s">
        <v>118</v>
      </c>
      <c r="G715" s="1">
        <v>25</v>
      </c>
      <c r="H715" s="1">
        <v>2</v>
      </c>
      <c r="I715" s="1">
        <v>25020000</v>
      </c>
      <c r="J715" s="1">
        <v>914</v>
      </c>
      <c r="K715" s="1">
        <v>0</v>
      </c>
      <c r="L715" s="1">
        <v>14469</v>
      </c>
      <c r="M715" s="1">
        <v>13.850304</v>
      </c>
      <c r="N715" s="1">
        <v>101.77124000000001</v>
      </c>
      <c r="O715" s="1">
        <v>4.99</v>
      </c>
      <c r="P715" s="1">
        <v>0.19</v>
      </c>
      <c r="Q715" s="1">
        <v>0.01</v>
      </c>
      <c r="R715" s="1">
        <v>0.39</v>
      </c>
      <c r="S715" s="1">
        <v>0.79</v>
      </c>
      <c r="T715" s="1">
        <v>6.16</v>
      </c>
      <c r="U715" s="1">
        <v>9.27</v>
      </c>
      <c r="V715" s="1">
        <v>0.73</v>
      </c>
      <c r="W715" s="1">
        <v>0</v>
      </c>
      <c r="X715" s="1">
        <v>35862.079843</v>
      </c>
      <c r="Y715" s="1">
        <v>80379729.421100006</v>
      </c>
      <c r="Z715" t="str">
        <f>VLOOKUP(G715,'Code Pro'!$A$2:$B$9,2,FALSE)</f>
        <v>จ.ปราจีนบุรี</v>
      </c>
      <c r="AA715" s="8">
        <f t="shared" si="100"/>
        <v>401094849.81128907</v>
      </c>
      <c r="AB715" s="8">
        <f t="shared" si="101"/>
        <v>15272148.590009002</v>
      </c>
      <c r="AC715" s="8">
        <f t="shared" si="102"/>
        <v>803797.29421100009</v>
      </c>
      <c r="AD715" s="8">
        <f t="shared" si="103"/>
        <v>31348094.474229004</v>
      </c>
      <c r="AE715" s="8">
        <f t="shared" si="104"/>
        <v>63499986.242669009</v>
      </c>
      <c r="AF715" s="8">
        <f t="shared" si="105"/>
        <v>495139133.23397607</v>
      </c>
      <c r="AG715" s="8">
        <f t="shared" si="106"/>
        <v>745120091.73359704</v>
      </c>
      <c r="AH715" s="8">
        <f t="shared" si="107"/>
        <v>58677202.477403</v>
      </c>
      <c r="AI715" s="8">
        <f t="shared" si="108"/>
        <v>0</v>
      </c>
    </row>
    <row r="716" spans="1:35" x14ac:dyDescent="0.55000000000000004">
      <c r="A716" s="1">
        <v>714</v>
      </c>
      <c r="B716" s="1" t="s">
        <v>20</v>
      </c>
      <c r="C716" s="1">
        <v>50</v>
      </c>
      <c r="D716" s="1">
        <v>2</v>
      </c>
      <c r="E716" s="1" t="s">
        <v>117</v>
      </c>
      <c r="F716" s="1" t="s">
        <v>118</v>
      </c>
      <c r="G716" s="1">
        <v>25</v>
      </c>
      <c r="H716" s="1">
        <v>2</v>
      </c>
      <c r="I716" s="1">
        <v>25020000</v>
      </c>
      <c r="J716" s="1">
        <v>915</v>
      </c>
      <c r="K716" s="1">
        <v>0</v>
      </c>
      <c r="L716" s="1">
        <v>14709</v>
      </c>
      <c r="M716" s="1">
        <v>14.011680999999999</v>
      </c>
      <c r="N716" s="1">
        <v>101.77124000000001</v>
      </c>
      <c r="O716" s="1">
        <v>0.04</v>
      </c>
      <c r="P716" s="1">
        <v>0.03</v>
      </c>
      <c r="Q716" s="1">
        <v>0.04</v>
      </c>
      <c r="R716" s="1">
        <v>0.47</v>
      </c>
      <c r="S716" s="1">
        <v>1.84</v>
      </c>
      <c r="T716" s="1">
        <v>16.829999999999998</v>
      </c>
      <c r="U716" s="1">
        <v>3.17</v>
      </c>
      <c r="V716" s="1">
        <v>0.01</v>
      </c>
      <c r="W716" s="1">
        <v>0</v>
      </c>
      <c r="X716" s="1">
        <v>40718.238504000001</v>
      </c>
      <c r="Y716" s="1">
        <v>76395588.069399998</v>
      </c>
      <c r="Z716" t="str">
        <f>VLOOKUP(G716,'Code Pro'!$A$2:$B$9,2,FALSE)</f>
        <v>จ.ปราจีนบุรี</v>
      </c>
      <c r="AA716" s="8">
        <f t="shared" si="100"/>
        <v>3055823.5227759997</v>
      </c>
      <c r="AB716" s="8">
        <f t="shared" si="101"/>
        <v>2291867.6420819997</v>
      </c>
      <c r="AC716" s="8">
        <f t="shared" si="102"/>
        <v>3055823.5227759997</v>
      </c>
      <c r="AD716" s="8">
        <f t="shared" si="103"/>
        <v>35905926.392618001</v>
      </c>
      <c r="AE716" s="8">
        <f t="shared" si="104"/>
        <v>140567882.04769599</v>
      </c>
      <c r="AF716" s="8">
        <f t="shared" si="105"/>
        <v>1285737747.2080019</v>
      </c>
      <c r="AG716" s="8">
        <f t="shared" si="106"/>
        <v>242174014.17999798</v>
      </c>
      <c r="AH716" s="8">
        <f t="shared" si="107"/>
        <v>763955.88069399993</v>
      </c>
      <c r="AI716" s="8">
        <f t="shared" si="108"/>
        <v>0</v>
      </c>
    </row>
    <row r="717" spans="1:35" x14ac:dyDescent="0.55000000000000004">
      <c r="A717" s="1">
        <v>715</v>
      </c>
      <c r="B717" s="1" t="s">
        <v>20</v>
      </c>
      <c r="C717" s="1">
        <v>50</v>
      </c>
      <c r="D717" s="1">
        <v>2</v>
      </c>
      <c r="E717" s="1" t="s">
        <v>117</v>
      </c>
      <c r="F717" s="1" t="s">
        <v>118</v>
      </c>
      <c r="G717" s="1">
        <v>25</v>
      </c>
      <c r="H717" s="1">
        <v>2</v>
      </c>
      <c r="I717" s="1">
        <v>25020000</v>
      </c>
      <c r="J717" s="1">
        <v>916</v>
      </c>
      <c r="K717" s="1">
        <v>0</v>
      </c>
      <c r="L717" s="1">
        <v>14708</v>
      </c>
      <c r="M717" s="1">
        <v>14.011680999999999</v>
      </c>
      <c r="N717" s="1">
        <v>101.68810000000001</v>
      </c>
      <c r="O717" s="1">
        <v>0.02</v>
      </c>
      <c r="P717" s="1">
        <v>0.79</v>
      </c>
      <c r="Q717" s="1">
        <v>0</v>
      </c>
      <c r="R717" s="1">
        <v>1.17</v>
      </c>
      <c r="S717" s="1">
        <v>9.0299999999999994</v>
      </c>
      <c r="T717" s="1">
        <v>13.22</v>
      </c>
      <c r="U717" s="1">
        <v>6.3</v>
      </c>
      <c r="V717" s="1">
        <v>0</v>
      </c>
      <c r="W717" s="1">
        <v>0</v>
      </c>
      <c r="X717" s="1">
        <v>35834.265549000003</v>
      </c>
      <c r="Y717" s="1">
        <v>80255102.163200006</v>
      </c>
      <c r="Z717" t="str">
        <f>VLOOKUP(G717,'Code Pro'!$A$2:$B$9,2,FALSE)</f>
        <v>จ.ปราจีนบุรี</v>
      </c>
      <c r="AA717" s="8">
        <f t="shared" si="100"/>
        <v>1605102.0432640002</v>
      </c>
      <c r="AB717" s="8">
        <f t="shared" si="101"/>
        <v>63401530.708928004</v>
      </c>
      <c r="AC717" s="8">
        <f t="shared" si="102"/>
        <v>0</v>
      </c>
      <c r="AD717" s="8">
        <f t="shared" si="103"/>
        <v>93898469.530944005</v>
      </c>
      <c r="AE717" s="8">
        <f t="shared" si="104"/>
        <v>724703572.53369606</v>
      </c>
      <c r="AF717" s="8">
        <f t="shared" si="105"/>
        <v>1060972450.5975041</v>
      </c>
      <c r="AG717" s="8">
        <f t="shared" si="106"/>
        <v>505607143.62816</v>
      </c>
      <c r="AH717" s="8">
        <f t="shared" si="107"/>
        <v>0</v>
      </c>
      <c r="AI717" s="8">
        <f t="shared" si="108"/>
        <v>0</v>
      </c>
    </row>
    <row r="718" spans="1:35" x14ac:dyDescent="0.55000000000000004">
      <c r="A718" s="1">
        <v>716</v>
      </c>
      <c r="B718" s="1" t="s">
        <v>20</v>
      </c>
      <c r="C718" s="1">
        <v>50</v>
      </c>
      <c r="D718" s="1">
        <v>2</v>
      </c>
      <c r="E718" s="1" t="s">
        <v>117</v>
      </c>
      <c r="F718" s="1" t="s">
        <v>118</v>
      </c>
      <c r="G718" s="1">
        <v>25</v>
      </c>
      <c r="H718" s="1">
        <v>2</v>
      </c>
      <c r="I718" s="1">
        <v>25020000</v>
      </c>
      <c r="J718" s="1">
        <v>917</v>
      </c>
      <c r="K718" s="1">
        <v>0</v>
      </c>
      <c r="L718" s="1">
        <v>14589</v>
      </c>
      <c r="M718" s="1">
        <v>13.931006999999999</v>
      </c>
      <c r="N718" s="1">
        <v>101.77124000000001</v>
      </c>
      <c r="O718" s="1">
        <v>0.7</v>
      </c>
      <c r="P718" s="1">
        <v>0.04</v>
      </c>
      <c r="Q718" s="1">
        <v>0.21</v>
      </c>
      <c r="R718" s="1">
        <v>0.05</v>
      </c>
      <c r="S718" s="1">
        <v>2.5299999999999998</v>
      </c>
      <c r="T718" s="1">
        <v>5.8</v>
      </c>
      <c r="U718" s="1">
        <v>0.53</v>
      </c>
      <c r="V718" s="1">
        <v>0.73</v>
      </c>
      <c r="W718" s="1">
        <v>0</v>
      </c>
      <c r="X718" s="1">
        <v>35849.190721999999</v>
      </c>
      <c r="Y718" s="1">
        <v>80321955.078700006</v>
      </c>
      <c r="Z718" t="str">
        <f>VLOOKUP(G718,'Code Pro'!$A$2:$B$9,2,FALSE)</f>
        <v>จ.ปราจีนบุรี</v>
      </c>
      <c r="AA718" s="8">
        <f t="shared" si="100"/>
        <v>56225368.555090003</v>
      </c>
      <c r="AB718" s="8">
        <f t="shared" si="101"/>
        <v>3212878.2031480004</v>
      </c>
      <c r="AC718" s="8">
        <f t="shared" si="102"/>
        <v>16867610.566527002</v>
      </c>
      <c r="AD718" s="8">
        <f t="shared" si="103"/>
        <v>4016097.7539350004</v>
      </c>
      <c r="AE718" s="8">
        <f t="shared" si="104"/>
        <v>203214546.34911099</v>
      </c>
      <c r="AF718" s="8">
        <f t="shared" si="105"/>
        <v>465867339.45646</v>
      </c>
      <c r="AG718" s="8">
        <f t="shared" si="106"/>
        <v>42570636.191711009</v>
      </c>
      <c r="AH718" s="8">
        <f t="shared" si="107"/>
        <v>58635027.207451001</v>
      </c>
      <c r="AI718" s="8">
        <f t="shared" si="108"/>
        <v>0</v>
      </c>
    </row>
    <row r="719" spans="1:35" x14ac:dyDescent="0.55000000000000004">
      <c r="A719" s="1">
        <v>717</v>
      </c>
      <c r="B719" s="1" t="s">
        <v>20</v>
      </c>
      <c r="C719" s="1">
        <v>50</v>
      </c>
      <c r="D719" s="1">
        <v>2</v>
      </c>
      <c r="E719" s="1" t="s">
        <v>117</v>
      </c>
      <c r="F719" s="1" t="s">
        <v>118</v>
      </c>
      <c r="G719" s="1">
        <v>25</v>
      </c>
      <c r="H719" s="1">
        <v>2</v>
      </c>
      <c r="I719" s="1">
        <v>25020000</v>
      </c>
      <c r="J719" s="1">
        <v>918</v>
      </c>
      <c r="K719" s="1">
        <v>0</v>
      </c>
      <c r="L719" s="1">
        <v>14470</v>
      </c>
      <c r="M719" s="1">
        <v>13.850304</v>
      </c>
      <c r="N719" s="1">
        <v>101.85438000000001</v>
      </c>
      <c r="O719" s="1">
        <v>12.66</v>
      </c>
      <c r="P719" s="1">
        <v>0.01</v>
      </c>
      <c r="Q719" s="1">
        <v>0.01</v>
      </c>
      <c r="R719" s="1">
        <v>0.01</v>
      </c>
      <c r="S719" s="1">
        <v>0.14000000000000001</v>
      </c>
      <c r="T719" s="1">
        <v>3.29</v>
      </c>
      <c r="U719" s="1">
        <v>8.06</v>
      </c>
      <c r="V719" s="1">
        <v>0.16</v>
      </c>
      <c r="W719" s="1">
        <v>0</v>
      </c>
      <c r="X719" s="1">
        <v>35863.423220999997</v>
      </c>
      <c r="Y719" s="1">
        <v>80385766.855599999</v>
      </c>
      <c r="Z719" t="str">
        <f>VLOOKUP(G719,'Code Pro'!$A$2:$B$9,2,FALSE)</f>
        <v>จ.ปราจีนบุรี</v>
      </c>
      <c r="AA719" s="8">
        <f t="shared" si="100"/>
        <v>1017683808.391896</v>
      </c>
      <c r="AB719" s="8">
        <f t="shared" si="101"/>
        <v>803857.66855599999</v>
      </c>
      <c r="AC719" s="8">
        <f t="shared" si="102"/>
        <v>803857.66855599999</v>
      </c>
      <c r="AD719" s="8">
        <f t="shared" si="103"/>
        <v>803857.66855599999</v>
      </c>
      <c r="AE719" s="8">
        <f t="shared" si="104"/>
        <v>11254007.359784001</v>
      </c>
      <c r="AF719" s="8">
        <f t="shared" si="105"/>
        <v>264469172.95492399</v>
      </c>
      <c r="AG719" s="8">
        <f t="shared" si="106"/>
        <v>647909280.85613608</v>
      </c>
      <c r="AH719" s="8">
        <f t="shared" si="107"/>
        <v>12861722.696896</v>
      </c>
      <c r="AI719" s="8">
        <f t="shared" si="108"/>
        <v>0</v>
      </c>
    </row>
    <row r="720" spans="1:35" x14ac:dyDescent="0.55000000000000004">
      <c r="A720" s="1">
        <v>718</v>
      </c>
      <c r="B720" s="1" t="s">
        <v>20</v>
      </c>
      <c r="C720" s="1">
        <v>50</v>
      </c>
      <c r="D720" s="1">
        <v>2</v>
      </c>
      <c r="E720" s="1" t="s">
        <v>117</v>
      </c>
      <c r="F720" s="1" t="s">
        <v>118</v>
      </c>
      <c r="G720" s="1">
        <v>25</v>
      </c>
      <c r="H720" s="1">
        <v>2</v>
      </c>
      <c r="I720" s="1">
        <v>25020000</v>
      </c>
      <c r="J720" s="1">
        <v>919</v>
      </c>
      <c r="K720" s="1">
        <v>0</v>
      </c>
      <c r="L720" s="1">
        <v>14827</v>
      </c>
      <c r="M720" s="1">
        <v>14.092331</v>
      </c>
      <c r="N720" s="1">
        <v>101.60496500000001</v>
      </c>
      <c r="O720" s="1">
        <v>1.49</v>
      </c>
      <c r="P720" s="1">
        <v>7.0000000000000007E-2</v>
      </c>
      <c r="Q720" s="1">
        <v>7.0000000000000007E-2</v>
      </c>
      <c r="R720" s="1">
        <v>0.41</v>
      </c>
      <c r="S720" s="1">
        <v>104.82</v>
      </c>
      <c r="T720" s="1">
        <v>6.55</v>
      </c>
      <c r="U720" s="1">
        <v>3.94</v>
      </c>
      <c r="V720" s="1">
        <v>0</v>
      </c>
      <c r="W720" s="1">
        <v>0</v>
      </c>
      <c r="X720" s="1">
        <v>14366.78124</v>
      </c>
      <c r="Y720" s="1">
        <v>6979919.3205599999</v>
      </c>
      <c r="Z720" t="str">
        <f>VLOOKUP(G720,'Code Pro'!$A$2:$B$9,2,FALSE)</f>
        <v>จ.ปราจีนบุรี</v>
      </c>
      <c r="AA720" s="8">
        <f t="shared" si="100"/>
        <v>10400079.787634401</v>
      </c>
      <c r="AB720" s="8">
        <f t="shared" si="101"/>
        <v>488594.35243920004</v>
      </c>
      <c r="AC720" s="8">
        <f t="shared" si="102"/>
        <v>488594.35243920004</v>
      </c>
      <c r="AD720" s="8">
        <f t="shared" si="103"/>
        <v>2861766.9214295996</v>
      </c>
      <c r="AE720" s="8">
        <f t="shared" si="104"/>
        <v>731635143.18109918</v>
      </c>
      <c r="AF720" s="8">
        <f t="shared" si="105"/>
        <v>45718471.549667999</v>
      </c>
      <c r="AG720" s="8">
        <f t="shared" si="106"/>
        <v>27500882.1230064</v>
      </c>
      <c r="AH720" s="8">
        <f t="shared" si="107"/>
        <v>0</v>
      </c>
      <c r="AI720" s="8">
        <f t="shared" si="108"/>
        <v>0</v>
      </c>
    </row>
    <row r="721" spans="1:35" x14ac:dyDescent="0.55000000000000004">
      <c r="A721" s="1">
        <v>719</v>
      </c>
      <c r="B721" s="1" t="s">
        <v>20</v>
      </c>
      <c r="C721" s="1">
        <v>50</v>
      </c>
      <c r="D721" s="1">
        <v>2</v>
      </c>
      <c r="E721" s="1" t="s">
        <v>117</v>
      </c>
      <c r="F721" s="1" t="s">
        <v>118</v>
      </c>
      <c r="G721" s="1">
        <v>25</v>
      </c>
      <c r="H721" s="1">
        <v>2</v>
      </c>
      <c r="I721" s="1">
        <v>25020000</v>
      </c>
      <c r="J721" s="1">
        <v>925</v>
      </c>
      <c r="K721" s="1">
        <v>0</v>
      </c>
      <c r="L721" s="1">
        <v>14590</v>
      </c>
      <c r="M721" s="1">
        <v>13.931006999999999</v>
      </c>
      <c r="N721" s="1">
        <v>101.85438000000001</v>
      </c>
      <c r="O721" s="1">
        <v>0.17</v>
      </c>
      <c r="P721" s="1">
        <v>0</v>
      </c>
      <c r="Q721" s="1">
        <v>0.11</v>
      </c>
      <c r="R721" s="1">
        <v>0.01</v>
      </c>
      <c r="S721" s="1">
        <v>0.04</v>
      </c>
      <c r="T721" s="1">
        <v>4.84</v>
      </c>
      <c r="U721" s="1">
        <v>2.0299999999999998</v>
      </c>
      <c r="V721" s="1">
        <v>6.84</v>
      </c>
      <c r="W721" s="1">
        <v>0</v>
      </c>
      <c r="X721" s="1">
        <v>35850.531901000002</v>
      </c>
      <c r="Y721" s="1">
        <v>80327980.541899994</v>
      </c>
      <c r="Z721" t="str">
        <f>VLOOKUP(G721,'Code Pro'!$A$2:$B$9,2,FALSE)</f>
        <v>จ.ปราจีนบุรี</v>
      </c>
      <c r="AA721" s="8">
        <f t="shared" si="100"/>
        <v>13655756.692123</v>
      </c>
      <c r="AB721" s="8">
        <f t="shared" si="101"/>
        <v>0</v>
      </c>
      <c r="AC721" s="8">
        <f t="shared" si="102"/>
        <v>8836077.8596089985</v>
      </c>
      <c r="AD721" s="8">
        <f t="shared" si="103"/>
        <v>803279.80541899998</v>
      </c>
      <c r="AE721" s="8">
        <f t="shared" si="104"/>
        <v>3213119.2216759999</v>
      </c>
      <c r="AF721" s="8">
        <f t="shared" si="105"/>
        <v>388787425.82279599</v>
      </c>
      <c r="AG721" s="8">
        <f t="shared" si="106"/>
        <v>163065800.50005698</v>
      </c>
      <c r="AH721" s="8">
        <f t="shared" si="107"/>
        <v>549443386.90659595</v>
      </c>
      <c r="AI721" s="8">
        <f t="shared" si="108"/>
        <v>0</v>
      </c>
    </row>
    <row r="722" spans="1:35" x14ac:dyDescent="0.55000000000000004">
      <c r="A722" s="1">
        <v>720</v>
      </c>
      <c r="B722" s="1" t="s">
        <v>20</v>
      </c>
      <c r="C722" s="1">
        <v>50</v>
      </c>
      <c r="D722" s="1">
        <v>2</v>
      </c>
      <c r="E722" s="1" t="s">
        <v>117</v>
      </c>
      <c r="F722" s="1" t="s">
        <v>118</v>
      </c>
      <c r="G722" s="1">
        <v>25</v>
      </c>
      <c r="H722" s="1">
        <v>2</v>
      </c>
      <c r="I722" s="1">
        <v>25020000</v>
      </c>
      <c r="J722" s="1">
        <v>926</v>
      </c>
      <c r="K722" s="1">
        <v>0</v>
      </c>
      <c r="L722" s="1">
        <v>14829</v>
      </c>
      <c r="M722" s="1">
        <v>14.092331</v>
      </c>
      <c r="N722" s="1">
        <v>101.77124000000001</v>
      </c>
      <c r="O722" s="1">
        <v>0</v>
      </c>
      <c r="P722" s="1">
        <v>0.09</v>
      </c>
      <c r="Q722" s="1">
        <v>0.06</v>
      </c>
      <c r="R722" s="1">
        <v>0.05</v>
      </c>
      <c r="S722" s="1">
        <v>0.92</v>
      </c>
      <c r="T722" s="1">
        <v>26.950001</v>
      </c>
      <c r="U722" s="1">
        <v>2.77</v>
      </c>
      <c r="V722" s="1">
        <v>0</v>
      </c>
      <c r="W722" s="1">
        <v>0</v>
      </c>
      <c r="X722" s="1">
        <v>29944.621414000001</v>
      </c>
      <c r="Y722" s="1">
        <v>16130319.929</v>
      </c>
      <c r="Z722" t="str">
        <f>VLOOKUP(G722,'Code Pro'!$A$2:$B$9,2,FALSE)</f>
        <v>จ.ปราจีนบุรี</v>
      </c>
      <c r="AA722" s="8">
        <f t="shared" si="100"/>
        <v>0</v>
      </c>
      <c r="AB722" s="8">
        <f t="shared" si="101"/>
        <v>1451728.7936099998</v>
      </c>
      <c r="AC722" s="8">
        <f t="shared" si="102"/>
        <v>967819.19573999988</v>
      </c>
      <c r="AD722" s="8">
        <f t="shared" si="103"/>
        <v>806515.99644999998</v>
      </c>
      <c r="AE722" s="8">
        <f t="shared" si="104"/>
        <v>14839894.33468</v>
      </c>
      <c r="AF722" s="8">
        <f t="shared" si="105"/>
        <v>434712138.21686995</v>
      </c>
      <c r="AG722" s="8">
        <f t="shared" si="106"/>
        <v>44680986.203330003</v>
      </c>
      <c r="AH722" s="8">
        <f t="shared" si="107"/>
        <v>0</v>
      </c>
      <c r="AI722" s="8">
        <f t="shared" si="108"/>
        <v>0</v>
      </c>
    </row>
    <row r="723" spans="1:35" x14ac:dyDescent="0.55000000000000004">
      <c r="A723" s="1">
        <v>721</v>
      </c>
      <c r="B723" s="1" t="s">
        <v>20</v>
      </c>
      <c r="C723" s="1">
        <v>50</v>
      </c>
      <c r="D723" s="1">
        <v>2</v>
      </c>
      <c r="E723" s="1" t="s">
        <v>117</v>
      </c>
      <c r="F723" s="1" t="s">
        <v>118</v>
      </c>
      <c r="G723" s="1">
        <v>25</v>
      </c>
      <c r="H723" s="1">
        <v>2</v>
      </c>
      <c r="I723" s="1">
        <v>25020000</v>
      </c>
      <c r="J723" s="1">
        <v>927</v>
      </c>
      <c r="K723" s="1">
        <v>0</v>
      </c>
      <c r="L723" s="1">
        <v>14828</v>
      </c>
      <c r="M723" s="1">
        <v>14.092331</v>
      </c>
      <c r="N723" s="1">
        <v>101.68810000000001</v>
      </c>
      <c r="O723" s="1">
        <v>0.02</v>
      </c>
      <c r="P723" s="1">
        <v>0.25</v>
      </c>
      <c r="Q723" s="1">
        <v>0.08</v>
      </c>
      <c r="R723" s="1">
        <v>0.51</v>
      </c>
      <c r="S723" s="1">
        <v>4.7699999999999996</v>
      </c>
      <c r="T723" s="1">
        <v>10.1</v>
      </c>
      <c r="U723" s="1">
        <v>2.5099999999999998</v>
      </c>
      <c r="V723" s="1">
        <v>0</v>
      </c>
      <c r="W723" s="1">
        <v>0</v>
      </c>
      <c r="X723" s="1">
        <v>30669.966649999998</v>
      </c>
      <c r="Y723" s="1">
        <v>47187475.762400001</v>
      </c>
      <c r="Z723" t="str">
        <f>VLOOKUP(G723,'Code Pro'!$A$2:$B$9,2,FALSE)</f>
        <v>จ.ปราจีนบุรี</v>
      </c>
      <c r="AA723" s="8">
        <f t="shared" si="100"/>
        <v>943749.51524800004</v>
      </c>
      <c r="AB723" s="8">
        <f t="shared" si="101"/>
        <v>11796868.9406</v>
      </c>
      <c r="AC723" s="8">
        <f t="shared" si="102"/>
        <v>3774998.0609920002</v>
      </c>
      <c r="AD723" s="8">
        <f t="shared" si="103"/>
        <v>24065612.638824001</v>
      </c>
      <c r="AE723" s="8">
        <f t="shared" si="104"/>
        <v>225084259.386648</v>
      </c>
      <c r="AF723" s="8">
        <f t="shared" si="105"/>
        <v>476593505.20024002</v>
      </c>
      <c r="AG723" s="8">
        <f t="shared" si="106"/>
        <v>118440564.16362399</v>
      </c>
      <c r="AH723" s="8">
        <f t="shared" si="107"/>
        <v>0</v>
      </c>
      <c r="AI723" s="8">
        <f t="shared" si="108"/>
        <v>0</v>
      </c>
    </row>
    <row r="724" spans="1:35" x14ac:dyDescent="0.55000000000000004">
      <c r="A724" s="1">
        <v>722</v>
      </c>
      <c r="B724" s="1" t="s">
        <v>20</v>
      </c>
      <c r="C724" s="1">
        <v>50</v>
      </c>
      <c r="D724" s="1">
        <v>2</v>
      </c>
      <c r="E724" s="1" t="s">
        <v>117</v>
      </c>
      <c r="F724" s="1" t="s">
        <v>118</v>
      </c>
      <c r="G724" s="1">
        <v>25</v>
      </c>
      <c r="H724" s="1">
        <v>2</v>
      </c>
      <c r="I724" s="1">
        <v>25020000</v>
      </c>
      <c r="J724" s="1">
        <v>1014</v>
      </c>
      <c r="K724" s="1">
        <v>0</v>
      </c>
      <c r="L724" s="1">
        <v>14111</v>
      </c>
      <c r="M724" s="1">
        <v>13.608017</v>
      </c>
      <c r="N724" s="1">
        <v>101.93751</v>
      </c>
      <c r="O724" s="1">
        <v>0.09</v>
      </c>
      <c r="P724" s="1">
        <v>8.0399999999999991</v>
      </c>
      <c r="Q724" s="1">
        <v>0.25</v>
      </c>
      <c r="R724" s="1">
        <v>7.0000000000000007E-2</v>
      </c>
      <c r="S724" s="1">
        <v>0.28000000000000003</v>
      </c>
      <c r="T724" s="1">
        <v>7.13</v>
      </c>
      <c r="U724" s="1">
        <v>39.360000999999997</v>
      </c>
      <c r="V724" s="1">
        <v>0.01</v>
      </c>
      <c r="W724" s="1">
        <v>0</v>
      </c>
      <c r="X724" s="1">
        <v>24971.309039</v>
      </c>
      <c r="Y724" s="1">
        <v>24324772.3596</v>
      </c>
      <c r="Z724" t="str">
        <f>VLOOKUP(G724,'Code Pro'!$A$2:$B$9,2,FALSE)</f>
        <v>จ.ปราจีนบุรี</v>
      </c>
      <c r="AA724" s="8">
        <f t="shared" si="100"/>
        <v>2189229.5123640001</v>
      </c>
      <c r="AB724" s="8">
        <f t="shared" si="101"/>
        <v>195571169.77118397</v>
      </c>
      <c r="AC724" s="8">
        <f t="shared" si="102"/>
        <v>6081193.0899</v>
      </c>
      <c r="AD724" s="8">
        <f t="shared" si="103"/>
        <v>1702734.0651720001</v>
      </c>
      <c r="AE724" s="8">
        <f t="shared" si="104"/>
        <v>6810936.2606880004</v>
      </c>
      <c r="AF724" s="8">
        <f t="shared" si="105"/>
        <v>173435626.92394799</v>
      </c>
      <c r="AG724" s="8">
        <f t="shared" si="106"/>
        <v>957423064.39862823</v>
      </c>
      <c r="AH724" s="8">
        <f t="shared" si="107"/>
        <v>243247.723596</v>
      </c>
      <c r="AI724" s="8">
        <f t="shared" si="108"/>
        <v>0</v>
      </c>
    </row>
    <row r="725" spans="1:35" x14ac:dyDescent="0.55000000000000004">
      <c r="A725" s="1">
        <v>723</v>
      </c>
      <c r="B725" s="1" t="s">
        <v>20</v>
      </c>
      <c r="C725" s="1">
        <v>50</v>
      </c>
      <c r="D725" s="1">
        <v>2</v>
      </c>
      <c r="E725" s="1" t="s">
        <v>117</v>
      </c>
      <c r="F725" s="1" t="s">
        <v>118</v>
      </c>
      <c r="G725" s="1">
        <v>25</v>
      </c>
      <c r="H725" s="1">
        <v>2</v>
      </c>
      <c r="I725" s="1">
        <v>25020000</v>
      </c>
      <c r="J725" s="1">
        <v>1023</v>
      </c>
      <c r="K725" s="1">
        <v>0</v>
      </c>
      <c r="L725" s="1">
        <v>14231</v>
      </c>
      <c r="M725" s="1">
        <v>13.688805</v>
      </c>
      <c r="N725" s="1">
        <v>101.93751</v>
      </c>
      <c r="O725" s="1">
        <v>0.18</v>
      </c>
      <c r="P725" s="1">
        <v>26.549999</v>
      </c>
      <c r="Q725" s="1">
        <v>1.17</v>
      </c>
      <c r="R725" s="1">
        <v>6.13</v>
      </c>
      <c r="S725" s="1">
        <v>0.02</v>
      </c>
      <c r="T725" s="1">
        <v>36.470001000000003</v>
      </c>
      <c r="U725" s="1">
        <v>22.959999</v>
      </c>
      <c r="V725" s="1">
        <v>0</v>
      </c>
      <c r="W725" s="1">
        <v>0</v>
      </c>
      <c r="X725" s="1">
        <v>28458.002419</v>
      </c>
      <c r="Y725" s="1">
        <v>45759282.502300002</v>
      </c>
      <c r="Z725" t="str">
        <f>VLOOKUP(G725,'Code Pro'!$A$2:$B$9,2,FALSE)</f>
        <v>จ.ปราจีนบุรี</v>
      </c>
      <c r="AA725" s="8">
        <f t="shared" si="100"/>
        <v>8236670.8504140005</v>
      </c>
      <c r="AB725" s="8">
        <f t="shared" si="101"/>
        <v>1214908904.6767826</v>
      </c>
      <c r="AC725" s="8">
        <f t="shared" si="102"/>
        <v>53538360.527690999</v>
      </c>
      <c r="AD725" s="8">
        <f t="shared" si="103"/>
        <v>280504401.73909903</v>
      </c>
      <c r="AE725" s="8">
        <f t="shared" si="104"/>
        <v>915185.65004600002</v>
      </c>
      <c r="AF725" s="8">
        <f t="shared" si="105"/>
        <v>1668841078.6181638</v>
      </c>
      <c r="AG725" s="8">
        <f t="shared" si="106"/>
        <v>1050633080.4935255</v>
      </c>
      <c r="AH725" s="8">
        <f t="shared" si="107"/>
        <v>0</v>
      </c>
      <c r="AI725" s="8">
        <f t="shared" si="108"/>
        <v>0</v>
      </c>
    </row>
    <row r="726" spans="1:35" x14ac:dyDescent="0.55000000000000004">
      <c r="A726" s="1">
        <v>724</v>
      </c>
      <c r="B726" s="1" t="s">
        <v>20</v>
      </c>
      <c r="C726" s="1">
        <v>50</v>
      </c>
      <c r="D726" s="1">
        <v>2</v>
      </c>
      <c r="E726" s="1" t="s">
        <v>117</v>
      </c>
      <c r="F726" s="1" t="s">
        <v>118</v>
      </c>
      <c r="G726" s="1">
        <v>25</v>
      </c>
      <c r="H726" s="1">
        <v>2</v>
      </c>
      <c r="I726" s="1">
        <v>25020000</v>
      </c>
      <c r="J726" s="1">
        <v>1025</v>
      </c>
      <c r="K726" s="1">
        <v>0</v>
      </c>
      <c r="L726" s="1">
        <v>14471</v>
      </c>
      <c r="M726" s="1">
        <v>13.850304</v>
      </c>
      <c r="N726" s="1">
        <v>101.93751</v>
      </c>
      <c r="O726" s="1">
        <v>0.28999999999999998</v>
      </c>
      <c r="P726" s="1">
        <v>0.01</v>
      </c>
      <c r="Q726" s="1">
        <v>0.02</v>
      </c>
      <c r="R726" s="1">
        <v>0</v>
      </c>
      <c r="S726" s="1">
        <v>0.21</v>
      </c>
      <c r="T726" s="1">
        <v>2.48</v>
      </c>
      <c r="U726" s="1">
        <v>6.85</v>
      </c>
      <c r="V726" s="1">
        <v>0.43</v>
      </c>
      <c r="W726" s="1">
        <v>0</v>
      </c>
      <c r="X726" s="1">
        <v>27835.989619</v>
      </c>
      <c r="Y726" s="1">
        <v>23483379.8312</v>
      </c>
      <c r="Z726" t="str">
        <f>VLOOKUP(G726,'Code Pro'!$A$2:$B$9,2,FALSE)</f>
        <v>จ.ปราจีนบุรี</v>
      </c>
      <c r="AA726" s="8">
        <f t="shared" si="100"/>
        <v>6810180.151047999</v>
      </c>
      <c r="AB726" s="8">
        <f t="shared" si="101"/>
        <v>234833.798312</v>
      </c>
      <c r="AC726" s="8">
        <f t="shared" si="102"/>
        <v>469667.596624</v>
      </c>
      <c r="AD726" s="8">
        <f t="shared" si="103"/>
        <v>0</v>
      </c>
      <c r="AE726" s="8">
        <f t="shared" si="104"/>
        <v>4931509.764552</v>
      </c>
      <c r="AF726" s="8">
        <f t="shared" si="105"/>
        <v>58238781.981376</v>
      </c>
      <c r="AG726" s="8">
        <f t="shared" si="106"/>
        <v>160861151.84371999</v>
      </c>
      <c r="AH726" s="8">
        <f t="shared" si="107"/>
        <v>10097853.327415999</v>
      </c>
      <c r="AI726" s="8">
        <f t="shared" si="108"/>
        <v>0</v>
      </c>
    </row>
    <row r="727" spans="1:35" x14ac:dyDescent="0.55000000000000004">
      <c r="A727" s="1">
        <v>725</v>
      </c>
      <c r="B727" s="1" t="s">
        <v>20</v>
      </c>
      <c r="C727" s="1">
        <v>50</v>
      </c>
      <c r="D727" s="1">
        <v>2</v>
      </c>
      <c r="E727" s="1" t="s">
        <v>117</v>
      </c>
      <c r="F727" s="1" t="s">
        <v>118</v>
      </c>
      <c r="G727" s="1">
        <v>25</v>
      </c>
      <c r="H727" s="1">
        <v>2</v>
      </c>
      <c r="I727" s="1">
        <v>25020000</v>
      </c>
      <c r="J727" s="1">
        <v>1026</v>
      </c>
      <c r="K727" s="1">
        <v>0</v>
      </c>
      <c r="L727" s="1">
        <v>14591</v>
      </c>
      <c r="M727" s="1">
        <v>13.931006999999999</v>
      </c>
      <c r="N727" s="1">
        <v>101.93751</v>
      </c>
      <c r="O727" s="1">
        <v>0.03</v>
      </c>
      <c r="P727" s="1">
        <v>0.01</v>
      </c>
      <c r="Q727" s="1">
        <v>0.09</v>
      </c>
      <c r="R727" s="1">
        <v>0.04</v>
      </c>
      <c r="S727" s="1">
        <v>0.03</v>
      </c>
      <c r="T727" s="1">
        <v>13.92</v>
      </c>
      <c r="U727" s="1">
        <v>2.2599999999999998</v>
      </c>
      <c r="V727" s="1">
        <v>0</v>
      </c>
      <c r="W727" s="1">
        <v>0</v>
      </c>
      <c r="X727" s="1">
        <v>34129.178717000003</v>
      </c>
      <c r="Y727" s="1">
        <v>27768040.560899999</v>
      </c>
      <c r="Z727" t="str">
        <f>VLOOKUP(G727,'Code Pro'!$A$2:$B$9,2,FALSE)</f>
        <v>จ.ปราจีนบุรี</v>
      </c>
      <c r="AA727" s="8">
        <f t="shared" si="100"/>
        <v>833041.21682699991</v>
      </c>
      <c r="AB727" s="8">
        <f t="shared" si="101"/>
        <v>277680.40560900001</v>
      </c>
      <c r="AC727" s="8">
        <f t="shared" si="102"/>
        <v>2499123.6504809996</v>
      </c>
      <c r="AD727" s="8">
        <f t="shared" si="103"/>
        <v>1110721.622436</v>
      </c>
      <c r="AE727" s="8">
        <f t="shared" si="104"/>
        <v>833041.21682699991</v>
      </c>
      <c r="AF727" s="8">
        <f t="shared" si="105"/>
        <v>386531124.607728</v>
      </c>
      <c r="AG727" s="8">
        <f t="shared" si="106"/>
        <v>62755771.667633995</v>
      </c>
      <c r="AH727" s="8">
        <f t="shared" si="107"/>
        <v>0</v>
      </c>
      <c r="AI727" s="8">
        <f t="shared" si="108"/>
        <v>0</v>
      </c>
    </row>
    <row r="728" spans="1:35" x14ac:dyDescent="0.55000000000000004">
      <c r="A728" s="1">
        <v>726</v>
      </c>
      <c r="B728" s="1" t="s">
        <v>20</v>
      </c>
      <c r="C728" s="1">
        <v>50</v>
      </c>
      <c r="D728" s="1">
        <v>2</v>
      </c>
      <c r="E728" s="1" t="s">
        <v>117</v>
      </c>
      <c r="F728" s="1" t="s">
        <v>118</v>
      </c>
      <c r="G728" s="1">
        <v>25</v>
      </c>
      <c r="H728" s="1">
        <v>2</v>
      </c>
      <c r="I728" s="1">
        <v>25020000</v>
      </c>
      <c r="J728" s="1">
        <v>1028</v>
      </c>
      <c r="K728" s="1">
        <v>0</v>
      </c>
      <c r="L728" s="1">
        <v>14351</v>
      </c>
      <c r="M728" s="1">
        <v>13.769569000000001</v>
      </c>
      <c r="N728" s="1">
        <v>101.93751</v>
      </c>
      <c r="O728" s="1">
        <v>0.52</v>
      </c>
      <c r="P728" s="1">
        <v>4.57</v>
      </c>
      <c r="Q728" s="1">
        <v>0.05</v>
      </c>
      <c r="R728" s="1">
        <v>0.01</v>
      </c>
      <c r="S728" s="1">
        <v>0.49</v>
      </c>
      <c r="T728" s="1">
        <v>4.3899999999999997</v>
      </c>
      <c r="U728" s="1">
        <v>11.73</v>
      </c>
      <c r="V728" s="1">
        <v>0</v>
      </c>
      <c r="W728" s="1">
        <v>0</v>
      </c>
      <c r="X728" s="1">
        <v>28798.677168999999</v>
      </c>
      <c r="Y728" s="1">
        <v>45185267.179399997</v>
      </c>
      <c r="Z728" t="str">
        <f>VLOOKUP(G728,'Code Pro'!$A$2:$B$9,2,FALSE)</f>
        <v>จ.ปราจีนบุรี</v>
      </c>
      <c r="AA728" s="8">
        <f t="shared" si="100"/>
        <v>23496338.933288001</v>
      </c>
      <c r="AB728" s="8">
        <f t="shared" si="101"/>
        <v>206496671.00985801</v>
      </c>
      <c r="AC728" s="8">
        <f t="shared" si="102"/>
        <v>2259263.3589699999</v>
      </c>
      <c r="AD728" s="8">
        <f t="shared" si="103"/>
        <v>451852.67179399997</v>
      </c>
      <c r="AE728" s="8">
        <f t="shared" si="104"/>
        <v>22140780.917905997</v>
      </c>
      <c r="AF728" s="8">
        <f t="shared" si="105"/>
        <v>198363322.91756597</v>
      </c>
      <c r="AG728" s="8">
        <f t="shared" si="106"/>
        <v>530023184.01436198</v>
      </c>
      <c r="AH728" s="8">
        <f t="shared" si="107"/>
        <v>0</v>
      </c>
      <c r="AI728" s="8">
        <f t="shared" si="108"/>
        <v>0</v>
      </c>
    </row>
    <row r="729" spans="1:35" x14ac:dyDescent="0.55000000000000004">
      <c r="A729" s="1">
        <v>727</v>
      </c>
      <c r="B729" s="1" t="s">
        <v>20</v>
      </c>
      <c r="C729" s="1">
        <v>50</v>
      </c>
      <c r="D729" s="1">
        <v>2</v>
      </c>
      <c r="E729" s="1" t="s">
        <v>117</v>
      </c>
      <c r="F729" s="1" t="s">
        <v>118</v>
      </c>
      <c r="G729" s="1">
        <v>25</v>
      </c>
      <c r="H729" s="1">
        <v>2</v>
      </c>
      <c r="I729" s="1">
        <v>25020000</v>
      </c>
      <c r="J729" s="1">
        <v>1148</v>
      </c>
      <c r="K729" s="1">
        <v>0</v>
      </c>
      <c r="L729" s="1">
        <v>14711</v>
      </c>
      <c r="M729" s="1">
        <v>14.011680999999999</v>
      </c>
      <c r="N729" s="1">
        <v>101.93751</v>
      </c>
      <c r="O729" s="1">
        <v>0</v>
      </c>
      <c r="P729" s="1">
        <v>0.02</v>
      </c>
      <c r="Q729" s="1">
        <v>7.0000000000000007E-2</v>
      </c>
      <c r="R729" s="1">
        <v>0</v>
      </c>
      <c r="S729" s="1">
        <v>0.03</v>
      </c>
      <c r="T729" s="1">
        <v>12.56</v>
      </c>
      <c r="U729" s="1">
        <v>13.38</v>
      </c>
      <c r="V729" s="1">
        <v>0</v>
      </c>
      <c r="W729" s="1">
        <v>0</v>
      </c>
      <c r="X729" s="1">
        <v>24107.383172999998</v>
      </c>
      <c r="Y729" s="1">
        <v>31400438.282000002</v>
      </c>
      <c r="Z729" t="str">
        <f>VLOOKUP(G729,'Code Pro'!$A$2:$B$9,2,FALSE)</f>
        <v>จ.ปราจีนบุรี</v>
      </c>
      <c r="AA729" s="8">
        <f t="shared" si="100"/>
        <v>0</v>
      </c>
      <c r="AB729" s="8">
        <f t="shared" si="101"/>
        <v>628008.76564</v>
      </c>
      <c r="AC729" s="8">
        <f t="shared" si="102"/>
        <v>2198030.6797400005</v>
      </c>
      <c r="AD729" s="8">
        <f t="shared" si="103"/>
        <v>0</v>
      </c>
      <c r="AE729" s="8">
        <f t="shared" si="104"/>
        <v>942013.14846000005</v>
      </c>
      <c r="AF729" s="8">
        <f t="shared" si="105"/>
        <v>394389504.82192004</v>
      </c>
      <c r="AG729" s="8">
        <f t="shared" si="106"/>
        <v>420137864.21316004</v>
      </c>
      <c r="AH729" s="8">
        <f t="shared" si="107"/>
        <v>0</v>
      </c>
      <c r="AI729" s="8">
        <f t="shared" si="108"/>
        <v>0</v>
      </c>
    </row>
    <row r="730" spans="1:35" x14ac:dyDescent="0.55000000000000004">
      <c r="A730" s="1">
        <v>728</v>
      </c>
      <c r="B730" s="1" t="s">
        <v>20</v>
      </c>
      <c r="C730" s="1">
        <v>50</v>
      </c>
      <c r="D730" s="1">
        <v>2</v>
      </c>
      <c r="E730" s="1" t="s">
        <v>117</v>
      </c>
      <c r="F730" s="1" t="s">
        <v>118</v>
      </c>
      <c r="G730" s="1">
        <v>25</v>
      </c>
      <c r="H730" s="1">
        <v>2</v>
      </c>
      <c r="I730" s="1">
        <v>25020000</v>
      </c>
      <c r="J730" s="1">
        <v>1149</v>
      </c>
      <c r="K730" s="1">
        <v>0</v>
      </c>
      <c r="L730" s="1">
        <v>14830</v>
      </c>
      <c r="M730" s="1">
        <v>14.092331</v>
      </c>
      <c r="N730" s="1">
        <v>101.85438000000001</v>
      </c>
      <c r="O730" s="1">
        <v>0</v>
      </c>
      <c r="P730" s="1">
        <v>1.2</v>
      </c>
      <c r="Q730" s="1">
        <v>0.19</v>
      </c>
      <c r="R730" s="1">
        <v>0.02</v>
      </c>
      <c r="S730" s="1">
        <v>7.0000000000000007E-2</v>
      </c>
      <c r="T730" s="1">
        <v>21.4</v>
      </c>
      <c r="U730" s="1">
        <v>12.48</v>
      </c>
      <c r="V730" s="1">
        <v>0</v>
      </c>
      <c r="W730" s="1">
        <v>0</v>
      </c>
      <c r="X730" s="1">
        <v>37949.638053000002</v>
      </c>
      <c r="Y730" s="1">
        <v>52940543.770499997</v>
      </c>
      <c r="Z730" t="str">
        <f>VLOOKUP(G730,'Code Pro'!$A$2:$B$9,2,FALSE)</f>
        <v>จ.ปราจีนบุรี</v>
      </c>
      <c r="AA730" s="8">
        <f t="shared" si="100"/>
        <v>0</v>
      </c>
      <c r="AB730" s="8">
        <f t="shared" si="101"/>
        <v>63528652.524599992</v>
      </c>
      <c r="AC730" s="8">
        <f t="shared" si="102"/>
        <v>10058703.316395</v>
      </c>
      <c r="AD730" s="8">
        <f t="shared" si="103"/>
        <v>1058810.8754099999</v>
      </c>
      <c r="AE730" s="8">
        <f t="shared" si="104"/>
        <v>3705838.063935</v>
      </c>
      <c r="AF730" s="8">
        <f t="shared" si="105"/>
        <v>1132927636.6887</v>
      </c>
      <c r="AG730" s="8">
        <f t="shared" si="106"/>
        <v>660697986.25583994</v>
      </c>
      <c r="AH730" s="8">
        <f t="shared" si="107"/>
        <v>0</v>
      </c>
      <c r="AI730" s="8">
        <f t="shared" si="108"/>
        <v>0</v>
      </c>
    </row>
    <row r="731" spans="1:35" x14ac:dyDescent="0.55000000000000004">
      <c r="A731" s="1">
        <v>729</v>
      </c>
      <c r="B731" s="1" t="s">
        <v>20</v>
      </c>
      <c r="C731" s="1">
        <v>50</v>
      </c>
      <c r="D731" s="1">
        <v>2</v>
      </c>
      <c r="E731" s="1" t="s">
        <v>117</v>
      </c>
      <c r="F731" s="1" t="s">
        <v>118</v>
      </c>
      <c r="G731" s="1">
        <v>25</v>
      </c>
      <c r="H731" s="1">
        <v>2</v>
      </c>
      <c r="I731" s="1">
        <v>25020000</v>
      </c>
      <c r="J731" s="1">
        <v>1152</v>
      </c>
      <c r="K731" s="1">
        <v>0</v>
      </c>
      <c r="L731" s="1">
        <v>14831</v>
      </c>
      <c r="M731" s="1">
        <v>14.092331</v>
      </c>
      <c r="N731" s="1">
        <v>101.93751</v>
      </c>
      <c r="O731" s="1">
        <v>0</v>
      </c>
      <c r="P731" s="1">
        <v>0.34</v>
      </c>
      <c r="Q731" s="1">
        <v>0.14000000000000001</v>
      </c>
      <c r="R731" s="1">
        <v>0.01</v>
      </c>
      <c r="S731" s="1">
        <v>0.06</v>
      </c>
      <c r="T731" s="1">
        <v>31.32</v>
      </c>
      <c r="U731" s="1">
        <v>5.0999999999999996</v>
      </c>
      <c r="V731" s="1">
        <v>0</v>
      </c>
      <c r="W731" s="1">
        <v>0</v>
      </c>
      <c r="X731" s="1">
        <v>10111.836211</v>
      </c>
      <c r="Y731" s="1">
        <v>2280842.4269099999</v>
      </c>
      <c r="Z731" t="str">
        <f>VLOOKUP(G731,'Code Pro'!$A$2:$B$9,2,FALSE)</f>
        <v>จ.ปราจีนบุรี</v>
      </c>
      <c r="AA731" s="8">
        <f t="shared" si="100"/>
        <v>0</v>
      </c>
      <c r="AB731" s="8">
        <f t="shared" si="101"/>
        <v>775486.42514940002</v>
      </c>
      <c r="AC731" s="8">
        <f t="shared" si="102"/>
        <v>319317.93976740004</v>
      </c>
      <c r="AD731" s="8">
        <f t="shared" si="103"/>
        <v>22808.4242691</v>
      </c>
      <c r="AE731" s="8">
        <f t="shared" si="104"/>
        <v>136850.54561459998</v>
      </c>
      <c r="AF731" s="8">
        <f t="shared" si="105"/>
        <v>71435984.810821205</v>
      </c>
      <c r="AG731" s="8">
        <f t="shared" si="106"/>
        <v>11632296.377240999</v>
      </c>
      <c r="AH731" s="8">
        <f t="shared" si="107"/>
        <v>0</v>
      </c>
      <c r="AI731" s="8">
        <f t="shared" si="108"/>
        <v>0</v>
      </c>
    </row>
    <row r="732" spans="1:35" x14ac:dyDescent="0.55000000000000004">
      <c r="A732" s="1">
        <v>730</v>
      </c>
      <c r="B732" s="1" t="s">
        <v>20</v>
      </c>
      <c r="C732" s="1">
        <v>50</v>
      </c>
      <c r="D732" s="1">
        <v>2</v>
      </c>
      <c r="E732" s="1" t="s">
        <v>117</v>
      </c>
      <c r="F732" s="1" t="s">
        <v>118</v>
      </c>
      <c r="G732" s="1">
        <v>25</v>
      </c>
      <c r="H732" s="1">
        <v>2</v>
      </c>
      <c r="I732" s="1">
        <v>25020000</v>
      </c>
      <c r="J732" s="1">
        <v>1169</v>
      </c>
      <c r="K732" s="1">
        <v>0</v>
      </c>
      <c r="L732" s="1">
        <v>14710</v>
      </c>
      <c r="M732" s="1">
        <v>14.011680999999999</v>
      </c>
      <c r="N732" s="1">
        <v>101.85438000000001</v>
      </c>
      <c r="O732" s="1">
        <v>0</v>
      </c>
      <c r="P732" s="1">
        <v>0.04</v>
      </c>
      <c r="Q732" s="1">
        <v>0.1</v>
      </c>
      <c r="R732" s="1">
        <v>0.02</v>
      </c>
      <c r="S732" s="1">
        <v>0.14000000000000001</v>
      </c>
      <c r="T732" s="1">
        <v>13.02</v>
      </c>
      <c r="U732" s="1">
        <v>6.01</v>
      </c>
      <c r="V732" s="1">
        <v>0.04</v>
      </c>
      <c r="W732" s="1">
        <v>0</v>
      </c>
      <c r="X732" s="1">
        <v>44315.284592000004</v>
      </c>
      <c r="Y732" s="1">
        <v>75095695.109300002</v>
      </c>
      <c r="Z732" t="str">
        <f>VLOOKUP(G732,'Code Pro'!$A$2:$B$9,2,FALSE)</f>
        <v>จ.ปราจีนบุรี</v>
      </c>
      <c r="AA732" s="8">
        <f t="shared" si="100"/>
        <v>0</v>
      </c>
      <c r="AB732" s="8">
        <f t="shared" si="101"/>
        <v>3003827.804372</v>
      </c>
      <c r="AC732" s="8">
        <f t="shared" si="102"/>
        <v>7509569.5109300008</v>
      </c>
      <c r="AD732" s="8">
        <f t="shared" si="103"/>
        <v>1501913.902186</v>
      </c>
      <c r="AE732" s="8">
        <f t="shared" si="104"/>
        <v>10513397.315302001</v>
      </c>
      <c r="AF732" s="8">
        <f t="shared" si="105"/>
        <v>977745950.32308602</v>
      </c>
      <c r="AG732" s="8">
        <f t="shared" si="106"/>
        <v>451325127.606893</v>
      </c>
      <c r="AH732" s="8">
        <f t="shared" si="107"/>
        <v>3003827.804372</v>
      </c>
      <c r="AI732" s="8">
        <f t="shared" si="108"/>
        <v>0</v>
      </c>
    </row>
    <row r="733" spans="1:35" x14ac:dyDescent="0.55000000000000004">
      <c r="A733" s="1">
        <v>731</v>
      </c>
      <c r="B733" s="1" t="s">
        <v>20</v>
      </c>
      <c r="C733" s="1">
        <v>51</v>
      </c>
      <c r="D733" s="1">
        <v>3</v>
      </c>
      <c r="E733" s="1" t="s">
        <v>119</v>
      </c>
      <c r="F733" s="1" t="s">
        <v>120</v>
      </c>
      <c r="G733" s="1">
        <v>25</v>
      </c>
      <c r="H733" s="1">
        <v>2</v>
      </c>
      <c r="I733" s="1">
        <v>25030000</v>
      </c>
      <c r="J733" s="1">
        <v>915</v>
      </c>
      <c r="K733" s="1">
        <v>0</v>
      </c>
      <c r="L733" s="1">
        <v>14709</v>
      </c>
      <c r="M733" s="1">
        <v>14.011680999999999</v>
      </c>
      <c r="N733" s="1">
        <v>101.77124000000001</v>
      </c>
      <c r="O733" s="1">
        <v>0.04</v>
      </c>
      <c r="P733" s="1">
        <v>0.03</v>
      </c>
      <c r="Q733" s="1">
        <v>0.04</v>
      </c>
      <c r="R733" s="1">
        <v>0.47</v>
      </c>
      <c r="S733" s="1">
        <v>1.84</v>
      </c>
      <c r="T733" s="1">
        <v>16.829999999999998</v>
      </c>
      <c r="U733" s="1">
        <v>3.17</v>
      </c>
      <c r="V733" s="1">
        <v>0.01</v>
      </c>
      <c r="W733" s="1">
        <v>0</v>
      </c>
      <c r="X733" s="1">
        <v>13915.219564999999</v>
      </c>
      <c r="Y733" s="1">
        <v>3872447.00789</v>
      </c>
      <c r="Z733" t="str">
        <f>VLOOKUP(G733,'Code Pro'!$A$2:$B$9,2,FALSE)</f>
        <v>จ.ปราจีนบุรี</v>
      </c>
      <c r="AA733" s="8">
        <f t="shared" si="100"/>
        <v>154897.88031559999</v>
      </c>
      <c r="AB733" s="8">
        <f t="shared" si="101"/>
        <v>116173.4102367</v>
      </c>
      <c r="AC733" s="8">
        <f t="shared" si="102"/>
        <v>154897.88031559999</v>
      </c>
      <c r="AD733" s="8">
        <f t="shared" si="103"/>
        <v>1820050.0937082998</v>
      </c>
      <c r="AE733" s="8">
        <f t="shared" si="104"/>
        <v>7125302.4945176002</v>
      </c>
      <c r="AF733" s="8">
        <f t="shared" si="105"/>
        <v>65173283.142788693</v>
      </c>
      <c r="AG733" s="8">
        <f t="shared" si="106"/>
        <v>12275657.015011299</v>
      </c>
      <c r="AH733" s="8">
        <f t="shared" si="107"/>
        <v>38724.470078899998</v>
      </c>
      <c r="AI733" s="8">
        <f t="shared" si="108"/>
        <v>0</v>
      </c>
    </row>
    <row r="734" spans="1:35" x14ac:dyDescent="0.55000000000000004">
      <c r="A734" s="1">
        <v>732</v>
      </c>
      <c r="B734" s="1" t="s">
        <v>20</v>
      </c>
      <c r="C734" s="1">
        <v>51</v>
      </c>
      <c r="D734" s="1">
        <v>3</v>
      </c>
      <c r="E734" s="1" t="s">
        <v>119</v>
      </c>
      <c r="F734" s="1" t="s">
        <v>120</v>
      </c>
      <c r="G734" s="1">
        <v>25</v>
      </c>
      <c r="H734" s="1">
        <v>2</v>
      </c>
      <c r="I734" s="1">
        <v>25030000</v>
      </c>
      <c r="J734" s="1">
        <v>923</v>
      </c>
      <c r="K734" s="1">
        <v>0</v>
      </c>
      <c r="L734" s="1">
        <v>14947</v>
      </c>
      <c r="M734" s="1">
        <v>14.172943</v>
      </c>
      <c r="N734" s="1">
        <v>101.60496500000001</v>
      </c>
      <c r="O734" s="1">
        <v>0.84</v>
      </c>
      <c r="P734" s="1">
        <v>0.09</v>
      </c>
      <c r="Q734" s="1">
        <v>0.61</v>
      </c>
      <c r="R734" s="1">
        <v>1.06</v>
      </c>
      <c r="S734" s="1">
        <v>5.44</v>
      </c>
      <c r="T734" s="1">
        <v>38.549999</v>
      </c>
      <c r="U734" s="1">
        <v>8.66</v>
      </c>
      <c r="V734" s="1">
        <v>2.02</v>
      </c>
      <c r="W734" s="1">
        <v>0</v>
      </c>
      <c r="X734" s="1">
        <v>10478.267868999999</v>
      </c>
      <c r="Y734" s="1">
        <v>2649352.8786300002</v>
      </c>
      <c r="Z734" t="str">
        <f>VLOOKUP(G734,'Code Pro'!$A$2:$B$9,2,FALSE)</f>
        <v>จ.ปราจีนบุรี</v>
      </c>
      <c r="AA734" s="8">
        <f t="shared" si="100"/>
        <v>2225456.4180492</v>
      </c>
      <c r="AB734" s="8">
        <f t="shared" si="101"/>
        <v>238441.75907669999</v>
      </c>
      <c r="AC734" s="8">
        <f t="shared" si="102"/>
        <v>1616105.2559643001</v>
      </c>
      <c r="AD734" s="8">
        <f t="shared" si="103"/>
        <v>2808314.0513478005</v>
      </c>
      <c r="AE734" s="8">
        <f t="shared" si="104"/>
        <v>14412479.659747202</v>
      </c>
      <c r="AF734" s="8">
        <f t="shared" si="105"/>
        <v>102132550.82183363</v>
      </c>
      <c r="AG734" s="8">
        <f t="shared" si="106"/>
        <v>22943395.928935803</v>
      </c>
      <c r="AH734" s="8">
        <f t="shared" si="107"/>
        <v>5351692.8148326008</v>
      </c>
      <c r="AI734" s="8">
        <f t="shared" si="108"/>
        <v>0</v>
      </c>
    </row>
    <row r="735" spans="1:35" x14ac:dyDescent="0.55000000000000004">
      <c r="A735" s="1">
        <v>733</v>
      </c>
      <c r="B735" s="1" t="s">
        <v>20</v>
      </c>
      <c r="C735" s="1">
        <v>51</v>
      </c>
      <c r="D735" s="1">
        <v>3</v>
      </c>
      <c r="E735" s="1" t="s">
        <v>119</v>
      </c>
      <c r="F735" s="1" t="s">
        <v>120</v>
      </c>
      <c r="G735" s="1">
        <v>25</v>
      </c>
      <c r="H735" s="1">
        <v>2</v>
      </c>
      <c r="I735" s="1">
        <v>25030000</v>
      </c>
      <c r="J735" s="1">
        <v>926</v>
      </c>
      <c r="K735" s="1">
        <v>0</v>
      </c>
      <c r="L735" s="1">
        <v>14829</v>
      </c>
      <c r="M735" s="1">
        <v>14.092331</v>
      </c>
      <c r="N735" s="1">
        <v>101.77124000000001</v>
      </c>
      <c r="O735" s="1">
        <v>0</v>
      </c>
      <c r="P735" s="1">
        <v>0.09</v>
      </c>
      <c r="Q735" s="1">
        <v>0.06</v>
      </c>
      <c r="R735" s="1">
        <v>0.05</v>
      </c>
      <c r="S735" s="1">
        <v>0.92</v>
      </c>
      <c r="T735" s="1">
        <v>26.950001</v>
      </c>
      <c r="U735" s="1">
        <v>2.77</v>
      </c>
      <c r="V735" s="1">
        <v>0</v>
      </c>
      <c r="W735" s="1">
        <v>0</v>
      </c>
      <c r="X735" s="1">
        <v>40157.651445000003</v>
      </c>
      <c r="Y735" s="1">
        <v>64079190.268799998</v>
      </c>
      <c r="Z735" t="str">
        <f>VLOOKUP(G735,'Code Pro'!$A$2:$B$9,2,FALSE)</f>
        <v>จ.ปราจีนบุรี</v>
      </c>
      <c r="AA735" s="8">
        <f t="shared" si="100"/>
        <v>0</v>
      </c>
      <c r="AB735" s="8">
        <f t="shared" si="101"/>
        <v>5767127.1241919994</v>
      </c>
      <c r="AC735" s="8">
        <f t="shared" si="102"/>
        <v>3844751.4161279998</v>
      </c>
      <c r="AD735" s="8">
        <f t="shared" si="103"/>
        <v>3203959.5134399999</v>
      </c>
      <c r="AE735" s="8">
        <f t="shared" si="104"/>
        <v>58952855.047296003</v>
      </c>
      <c r="AF735" s="8">
        <f t="shared" si="105"/>
        <v>1726934241.8233502</v>
      </c>
      <c r="AG735" s="8">
        <f t="shared" si="106"/>
        <v>177499357.04457599</v>
      </c>
      <c r="AH735" s="8">
        <f t="shared" si="107"/>
        <v>0</v>
      </c>
      <c r="AI735" s="8">
        <f t="shared" si="108"/>
        <v>0</v>
      </c>
    </row>
    <row r="736" spans="1:35" x14ac:dyDescent="0.55000000000000004">
      <c r="A736" s="1">
        <v>734</v>
      </c>
      <c r="B736" s="1" t="s">
        <v>20</v>
      </c>
      <c r="C736" s="1">
        <v>51</v>
      </c>
      <c r="D736" s="1">
        <v>3</v>
      </c>
      <c r="E736" s="1" t="s">
        <v>119</v>
      </c>
      <c r="F736" s="1" t="s">
        <v>120</v>
      </c>
      <c r="G736" s="1">
        <v>25</v>
      </c>
      <c r="H736" s="1">
        <v>2</v>
      </c>
      <c r="I736" s="1">
        <v>25030000</v>
      </c>
      <c r="J736" s="1">
        <v>927</v>
      </c>
      <c r="K736" s="1">
        <v>0</v>
      </c>
      <c r="L736" s="1">
        <v>14828</v>
      </c>
      <c r="M736" s="1">
        <v>14.092331</v>
      </c>
      <c r="N736" s="1">
        <v>101.68810000000001</v>
      </c>
      <c r="O736" s="1">
        <v>0.02</v>
      </c>
      <c r="P736" s="1">
        <v>0.25</v>
      </c>
      <c r="Q736" s="1">
        <v>0.08</v>
      </c>
      <c r="R736" s="1">
        <v>0.51</v>
      </c>
      <c r="S736" s="1">
        <v>4.7699999999999996</v>
      </c>
      <c r="T736" s="1">
        <v>10.1</v>
      </c>
      <c r="U736" s="1">
        <v>2.5099999999999998</v>
      </c>
      <c r="V736" s="1">
        <v>0</v>
      </c>
      <c r="W736" s="1">
        <v>0</v>
      </c>
      <c r="X736" s="1">
        <v>26906.359004000002</v>
      </c>
      <c r="Y736" s="1">
        <v>29895715.102600001</v>
      </c>
      <c r="Z736" t="str">
        <f>VLOOKUP(G736,'Code Pro'!$A$2:$B$9,2,FALSE)</f>
        <v>จ.ปราจีนบุรี</v>
      </c>
      <c r="AA736" s="8">
        <f t="shared" si="100"/>
        <v>597914.30205200007</v>
      </c>
      <c r="AB736" s="8">
        <f t="shared" si="101"/>
        <v>7473928.7756500002</v>
      </c>
      <c r="AC736" s="8">
        <f t="shared" si="102"/>
        <v>2391657.2082080003</v>
      </c>
      <c r="AD736" s="8">
        <f t="shared" si="103"/>
        <v>15246814.702326002</v>
      </c>
      <c r="AE736" s="8">
        <f t="shared" si="104"/>
        <v>142602561.03940198</v>
      </c>
      <c r="AF736" s="8">
        <f t="shared" si="105"/>
        <v>301946722.53626001</v>
      </c>
      <c r="AG736" s="8">
        <f t="shared" si="106"/>
        <v>75038244.907526001</v>
      </c>
      <c r="AH736" s="8">
        <f t="shared" si="107"/>
        <v>0</v>
      </c>
      <c r="AI736" s="8">
        <f t="shared" si="108"/>
        <v>0</v>
      </c>
    </row>
    <row r="737" spans="1:35" x14ac:dyDescent="0.55000000000000004">
      <c r="A737" s="1">
        <v>735</v>
      </c>
      <c r="B737" s="1" t="s">
        <v>20</v>
      </c>
      <c r="C737" s="1">
        <v>51</v>
      </c>
      <c r="D737" s="1">
        <v>3</v>
      </c>
      <c r="E737" s="1" t="s">
        <v>119</v>
      </c>
      <c r="F737" s="1" t="s">
        <v>120</v>
      </c>
      <c r="G737" s="1">
        <v>25</v>
      </c>
      <c r="H737" s="1">
        <v>2</v>
      </c>
      <c r="I737" s="1">
        <v>25030000</v>
      </c>
      <c r="J737" s="1">
        <v>928</v>
      </c>
      <c r="K737" s="1">
        <v>0</v>
      </c>
      <c r="L737" s="1">
        <v>14948</v>
      </c>
      <c r="M737" s="1">
        <v>14.172943</v>
      </c>
      <c r="N737" s="1">
        <v>101.68810000000001</v>
      </c>
      <c r="O737" s="1">
        <v>0.24</v>
      </c>
      <c r="P737" s="1">
        <v>0.05</v>
      </c>
      <c r="Q737" s="1">
        <v>0.32</v>
      </c>
      <c r="R737" s="1">
        <v>0.83</v>
      </c>
      <c r="S737" s="1">
        <v>3.79</v>
      </c>
      <c r="T737" s="1">
        <v>93.720000999999996</v>
      </c>
      <c r="U737" s="1">
        <v>0.5</v>
      </c>
      <c r="V737" s="1">
        <v>0</v>
      </c>
      <c r="W737" s="1">
        <v>0</v>
      </c>
      <c r="X737" s="1">
        <v>35518.701074999997</v>
      </c>
      <c r="Y737" s="1">
        <v>72564706.056899995</v>
      </c>
      <c r="Z737" t="str">
        <f>VLOOKUP(G737,'Code Pro'!$A$2:$B$9,2,FALSE)</f>
        <v>จ.ปราจีนบุรี</v>
      </c>
      <c r="AA737" s="8">
        <f t="shared" si="100"/>
        <v>17415529.453655999</v>
      </c>
      <c r="AB737" s="8">
        <f t="shared" si="101"/>
        <v>3628235.3028449998</v>
      </c>
      <c r="AC737" s="8">
        <f t="shared" si="102"/>
        <v>23220705.938207999</v>
      </c>
      <c r="AD737" s="8">
        <f t="shared" si="103"/>
        <v>60228706.027226992</v>
      </c>
      <c r="AE737" s="8">
        <f t="shared" si="104"/>
        <v>275020235.95565099</v>
      </c>
      <c r="AF737" s="8">
        <f t="shared" si="105"/>
        <v>6800764324.2173729</v>
      </c>
      <c r="AG737" s="8">
        <f t="shared" si="106"/>
        <v>36282353.028449997</v>
      </c>
      <c r="AH737" s="8">
        <f t="shared" si="107"/>
        <v>0</v>
      </c>
      <c r="AI737" s="8">
        <f t="shared" si="108"/>
        <v>0</v>
      </c>
    </row>
    <row r="738" spans="1:35" x14ac:dyDescent="0.55000000000000004">
      <c r="A738" s="1">
        <v>736</v>
      </c>
      <c r="B738" s="1" t="s">
        <v>20</v>
      </c>
      <c r="C738" s="1">
        <v>51</v>
      </c>
      <c r="D738" s="1">
        <v>3</v>
      </c>
      <c r="E738" s="1" t="s">
        <v>119</v>
      </c>
      <c r="F738" s="1" t="s">
        <v>120</v>
      </c>
      <c r="G738" s="1">
        <v>25</v>
      </c>
      <c r="H738" s="1">
        <v>2</v>
      </c>
      <c r="I738" s="1">
        <v>25030000</v>
      </c>
      <c r="J738" s="1">
        <v>929</v>
      </c>
      <c r="K738" s="1">
        <v>0</v>
      </c>
      <c r="L738" s="1">
        <v>15068</v>
      </c>
      <c r="M738" s="1">
        <v>14.253532</v>
      </c>
      <c r="N738" s="1">
        <v>101.68810000000001</v>
      </c>
      <c r="O738" s="1">
        <v>7.45</v>
      </c>
      <c r="P738" s="1">
        <v>0.06</v>
      </c>
      <c r="Q738" s="1">
        <v>7.0000000000000007E-2</v>
      </c>
      <c r="R738" s="1">
        <v>0.31</v>
      </c>
      <c r="S738" s="1">
        <v>0.02</v>
      </c>
      <c r="T738" s="1">
        <v>21.99</v>
      </c>
      <c r="U738" s="1">
        <v>2.75</v>
      </c>
      <c r="V738" s="1">
        <v>0</v>
      </c>
      <c r="W738" s="1">
        <v>0</v>
      </c>
      <c r="X738" s="1">
        <v>31921.120609000001</v>
      </c>
      <c r="Y738" s="1">
        <v>55659765.945699997</v>
      </c>
      <c r="Z738" t="str">
        <f>VLOOKUP(G738,'Code Pro'!$A$2:$B$9,2,FALSE)</f>
        <v>จ.ปราจีนบุรี</v>
      </c>
      <c r="AA738" s="8">
        <f t="shared" si="100"/>
        <v>414665256.29546499</v>
      </c>
      <c r="AB738" s="8">
        <f t="shared" si="101"/>
        <v>3339585.9567419998</v>
      </c>
      <c r="AC738" s="8">
        <f t="shared" si="102"/>
        <v>3896183.6161990003</v>
      </c>
      <c r="AD738" s="8">
        <f t="shared" si="103"/>
        <v>17254527.443166997</v>
      </c>
      <c r="AE738" s="8">
        <f t="shared" si="104"/>
        <v>1113195.3189139999</v>
      </c>
      <c r="AF738" s="8">
        <f t="shared" si="105"/>
        <v>1223958253.1459429</v>
      </c>
      <c r="AG738" s="8">
        <f t="shared" si="106"/>
        <v>153064356.35067499</v>
      </c>
      <c r="AH738" s="8">
        <f t="shared" si="107"/>
        <v>0</v>
      </c>
      <c r="AI738" s="8">
        <f t="shared" si="108"/>
        <v>0</v>
      </c>
    </row>
    <row r="739" spans="1:35" x14ac:dyDescent="0.55000000000000004">
      <c r="A739" s="1">
        <v>737</v>
      </c>
      <c r="B739" s="1" t="s">
        <v>20</v>
      </c>
      <c r="C739" s="1">
        <v>51</v>
      </c>
      <c r="D739" s="1">
        <v>3</v>
      </c>
      <c r="E739" s="1" t="s">
        <v>119</v>
      </c>
      <c r="F739" s="1" t="s">
        <v>120</v>
      </c>
      <c r="G739" s="1">
        <v>25</v>
      </c>
      <c r="H739" s="1">
        <v>2</v>
      </c>
      <c r="I739" s="1">
        <v>25030000</v>
      </c>
      <c r="J739" s="1">
        <v>930</v>
      </c>
      <c r="K739" s="1">
        <v>0</v>
      </c>
      <c r="L739" s="1">
        <v>14949</v>
      </c>
      <c r="M739" s="1">
        <v>14.172943</v>
      </c>
      <c r="N739" s="1">
        <v>101.77124000000001</v>
      </c>
      <c r="O739" s="1">
        <v>0</v>
      </c>
      <c r="P739" s="1">
        <v>0.61</v>
      </c>
      <c r="Q739" s="1">
        <v>0.27</v>
      </c>
      <c r="R739" s="1">
        <v>0.65</v>
      </c>
      <c r="S739" s="1">
        <v>0.22</v>
      </c>
      <c r="T739" s="1">
        <v>20.27</v>
      </c>
      <c r="U739" s="1">
        <v>5.41</v>
      </c>
      <c r="V739" s="1">
        <v>0</v>
      </c>
      <c r="W739" s="1">
        <v>0</v>
      </c>
      <c r="X739" s="1">
        <v>35811.101431000003</v>
      </c>
      <c r="Y739" s="1">
        <v>80151358.281800002</v>
      </c>
      <c r="Z739" t="str">
        <f>VLOOKUP(G739,'Code Pro'!$A$2:$B$9,2,FALSE)</f>
        <v>จ.ปราจีนบุรี</v>
      </c>
      <c r="AA739" s="8">
        <f t="shared" si="100"/>
        <v>0</v>
      </c>
      <c r="AB739" s="8">
        <f t="shared" si="101"/>
        <v>48892328.551898003</v>
      </c>
      <c r="AC739" s="8">
        <f t="shared" si="102"/>
        <v>21640866.736086003</v>
      </c>
      <c r="AD739" s="8">
        <f t="shared" si="103"/>
        <v>52098382.883170001</v>
      </c>
      <c r="AE739" s="8">
        <f t="shared" si="104"/>
        <v>17633298.821996</v>
      </c>
      <c r="AF739" s="8">
        <f t="shared" si="105"/>
        <v>1624668032.372086</v>
      </c>
      <c r="AG739" s="8">
        <f t="shared" si="106"/>
        <v>433618848.30453801</v>
      </c>
      <c r="AH739" s="8">
        <f t="shared" si="107"/>
        <v>0</v>
      </c>
      <c r="AI739" s="8">
        <f t="shared" si="108"/>
        <v>0</v>
      </c>
    </row>
    <row r="740" spans="1:35" x14ac:dyDescent="0.55000000000000004">
      <c r="A740" s="1">
        <v>738</v>
      </c>
      <c r="B740" s="1" t="s">
        <v>20</v>
      </c>
      <c r="C740" s="1">
        <v>51</v>
      </c>
      <c r="D740" s="1">
        <v>3</v>
      </c>
      <c r="E740" s="1" t="s">
        <v>119</v>
      </c>
      <c r="F740" s="1" t="s">
        <v>120</v>
      </c>
      <c r="G740" s="1">
        <v>25</v>
      </c>
      <c r="H740" s="1">
        <v>2</v>
      </c>
      <c r="I740" s="1">
        <v>25030000</v>
      </c>
      <c r="J740" s="1">
        <v>953</v>
      </c>
      <c r="K740" s="1">
        <v>0</v>
      </c>
      <c r="L740" s="1">
        <v>15188</v>
      </c>
      <c r="M740" s="1">
        <v>14.334099</v>
      </c>
      <c r="N740" s="1">
        <v>101.68810000000001</v>
      </c>
      <c r="O740" s="1">
        <v>1.3</v>
      </c>
      <c r="P740" s="1">
        <v>0.06</v>
      </c>
      <c r="Q740" s="1">
        <v>0.08</v>
      </c>
      <c r="R740" s="1">
        <v>0.1</v>
      </c>
      <c r="S740" s="1">
        <v>0.84</v>
      </c>
      <c r="T740" s="1">
        <v>2.54</v>
      </c>
      <c r="U740" s="1">
        <v>1.67</v>
      </c>
      <c r="V740" s="1">
        <v>0</v>
      </c>
      <c r="W740" s="1">
        <v>0</v>
      </c>
      <c r="X740" s="1">
        <v>35525.432792</v>
      </c>
      <c r="Y740" s="1">
        <v>52115805.882600002</v>
      </c>
      <c r="Z740" t="str">
        <f>VLOOKUP(G740,'Code Pro'!$A$2:$B$9,2,FALSE)</f>
        <v>จ.ปราจีนบุรี</v>
      </c>
      <c r="AA740" s="8">
        <f t="shared" si="100"/>
        <v>67750547.647380009</v>
      </c>
      <c r="AB740" s="8">
        <f t="shared" si="101"/>
        <v>3126948.3529559998</v>
      </c>
      <c r="AC740" s="8">
        <f t="shared" si="102"/>
        <v>4169264.4706080002</v>
      </c>
      <c r="AD740" s="8">
        <f t="shared" si="103"/>
        <v>5211580.5882600006</v>
      </c>
      <c r="AE740" s="8">
        <f t="shared" si="104"/>
        <v>43777276.941384003</v>
      </c>
      <c r="AF740" s="8">
        <f t="shared" si="105"/>
        <v>132374146.94180401</v>
      </c>
      <c r="AG740" s="8">
        <f t="shared" si="106"/>
        <v>87033395.823942006</v>
      </c>
      <c r="AH740" s="8">
        <f t="shared" si="107"/>
        <v>0</v>
      </c>
      <c r="AI740" s="8">
        <f t="shared" si="108"/>
        <v>0</v>
      </c>
    </row>
    <row r="741" spans="1:35" x14ac:dyDescent="0.55000000000000004">
      <c r="A741" s="1">
        <v>739</v>
      </c>
      <c r="B741" s="1" t="s">
        <v>20</v>
      </c>
      <c r="C741" s="1">
        <v>51</v>
      </c>
      <c r="D741" s="1">
        <v>3</v>
      </c>
      <c r="E741" s="1" t="s">
        <v>119</v>
      </c>
      <c r="F741" s="1" t="s">
        <v>120</v>
      </c>
      <c r="G741" s="1">
        <v>25</v>
      </c>
      <c r="H741" s="1">
        <v>2</v>
      </c>
      <c r="I741" s="1">
        <v>25030000</v>
      </c>
      <c r="J741" s="1">
        <v>954</v>
      </c>
      <c r="K741" s="1">
        <v>0</v>
      </c>
      <c r="L741" s="1">
        <v>15187</v>
      </c>
      <c r="M741" s="1">
        <v>14.334099</v>
      </c>
      <c r="N741" s="1">
        <v>101.60496500000001</v>
      </c>
      <c r="O741" s="1">
        <v>20.280000999999999</v>
      </c>
      <c r="P741" s="1">
        <v>1.41</v>
      </c>
      <c r="Q741" s="1">
        <v>0.53</v>
      </c>
      <c r="R741" s="1">
        <v>0.36</v>
      </c>
      <c r="S741" s="1">
        <v>0.05</v>
      </c>
      <c r="T741" s="1">
        <v>12.17</v>
      </c>
      <c r="U741" s="1">
        <v>2.35</v>
      </c>
      <c r="V741" s="1">
        <v>0</v>
      </c>
      <c r="W741" s="1">
        <v>0</v>
      </c>
      <c r="X741" s="1">
        <v>5024.4350569999997</v>
      </c>
      <c r="Y741" s="1">
        <v>949850.89908899995</v>
      </c>
      <c r="Z741" t="str">
        <f>VLOOKUP(G741,'Code Pro'!$A$2:$B$9,2,FALSE)</f>
        <v>จ.ปราจีนบุรี</v>
      </c>
      <c r="AA741" s="8">
        <f t="shared" si="100"/>
        <v>19262977.183375817</v>
      </c>
      <c r="AB741" s="8">
        <f t="shared" si="101"/>
        <v>1339289.76771549</v>
      </c>
      <c r="AC741" s="8">
        <f t="shared" si="102"/>
        <v>503420.97651717003</v>
      </c>
      <c r="AD741" s="8">
        <f t="shared" si="103"/>
        <v>341946.32367203996</v>
      </c>
      <c r="AE741" s="8">
        <f t="shared" si="104"/>
        <v>47492.544954450001</v>
      </c>
      <c r="AF741" s="8">
        <f t="shared" si="105"/>
        <v>11559685.44191313</v>
      </c>
      <c r="AG741" s="8">
        <f t="shared" si="106"/>
        <v>2232149.6128591499</v>
      </c>
      <c r="AH741" s="8">
        <f t="shared" si="107"/>
        <v>0</v>
      </c>
      <c r="AI741" s="8">
        <f t="shared" si="108"/>
        <v>0</v>
      </c>
    </row>
    <row r="742" spans="1:35" x14ac:dyDescent="0.55000000000000004">
      <c r="A742" s="1">
        <v>740</v>
      </c>
      <c r="B742" s="1" t="s">
        <v>20</v>
      </c>
      <c r="C742" s="1">
        <v>51</v>
      </c>
      <c r="D742" s="1">
        <v>3</v>
      </c>
      <c r="E742" s="1" t="s">
        <v>119</v>
      </c>
      <c r="F742" s="1" t="s">
        <v>120</v>
      </c>
      <c r="G742" s="1">
        <v>25</v>
      </c>
      <c r="H742" s="1">
        <v>2</v>
      </c>
      <c r="I742" s="1">
        <v>25030000</v>
      </c>
      <c r="J742" s="1">
        <v>957</v>
      </c>
      <c r="K742" s="1">
        <v>0</v>
      </c>
      <c r="L742" s="1">
        <v>15307</v>
      </c>
      <c r="M742" s="1">
        <v>14.414635000000001</v>
      </c>
      <c r="N742" s="1">
        <v>101.60496500000001</v>
      </c>
      <c r="O742" s="1">
        <v>14.7</v>
      </c>
      <c r="P742" s="1">
        <v>4.57</v>
      </c>
      <c r="Q742" s="1">
        <v>0.02</v>
      </c>
      <c r="R742" s="1">
        <v>7.0000000000000007E-2</v>
      </c>
      <c r="S742" s="1">
        <v>0.51</v>
      </c>
      <c r="T742" s="1">
        <v>36.060001</v>
      </c>
      <c r="U742" s="1">
        <v>7.94</v>
      </c>
      <c r="V742" s="1">
        <v>0</v>
      </c>
      <c r="W742" s="1">
        <v>0</v>
      </c>
      <c r="X742" s="1">
        <v>2625.6949909999998</v>
      </c>
      <c r="Y742" s="1">
        <v>381644.35121300002</v>
      </c>
      <c r="Z742" t="str">
        <f>VLOOKUP(G742,'Code Pro'!$A$2:$B$9,2,FALSE)</f>
        <v>จ.ปราจีนบุรี</v>
      </c>
      <c r="AA742" s="8">
        <f t="shared" si="100"/>
        <v>5610171.9628310995</v>
      </c>
      <c r="AB742" s="8">
        <f t="shared" si="101"/>
        <v>1744114.6850434102</v>
      </c>
      <c r="AC742" s="8">
        <f t="shared" si="102"/>
        <v>7632.8870242600005</v>
      </c>
      <c r="AD742" s="8">
        <f t="shared" si="103"/>
        <v>26715.104584910005</v>
      </c>
      <c r="AE742" s="8">
        <f t="shared" si="104"/>
        <v>194638.61911863001</v>
      </c>
      <c r="AF742" s="8">
        <f t="shared" si="105"/>
        <v>13762095.686385132</v>
      </c>
      <c r="AG742" s="8">
        <f t="shared" si="106"/>
        <v>3030256.1486312202</v>
      </c>
      <c r="AH742" s="8">
        <f t="shared" si="107"/>
        <v>0</v>
      </c>
      <c r="AI742" s="8">
        <f t="shared" si="108"/>
        <v>0</v>
      </c>
    </row>
    <row r="743" spans="1:35" x14ac:dyDescent="0.55000000000000004">
      <c r="A743" s="1">
        <v>741</v>
      </c>
      <c r="B743" s="1" t="s">
        <v>20</v>
      </c>
      <c r="C743" s="1">
        <v>51</v>
      </c>
      <c r="D743" s="1">
        <v>3</v>
      </c>
      <c r="E743" s="1" t="s">
        <v>119</v>
      </c>
      <c r="F743" s="1" t="s">
        <v>120</v>
      </c>
      <c r="G743" s="1">
        <v>25</v>
      </c>
      <c r="H743" s="1">
        <v>2</v>
      </c>
      <c r="I743" s="1">
        <v>25030000</v>
      </c>
      <c r="J743" s="1">
        <v>958</v>
      </c>
      <c r="K743" s="1">
        <v>0</v>
      </c>
      <c r="L743" s="1">
        <v>15069</v>
      </c>
      <c r="M743" s="1">
        <v>14.253532</v>
      </c>
      <c r="N743" s="1">
        <v>101.77124000000001</v>
      </c>
      <c r="O743" s="1">
        <v>0.09</v>
      </c>
      <c r="P743" s="1">
        <v>0.05</v>
      </c>
      <c r="Q743" s="1">
        <v>0.13</v>
      </c>
      <c r="R743" s="1">
        <v>0.7</v>
      </c>
      <c r="S743" s="1">
        <v>0.27</v>
      </c>
      <c r="T743" s="1">
        <v>24.129999000000002</v>
      </c>
      <c r="U743" s="1">
        <v>4.6900000000000004</v>
      </c>
      <c r="V743" s="1">
        <v>0</v>
      </c>
      <c r="W743" s="1">
        <v>0</v>
      </c>
      <c r="X743" s="1">
        <v>35799.852579999999</v>
      </c>
      <c r="Y743" s="1">
        <v>80101033.324000001</v>
      </c>
      <c r="Z743" t="str">
        <f>VLOOKUP(G743,'Code Pro'!$A$2:$B$9,2,FALSE)</f>
        <v>จ.ปราจีนบุรี</v>
      </c>
      <c r="AA743" s="8">
        <f t="shared" si="100"/>
        <v>7209092.9991600001</v>
      </c>
      <c r="AB743" s="8">
        <f t="shared" si="101"/>
        <v>4005051.6662000003</v>
      </c>
      <c r="AC743" s="8">
        <f t="shared" si="102"/>
        <v>10413134.332120001</v>
      </c>
      <c r="AD743" s="8">
        <f t="shared" si="103"/>
        <v>56070723.326799996</v>
      </c>
      <c r="AE743" s="8">
        <f t="shared" si="104"/>
        <v>21627278.997480001</v>
      </c>
      <c r="AF743" s="8">
        <f t="shared" si="105"/>
        <v>1932837854.0070868</v>
      </c>
      <c r="AG743" s="8">
        <f t="shared" si="106"/>
        <v>375673846.28956002</v>
      </c>
      <c r="AH743" s="8">
        <f t="shared" si="107"/>
        <v>0</v>
      </c>
      <c r="AI743" s="8">
        <f t="shared" si="108"/>
        <v>0</v>
      </c>
    </row>
    <row r="744" spans="1:35" x14ac:dyDescent="0.55000000000000004">
      <c r="A744" s="1">
        <v>742</v>
      </c>
      <c r="B744" s="1" t="s">
        <v>20</v>
      </c>
      <c r="C744" s="1">
        <v>51</v>
      </c>
      <c r="D744" s="1">
        <v>3</v>
      </c>
      <c r="E744" s="1" t="s">
        <v>119</v>
      </c>
      <c r="F744" s="1" t="s">
        <v>120</v>
      </c>
      <c r="G744" s="1">
        <v>25</v>
      </c>
      <c r="H744" s="1">
        <v>2</v>
      </c>
      <c r="I744" s="1">
        <v>25030000</v>
      </c>
      <c r="J744" s="1">
        <v>959</v>
      </c>
      <c r="K744" s="1">
        <v>0</v>
      </c>
      <c r="L744" s="1">
        <v>15189</v>
      </c>
      <c r="M744" s="1">
        <v>14.334099</v>
      </c>
      <c r="N744" s="1">
        <v>101.77124000000001</v>
      </c>
      <c r="O744" s="1">
        <v>0.01</v>
      </c>
      <c r="P744" s="1">
        <v>0</v>
      </c>
      <c r="Q744" s="1">
        <v>7.0000000000000007E-2</v>
      </c>
      <c r="R744" s="1">
        <v>0.15</v>
      </c>
      <c r="S744" s="1">
        <v>0.28999999999999998</v>
      </c>
      <c r="T744" s="1">
        <v>4.8</v>
      </c>
      <c r="U744" s="1">
        <v>1.74</v>
      </c>
      <c r="V744" s="1">
        <v>0</v>
      </c>
      <c r="W744" s="1">
        <v>0.04</v>
      </c>
      <c r="X744" s="1">
        <v>33575.218157000003</v>
      </c>
      <c r="Y744" s="1">
        <v>47959010.785400003</v>
      </c>
      <c r="Z744" t="str">
        <f>VLOOKUP(G744,'Code Pro'!$A$2:$B$9,2,FALSE)</f>
        <v>จ.ปราจีนบุรี</v>
      </c>
      <c r="AA744" s="8">
        <f t="shared" si="100"/>
        <v>479590.10785400006</v>
      </c>
      <c r="AB744" s="8">
        <f t="shared" si="101"/>
        <v>0</v>
      </c>
      <c r="AC744" s="8">
        <f t="shared" si="102"/>
        <v>3357130.7549780007</v>
      </c>
      <c r="AD744" s="8">
        <f t="shared" si="103"/>
        <v>7193851.6178100007</v>
      </c>
      <c r="AE744" s="8">
        <f t="shared" si="104"/>
        <v>13908113.127766</v>
      </c>
      <c r="AF744" s="8">
        <f t="shared" si="105"/>
        <v>230203251.76992002</v>
      </c>
      <c r="AG744" s="8">
        <f t="shared" si="106"/>
        <v>83448678.766596004</v>
      </c>
      <c r="AH744" s="8">
        <f t="shared" si="107"/>
        <v>0</v>
      </c>
      <c r="AI744" s="8">
        <f t="shared" si="108"/>
        <v>1918360.4314160002</v>
      </c>
    </row>
    <row r="745" spans="1:35" x14ac:dyDescent="0.55000000000000004">
      <c r="A745" s="1">
        <v>743</v>
      </c>
      <c r="B745" s="1" t="s">
        <v>20</v>
      </c>
      <c r="C745" s="1">
        <v>51</v>
      </c>
      <c r="D745" s="1">
        <v>3</v>
      </c>
      <c r="E745" s="1" t="s">
        <v>119</v>
      </c>
      <c r="F745" s="1" t="s">
        <v>120</v>
      </c>
      <c r="G745" s="1">
        <v>25</v>
      </c>
      <c r="H745" s="1">
        <v>2</v>
      </c>
      <c r="I745" s="1">
        <v>25030000</v>
      </c>
      <c r="J745" s="1">
        <v>961</v>
      </c>
      <c r="K745" s="1">
        <v>0</v>
      </c>
      <c r="L745" s="1">
        <v>15308</v>
      </c>
      <c r="M745" s="1">
        <v>14.414635000000001</v>
      </c>
      <c r="N745" s="1">
        <v>101.68810000000001</v>
      </c>
      <c r="O745" s="1">
        <v>5.5</v>
      </c>
      <c r="P745" s="1">
        <v>0.15</v>
      </c>
      <c r="Q745" s="1">
        <v>0</v>
      </c>
      <c r="R745" s="1">
        <v>0</v>
      </c>
      <c r="S745" s="1">
        <v>2.14</v>
      </c>
      <c r="T745" s="1">
        <v>6.32</v>
      </c>
      <c r="U745" s="1">
        <v>6.64</v>
      </c>
      <c r="V745" s="1">
        <v>0</v>
      </c>
      <c r="W745" s="1">
        <v>0</v>
      </c>
      <c r="X745" s="1">
        <v>8298.8469609999993</v>
      </c>
      <c r="Y745" s="1">
        <v>3430123.3673399999</v>
      </c>
      <c r="Z745" t="str">
        <f>VLOOKUP(G745,'Code Pro'!$A$2:$B$9,2,FALSE)</f>
        <v>จ.ปราจีนบุรี</v>
      </c>
      <c r="AA745" s="8">
        <f t="shared" si="100"/>
        <v>18865678.520369999</v>
      </c>
      <c r="AB745" s="8">
        <f t="shared" si="101"/>
        <v>514518.50510099996</v>
      </c>
      <c r="AC745" s="8">
        <f t="shared" si="102"/>
        <v>0</v>
      </c>
      <c r="AD745" s="8">
        <f t="shared" si="103"/>
        <v>0</v>
      </c>
      <c r="AE745" s="8">
        <f t="shared" si="104"/>
        <v>7340464.0061076004</v>
      </c>
      <c r="AF745" s="8">
        <f t="shared" si="105"/>
        <v>21678379.681588799</v>
      </c>
      <c r="AG745" s="8">
        <f t="shared" si="106"/>
        <v>22776019.159137599</v>
      </c>
      <c r="AH745" s="8">
        <f t="shared" si="107"/>
        <v>0</v>
      </c>
      <c r="AI745" s="8">
        <f t="shared" si="108"/>
        <v>0</v>
      </c>
    </row>
    <row r="746" spans="1:35" x14ac:dyDescent="0.55000000000000004">
      <c r="A746" s="1">
        <v>744</v>
      </c>
      <c r="B746" s="1" t="s">
        <v>20</v>
      </c>
      <c r="C746" s="1">
        <v>51</v>
      </c>
      <c r="D746" s="1">
        <v>3</v>
      </c>
      <c r="E746" s="1" t="s">
        <v>119</v>
      </c>
      <c r="F746" s="1" t="s">
        <v>120</v>
      </c>
      <c r="G746" s="1">
        <v>25</v>
      </c>
      <c r="H746" s="1">
        <v>2</v>
      </c>
      <c r="I746" s="1">
        <v>25030000</v>
      </c>
      <c r="J746" s="1">
        <v>1148</v>
      </c>
      <c r="K746" s="1">
        <v>0</v>
      </c>
      <c r="L746" s="1">
        <v>14711</v>
      </c>
      <c r="M746" s="1">
        <v>14.011680999999999</v>
      </c>
      <c r="N746" s="1">
        <v>101.93751</v>
      </c>
      <c r="O746" s="1">
        <v>0</v>
      </c>
      <c r="P746" s="1">
        <v>0.02</v>
      </c>
      <c r="Q746" s="1">
        <v>7.0000000000000007E-2</v>
      </c>
      <c r="R746" s="1">
        <v>0</v>
      </c>
      <c r="S746" s="1">
        <v>0.03</v>
      </c>
      <c r="T746" s="1">
        <v>12.56</v>
      </c>
      <c r="U746" s="1">
        <v>13.38</v>
      </c>
      <c r="V746" s="1">
        <v>0</v>
      </c>
      <c r="W746" s="1">
        <v>0</v>
      </c>
      <c r="X746" s="1">
        <v>24624.343064000001</v>
      </c>
      <c r="Y746" s="1">
        <v>29585144.590999998</v>
      </c>
      <c r="Z746" t="str">
        <f>VLOOKUP(G746,'Code Pro'!$A$2:$B$9,2,FALSE)</f>
        <v>จ.ปราจีนบุรี</v>
      </c>
      <c r="AA746" s="8">
        <f t="shared" si="100"/>
        <v>0</v>
      </c>
      <c r="AB746" s="8">
        <f t="shared" si="101"/>
        <v>591702.89182000002</v>
      </c>
      <c r="AC746" s="8">
        <f t="shared" si="102"/>
        <v>2070960.1213700001</v>
      </c>
      <c r="AD746" s="8">
        <f t="shared" si="103"/>
        <v>0</v>
      </c>
      <c r="AE746" s="8">
        <f t="shared" si="104"/>
        <v>887554.33772999991</v>
      </c>
      <c r="AF746" s="8">
        <f t="shared" si="105"/>
        <v>371589416.06295997</v>
      </c>
      <c r="AG746" s="8">
        <f t="shared" si="106"/>
        <v>395849234.62757999</v>
      </c>
      <c r="AH746" s="8">
        <f t="shared" si="107"/>
        <v>0</v>
      </c>
      <c r="AI746" s="8">
        <f t="shared" si="108"/>
        <v>0</v>
      </c>
    </row>
    <row r="747" spans="1:35" x14ac:dyDescent="0.55000000000000004">
      <c r="A747" s="1">
        <v>745</v>
      </c>
      <c r="B747" s="1" t="s">
        <v>20</v>
      </c>
      <c r="C747" s="1">
        <v>51</v>
      </c>
      <c r="D747" s="1">
        <v>3</v>
      </c>
      <c r="E747" s="1" t="s">
        <v>119</v>
      </c>
      <c r="F747" s="1" t="s">
        <v>120</v>
      </c>
      <c r="G747" s="1">
        <v>25</v>
      </c>
      <c r="H747" s="1">
        <v>2</v>
      </c>
      <c r="I747" s="1">
        <v>25030000</v>
      </c>
      <c r="J747" s="1">
        <v>1149</v>
      </c>
      <c r="K747" s="1">
        <v>0</v>
      </c>
      <c r="L747" s="1">
        <v>14830</v>
      </c>
      <c r="M747" s="1">
        <v>14.092331</v>
      </c>
      <c r="N747" s="1">
        <v>101.85438000000001</v>
      </c>
      <c r="O747" s="1">
        <v>0</v>
      </c>
      <c r="P747" s="1">
        <v>1.2</v>
      </c>
      <c r="Q747" s="1">
        <v>0.19</v>
      </c>
      <c r="R747" s="1">
        <v>0.02</v>
      </c>
      <c r="S747" s="1">
        <v>7.0000000000000007E-2</v>
      </c>
      <c r="T747" s="1">
        <v>21.4</v>
      </c>
      <c r="U747" s="1">
        <v>12.48</v>
      </c>
      <c r="V747" s="1">
        <v>0</v>
      </c>
      <c r="W747" s="1">
        <v>0</v>
      </c>
      <c r="X747" s="1">
        <v>37039.647507000001</v>
      </c>
      <c r="Y747" s="1">
        <v>27274968.099199999</v>
      </c>
      <c r="Z747" t="str">
        <f>VLOOKUP(G747,'Code Pro'!$A$2:$B$9,2,FALSE)</f>
        <v>จ.ปราจีนบุรี</v>
      </c>
      <c r="AA747" s="8">
        <f t="shared" si="100"/>
        <v>0</v>
      </c>
      <c r="AB747" s="8">
        <f t="shared" si="101"/>
        <v>32729961.719039999</v>
      </c>
      <c r="AC747" s="8">
        <f t="shared" si="102"/>
        <v>5182243.938848</v>
      </c>
      <c r="AD747" s="8">
        <f t="shared" si="103"/>
        <v>545499.36198399996</v>
      </c>
      <c r="AE747" s="8">
        <f t="shared" si="104"/>
        <v>1909247.766944</v>
      </c>
      <c r="AF747" s="8">
        <f t="shared" si="105"/>
        <v>583684317.32287991</v>
      </c>
      <c r="AG747" s="8">
        <f t="shared" si="106"/>
        <v>340391601.878016</v>
      </c>
      <c r="AH747" s="8">
        <f t="shared" si="107"/>
        <v>0</v>
      </c>
      <c r="AI747" s="8">
        <f t="shared" si="108"/>
        <v>0</v>
      </c>
    </row>
    <row r="748" spans="1:35" x14ac:dyDescent="0.55000000000000004">
      <c r="A748" s="1">
        <v>746</v>
      </c>
      <c r="B748" s="1" t="s">
        <v>20</v>
      </c>
      <c r="C748" s="1">
        <v>51</v>
      </c>
      <c r="D748" s="1">
        <v>3</v>
      </c>
      <c r="E748" s="1" t="s">
        <v>119</v>
      </c>
      <c r="F748" s="1" t="s">
        <v>120</v>
      </c>
      <c r="G748" s="1">
        <v>25</v>
      </c>
      <c r="H748" s="1">
        <v>2</v>
      </c>
      <c r="I748" s="1">
        <v>25030000</v>
      </c>
      <c r="J748" s="1">
        <v>1150</v>
      </c>
      <c r="K748" s="1">
        <v>0</v>
      </c>
      <c r="L748" s="1">
        <v>14951</v>
      </c>
      <c r="M748" s="1">
        <v>14.172943</v>
      </c>
      <c r="N748" s="1">
        <v>101.93751</v>
      </c>
      <c r="O748" s="1">
        <v>0.93</v>
      </c>
      <c r="P748" s="1">
        <v>13.62</v>
      </c>
      <c r="Q748" s="1">
        <v>0.72</v>
      </c>
      <c r="R748" s="1">
        <v>0.16</v>
      </c>
      <c r="S748" s="1">
        <v>4.78</v>
      </c>
      <c r="T748" s="1">
        <v>32.209999000000003</v>
      </c>
      <c r="U748" s="1">
        <v>10.37</v>
      </c>
      <c r="V748" s="1">
        <v>2.2999999999999998</v>
      </c>
      <c r="W748" s="1">
        <v>0</v>
      </c>
      <c r="X748" s="1">
        <v>35814.382210999996</v>
      </c>
      <c r="Y748" s="1">
        <v>80166067.905599996</v>
      </c>
      <c r="Z748" t="str">
        <f>VLOOKUP(G748,'Code Pro'!$A$2:$B$9,2,FALSE)</f>
        <v>จ.ปราจีนบุรี</v>
      </c>
      <c r="AA748" s="8">
        <f t="shared" si="100"/>
        <v>74554443.152208</v>
      </c>
      <c r="AB748" s="8">
        <f t="shared" si="101"/>
        <v>1091861844.8742719</v>
      </c>
      <c r="AC748" s="8">
        <f t="shared" si="102"/>
        <v>57719568.892031997</v>
      </c>
      <c r="AD748" s="8">
        <f t="shared" si="103"/>
        <v>12826570.864895999</v>
      </c>
      <c r="AE748" s="8">
        <f t="shared" si="104"/>
        <v>383193804.58876801</v>
      </c>
      <c r="AF748" s="8">
        <f t="shared" si="105"/>
        <v>2582148967.0733085</v>
      </c>
      <c r="AG748" s="8">
        <f t="shared" si="106"/>
        <v>831322124.18107188</v>
      </c>
      <c r="AH748" s="8">
        <f t="shared" si="107"/>
        <v>184381956.18287998</v>
      </c>
      <c r="AI748" s="8">
        <f t="shared" si="108"/>
        <v>0</v>
      </c>
    </row>
    <row r="749" spans="1:35" x14ac:dyDescent="0.55000000000000004">
      <c r="A749" s="1">
        <v>747</v>
      </c>
      <c r="B749" s="1" t="s">
        <v>20</v>
      </c>
      <c r="C749" s="1">
        <v>51</v>
      </c>
      <c r="D749" s="1">
        <v>3</v>
      </c>
      <c r="E749" s="1" t="s">
        <v>119</v>
      </c>
      <c r="F749" s="1" t="s">
        <v>120</v>
      </c>
      <c r="G749" s="1">
        <v>25</v>
      </c>
      <c r="H749" s="1">
        <v>2</v>
      </c>
      <c r="I749" s="1">
        <v>25030000</v>
      </c>
      <c r="J749" s="1">
        <v>1151</v>
      </c>
      <c r="K749" s="1">
        <v>0</v>
      </c>
      <c r="L749" s="1">
        <v>14950</v>
      </c>
      <c r="M749" s="1">
        <v>14.172943</v>
      </c>
      <c r="N749" s="1">
        <v>101.85438000000001</v>
      </c>
      <c r="O749" s="1">
        <v>0</v>
      </c>
      <c r="P749" s="1">
        <v>0.28999999999999998</v>
      </c>
      <c r="Q749" s="1">
        <v>0.1</v>
      </c>
      <c r="R749" s="1">
        <v>0.15</v>
      </c>
      <c r="S749" s="1">
        <v>0.02</v>
      </c>
      <c r="T749" s="1">
        <v>35.560001</v>
      </c>
      <c r="U749" s="1">
        <v>3.3</v>
      </c>
      <c r="V749" s="1">
        <v>0</v>
      </c>
      <c r="W749" s="1">
        <v>0</v>
      </c>
      <c r="X749" s="1">
        <v>35812.436019000001</v>
      </c>
      <c r="Y749" s="1">
        <v>80157347.873899996</v>
      </c>
      <c r="Z749" t="str">
        <f>VLOOKUP(G749,'Code Pro'!$A$2:$B$9,2,FALSE)</f>
        <v>จ.ปราจีนบุรี</v>
      </c>
      <c r="AA749" s="8">
        <f t="shared" si="100"/>
        <v>0</v>
      </c>
      <c r="AB749" s="8">
        <f t="shared" si="101"/>
        <v>23245630.883430999</v>
      </c>
      <c r="AC749" s="8">
        <f t="shared" si="102"/>
        <v>8015734.7873900002</v>
      </c>
      <c r="AD749" s="8">
        <f t="shared" si="103"/>
        <v>12023602.181085</v>
      </c>
      <c r="AE749" s="8">
        <f t="shared" si="104"/>
        <v>1603146.9574779999</v>
      </c>
      <c r="AF749" s="8">
        <f t="shared" si="105"/>
        <v>2850395370.5532317</v>
      </c>
      <c r="AG749" s="8">
        <f t="shared" si="106"/>
        <v>264519247.98386997</v>
      </c>
      <c r="AH749" s="8">
        <f t="shared" si="107"/>
        <v>0</v>
      </c>
      <c r="AI749" s="8">
        <f t="shared" si="108"/>
        <v>0</v>
      </c>
    </row>
    <row r="750" spans="1:35" x14ac:dyDescent="0.55000000000000004">
      <c r="A750" s="1">
        <v>748</v>
      </c>
      <c r="B750" s="1" t="s">
        <v>20</v>
      </c>
      <c r="C750" s="1">
        <v>51</v>
      </c>
      <c r="D750" s="1">
        <v>3</v>
      </c>
      <c r="E750" s="1" t="s">
        <v>119</v>
      </c>
      <c r="F750" s="1" t="s">
        <v>120</v>
      </c>
      <c r="G750" s="1">
        <v>25</v>
      </c>
      <c r="H750" s="1">
        <v>2</v>
      </c>
      <c r="I750" s="1">
        <v>25030000</v>
      </c>
      <c r="J750" s="1">
        <v>1152</v>
      </c>
      <c r="K750" s="1">
        <v>0</v>
      </c>
      <c r="L750" s="1">
        <v>14831</v>
      </c>
      <c r="M750" s="1">
        <v>14.092331</v>
      </c>
      <c r="N750" s="1">
        <v>101.93751</v>
      </c>
      <c r="O750" s="1">
        <v>0</v>
      </c>
      <c r="P750" s="1">
        <v>0.34</v>
      </c>
      <c r="Q750" s="1">
        <v>0.14000000000000001</v>
      </c>
      <c r="R750" s="1">
        <v>0.01</v>
      </c>
      <c r="S750" s="1">
        <v>0.06</v>
      </c>
      <c r="T750" s="1">
        <v>31.32</v>
      </c>
      <c r="U750" s="1">
        <v>5.0999999999999996</v>
      </c>
      <c r="V750" s="1">
        <v>0</v>
      </c>
      <c r="W750" s="1">
        <v>0</v>
      </c>
      <c r="X750" s="1">
        <v>36559.412028999999</v>
      </c>
      <c r="Y750" s="1">
        <v>77943403.766900003</v>
      </c>
      <c r="Z750" t="str">
        <f>VLOOKUP(G750,'Code Pro'!$A$2:$B$9,2,FALSE)</f>
        <v>จ.ปราจีนบุรี</v>
      </c>
      <c r="AA750" s="8">
        <f t="shared" si="100"/>
        <v>0</v>
      </c>
      <c r="AB750" s="8">
        <f t="shared" si="101"/>
        <v>26500757.280746002</v>
      </c>
      <c r="AC750" s="8">
        <f t="shared" si="102"/>
        <v>10912076.527366001</v>
      </c>
      <c r="AD750" s="8">
        <f t="shared" si="103"/>
        <v>779434.0376690001</v>
      </c>
      <c r="AE750" s="8">
        <f t="shared" si="104"/>
        <v>4676604.2260140004</v>
      </c>
      <c r="AF750" s="8">
        <f t="shared" si="105"/>
        <v>2441187405.9793081</v>
      </c>
      <c r="AG750" s="8">
        <f t="shared" si="106"/>
        <v>397511359.21118999</v>
      </c>
      <c r="AH750" s="8">
        <f t="shared" si="107"/>
        <v>0</v>
      </c>
      <c r="AI750" s="8">
        <f t="shared" si="108"/>
        <v>0</v>
      </c>
    </row>
    <row r="751" spans="1:35" x14ac:dyDescent="0.55000000000000004">
      <c r="A751" s="1">
        <v>749</v>
      </c>
      <c r="B751" s="1" t="s">
        <v>20</v>
      </c>
      <c r="C751" s="1">
        <v>51</v>
      </c>
      <c r="D751" s="1">
        <v>3</v>
      </c>
      <c r="E751" s="1" t="s">
        <v>119</v>
      </c>
      <c r="F751" s="1" t="s">
        <v>120</v>
      </c>
      <c r="G751" s="1">
        <v>25</v>
      </c>
      <c r="H751" s="1">
        <v>2</v>
      </c>
      <c r="I751" s="1">
        <v>25030000</v>
      </c>
      <c r="J751" s="1">
        <v>1153</v>
      </c>
      <c r="K751" s="1">
        <v>0</v>
      </c>
      <c r="L751" s="1">
        <v>15071</v>
      </c>
      <c r="M751" s="1">
        <v>14.253532</v>
      </c>
      <c r="N751" s="1">
        <v>101.93751</v>
      </c>
      <c r="O751" s="1">
        <v>1.58</v>
      </c>
      <c r="P751" s="1">
        <v>1.01</v>
      </c>
      <c r="Q751" s="1">
        <v>0.17</v>
      </c>
      <c r="R751" s="1">
        <v>7.0000000000000007E-2</v>
      </c>
      <c r="S751" s="1">
        <v>0.09</v>
      </c>
      <c r="T751" s="1">
        <v>81.739998</v>
      </c>
      <c r="U751" s="1">
        <v>0.86</v>
      </c>
      <c r="V751" s="1">
        <v>0</v>
      </c>
      <c r="W751" s="1">
        <v>0</v>
      </c>
      <c r="X751" s="1">
        <v>36472.371987999999</v>
      </c>
      <c r="Y751" s="1">
        <v>53736769.327399999</v>
      </c>
      <c r="Z751" t="str">
        <f>VLOOKUP(G751,'Code Pro'!$A$2:$B$9,2,FALSE)</f>
        <v>จ.ปราจีนบุรี</v>
      </c>
      <c r="AA751" s="8">
        <f t="shared" si="100"/>
        <v>84904095.537292004</v>
      </c>
      <c r="AB751" s="8">
        <f t="shared" si="101"/>
        <v>54274137.020673998</v>
      </c>
      <c r="AC751" s="8">
        <f t="shared" si="102"/>
        <v>9135250.785658</v>
      </c>
      <c r="AD751" s="8">
        <f t="shared" si="103"/>
        <v>3761573.8529180004</v>
      </c>
      <c r="AE751" s="8">
        <f t="shared" si="104"/>
        <v>4836309.2394659994</v>
      </c>
      <c r="AF751" s="8">
        <f t="shared" si="105"/>
        <v>4392443417.3481369</v>
      </c>
      <c r="AG751" s="8">
        <f t="shared" si="106"/>
        <v>46213621.621564001</v>
      </c>
      <c r="AH751" s="8">
        <f t="shared" si="107"/>
        <v>0</v>
      </c>
      <c r="AI751" s="8">
        <f t="shared" si="108"/>
        <v>0</v>
      </c>
    </row>
    <row r="752" spans="1:35" x14ac:dyDescent="0.55000000000000004">
      <c r="A752" s="1">
        <v>750</v>
      </c>
      <c r="B752" s="1" t="s">
        <v>20</v>
      </c>
      <c r="C752" s="1">
        <v>51</v>
      </c>
      <c r="D752" s="1">
        <v>3</v>
      </c>
      <c r="E752" s="1" t="s">
        <v>119</v>
      </c>
      <c r="F752" s="1" t="s">
        <v>120</v>
      </c>
      <c r="G752" s="1">
        <v>25</v>
      </c>
      <c r="H752" s="1">
        <v>2</v>
      </c>
      <c r="I752" s="1">
        <v>25030000</v>
      </c>
      <c r="J752" s="1">
        <v>1154</v>
      </c>
      <c r="K752" s="1">
        <v>0</v>
      </c>
      <c r="L752" s="1">
        <v>15070</v>
      </c>
      <c r="M752" s="1">
        <v>14.253532</v>
      </c>
      <c r="N752" s="1">
        <v>101.85438000000001</v>
      </c>
      <c r="O752" s="1">
        <v>7.0000000000000007E-2</v>
      </c>
      <c r="P752" s="1">
        <v>0.04</v>
      </c>
      <c r="Q752" s="1">
        <v>0</v>
      </c>
      <c r="R752" s="1">
        <v>0.24</v>
      </c>
      <c r="S752" s="1">
        <v>0.03</v>
      </c>
      <c r="T752" s="1">
        <v>30.59</v>
      </c>
      <c r="U752" s="1">
        <v>10.19</v>
      </c>
      <c r="V752" s="1">
        <v>0</v>
      </c>
      <c r="W752" s="1">
        <v>0</v>
      </c>
      <c r="X752" s="1">
        <v>35801.185058000003</v>
      </c>
      <c r="Y752" s="1">
        <v>80107011.393700004</v>
      </c>
      <c r="Z752" t="str">
        <f>VLOOKUP(G752,'Code Pro'!$A$2:$B$9,2,FALSE)</f>
        <v>จ.ปราจีนบุรี</v>
      </c>
      <c r="AA752" s="8">
        <f t="shared" si="100"/>
        <v>5607490.7975590006</v>
      </c>
      <c r="AB752" s="8">
        <f t="shared" si="101"/>
        <v>3204280.4557480002</v>
      </c>
      <c r="AC752" s="8">
        <f t="shared" si="102"/>
        <v>0</v>
      </c>
      <c r="AD752" s="8">
        <f t="shared" si="103"/>
        <v>19225682.734487999</v>
      </c>
      <c r="AE752" s="8">
        <f t="shared" si="104"/>
        <v>2403210.3418109999</v>
      </c>
      <c r="AF752" s="8">
        <f t="shared" si="105"/>
        <v>2450473478.5332832</v>
      </c>
      <c r="AG752" s="8">
        <f t="shared" si="106"/>
        <v>816290446.10180295</v>
      </c>
      <c r="AH752" s="8">
        <f t="shared" si="107"/>
        <v>0</v>
      </c>
      <c r="AI752" s="8">
        <f t="shared" si="108"/>
        <v>0</v>
      </c>
    </row>
    <row r="753" spans="1:35" x14ac:dyDescent="0.55000000000000004">
      <c r="A753" s="1">
        <v>751</v>
      </c>
      <c r="B753" s="1" t="s">
        <v>20</v>
      </c>
      <c r="C753" s="1">
        <v>51</v>
      </c>
      <c r="D753" s="1">
        <v>3</v>
      </c>
      <c r="E753" s="1" t="s">
        <v>119</v>
      </c>
      <c r="F753" s="1" t="s">
        <v>120</v>
      </c>
      <c r="G753" s="1">
        <v>25</v>
      </c>
      <c r="H753" s="1">
        <v>2</v>
      </c>
      <c r="I753" s="1">
        <v>25030000</v>
      </c>
      <c r="J753" s="1">
        <v>1156</v>
      </c>
      <c r="K753" s="1">
        <v>0</v>
      </c>
      <c r="L753" s="1">
        <v>15191</v>
      </c>
      <c r="M753" s="1">
        <v>14.334099</v>
      </c>
      <c r="N753" s="1">
        <v>101.93751</v>
      </c>
      <c r="O753" s="1">
        <v>1.59</v>
      </c>
      <c r="P753" s="1">
        <v>0.47</v>
      </c>
      <c r="Q753" s="1">
        <v>0.16</v>
      </c>
      <c r="R753" s="1">
        <v>0.6</v>
      </c>
      <c r="S753" s="1">
        <v>0.28999999999999998</v>
      </c>
      <c r="T753" s="1">
        <v>4.37</v>
      </c>
      <c r="U753" s="1">
        <v>0.15</v>
      </c>
      <c r="V753" s="1">
        <v>0</v>
      </c>
      <c r="W753" s="1">
        <v>0</v>
      </c>
      <c r="X753" s="1">
        <v>17240.190267999998</v>
      </c>
      <c r="Y753" s="1">
        <v>16882023.9243</v>
      </c>
      <c r="Z753" t="str">
        <f>VLOOKUP(G753,'Code Pro'!$A$2:$B$9,2,FALSE)</f>
        <v>จ.ปราจีนบุรี</v>
      </c>
      <c r="AA753" s="8">
        <f t="shared" si="100"/>
        <v>26842418.039637003</v>
      </c>
      <c r="AB753" s="8">
        <f t="shared" si="101"/>
        <v>7934551.2444209997</v>
      </c>
      <c r="AC753" s="8">
        <f t="shared" si="102"/>
        <v>2701123.8278880003</v>
      </c>
      <c r="AD753" s="8">
        <f t="shared" si="103"/>
        <v>10129214.35458</v>
      </c>
      <c r="AE753" s="8">
        <f t="shared" si="104"/>
        <v>4895786.9380469993</v>
      </c>
      <c r="AF753" s="8">
        <f t="shared" si="105"/>
        <v>73774444.549190998</v>
      </c>
      <c r="AG753" s="8">
        <f t="shared" si="106"/>
        <v>2532303.588645</v>
      </c>
      <c r="AH753" s="8">
        <f t="shared" si="107"/>
        <v>0</v>
      </c>
      <c r="AI753" s="8">
        <f t="shared" si="108"/>
        <v>0</v>
      </c>
    </row>
    <row r="754" spans="1:35" x14ac:dyDescent="0.55000000000000004">
      <c r="A754" s="1">
        <v>752</v>
      </c>
      <c r="B754" s="1" t="s">
        <v>20</v>
      </c>
      <c r="C754" s="1">
        <v>51</v>
      </c>
      <c r="D754" s="1">
        <v>3</v>
      </c>
      <c r="E754" s="1" t="s">
        <v>119</v>
      </c>
      <c r="F754" s="1" t="s">
        <v>120</v>
      </c>
      <c r="G754" s="1">
        <v>25</v>
      </c>
      <c r="H754" s="1">
        <v>2</v>
      </c>
      <c r="I754" s="1">
        <v>25030000</v>
      </c>
      <c r="J754" s="1">
        <v>1157</v>
      </c>
      <c r="K754" s="1">
        <v>0</v>
      </c>
      <c r="L754" s="1">
        <v>15190</v>
      </c>
      <c r="M754" s="1">
        <v>14.334099</v>
      </c>
      <c r="N754" s="1">
        <v>101.85438000000001</v>
      </c>
      <c r="O754" s="1">
        <v>0.28000000000000003</v>
      </c>
      <c r="P754" s="1">
        <v>0.01</v>
      </c>
      <c r="Q754" s="1">
        <v>0.08</v>
      </c>
      <c r="R754" s="1">
        <v>0.36</v>
      </c>
      <c r="S754" s="1">
        <v>0.11</v>
      </c>
      <c r="T754" s="1">
        <v>2.27</v>
      </c>
      <c r="U754" s="1">
        <v>4.2</v>
      </c>
      <c r="V754" s="1">
        <v>0</v>
      </c>
      <c r="W754" s="1">
        <v>0</v>
      </c>
      <c r="X754" s="1">
        <v>33521.043189999997</v>
      </c>
      <c r="Y754" s="1">
        <v>47600093.236900002</v>
      </c>
      <c r="Z754" t="str">
        <f>VLOOKUP(G754,'Code Pro'!$A$2:$B$9,2,FALSE)</f>
        <v>จ.ปราจีนบุรี</v>
      </c>
      <c r="AA754" s="8">
        <f t="shared" si="100"/>
        <v>13328026.106332002</v>
      </c>
      <c r="AB754" s="8">
        <f t="shared" si="101"/>
        <v>476000.93236900005</v>
      </c>
      <c r="AC754" s="8">
        <f t="shared" si="102"/>
        <v>3808007.4589520004</v>
      </c>
      <c r="AD754" s="8">
        <f t="shared" si="103"/>
        <v>17136033.565283999</v>
      </c>
      <c r="AE754" s="8">
        <f t="shared" si="104"/>
        <v>5236010.2560590003</v>
      </c>
      <c r="AF754" s="8">
        <f t="shared" si="105"/>
        <v>108052211.647763</v>
      </c>
      <c r="AG754" s="8">
        <f t="shared" si="106"/>
        <v>199920391.59498</v>
      </c>
      <c r="AH754" s="8">
        <f t="shared" si="107"/>
        <v>0</v>
      </c>
      <c r="AI754" s="8">
        <f t="shared" si="108"/>
        <v>0</v>
      </c>
    </row>
    <row r="755" spans="1:35" x14ac:dyDescent="0.55000000000000004">
      <c r="A755" s="1">
        <v>753</v>
      </c>
      <c r="B755" s="1" t="s">
        <v>20</v>
      </c>
      <c r="C755" s="1">
        <v>51</v>
      </c>
      <c r="D755" s="1">
        <v>3</v>
      </c>
      <c r="E755" s="1" t="s">
        <v>119</v>
      </c>
      <c r="F755" s="1" t="s">
        <v>120</v>
      </c>
      <c r="G755" s="1">
        <v>25</v>
      </c>
      <c r="H755" s="1">
        <v>2</v>
      </c>
      <c r="I755" s="1">
        <v>25030000</v>
      </c>
      <c r="J755" s="1">
        <v>1158</v>
      </c>
      <c r="K755" s="1">
        <v>0</v>
      </c>
      <c r="L755" s="1">
        <v>14712</v>
      </c>
      <c r="M755" s="1">
        <v>14.011680999999999</v>
      </c>
      <c r="N755" s="1">
        <v>102.020645</v>
      </c>
      <c r="O755" s="1">
        <v>0</v>
      </c>
      <c r="P755" s="1">
        <v>0</v>
      </c>
      <c r="Q755" s="1">
        <v>7.0000000000000007E-2</v>
      </c>
      <c r="R755" s="1">
        <v>0.01</v>
      </c>
      <c r="S755" s="1">
        <v>0.25</v>
      </c>
      <c r="T755" s="1">
        <v>23.93</v>
      </c>
      <c r="U755" s="1">
        <v>15.74</v>
      </c>
      <c r="V755" s="1">
        <v>0</v>
      </c>
      <c r="W755" s="1">
        <v>0</v>
      </c>
      <c r="X755" s="1">
        <v>22492.031197</v>
      </c>
      <c r="Y755" s="1">
        <v>18504040.3741</v>
      </c>
      <c r="Z755" t="str">
        <f>VLOOKUP(G755,'Code Pro'!$A$2:$B$9,2,FALSE)</f>
        <v>จ.ปราจีนบุรี</v>
      </c>
      <c r="AA755" s="8">
        <f t="shared" si="100"/>
        <v>0</v>
      </c>
      <c r="AB755" s="8">
        <f t="shared" si="101"/>
        <v>0</v>
      </c>
      <c r="AC755" s="8">
        <f t="shared" si="102"/>
        <v>1295282.8261870001</v>
      </c>
      <c r="AD755" s="8">
        <f t="shared" si="103"/>
        <v>185040.40374099999</v>
      </c>
      <c r="AE755" s="8">
        <f t="shared" si="104"/>
        <v>4626010.0935249999</v>
      </c>
      <c r="AF755" s="8">
        <f t="shared" si="105"/>
        <v>442801686.15221298</v>
      </c>
      <c r="AG755" s="8">
        <f t="shared" si="106"/>
        <v>291253595.488334</v>
      </c>
      <c r="AH755" s="8">
        <f t="shared" si="107"/>
        <v>0</v>
      </c>
      <c r="AI755" s="8">
        <f t="shared" si="108"/>
        <v>0</v>
      </c>
    </row>
    <row r="756" spans="1:35" x14ac:dyDescent="0.55000000000000004">
      <c r="A756" s="1">
        <v>754</v>
      </c>
      <c r="B756" s="1" t="s">
        <v>20</v>
      </c>
      <c r="C756" s="1">
        <v>51</v>
      </c>
      <c r="D756" s="1">
        <v>3</v>
      </c>
      <c r="E756" s="1" t="s">
        <v>119</v>
      </c>
      <c r="F756" s="1" t="s">
        <v>120</v>
      </c>
      <c r="G756" s="1">
        <v>25</v>
      </c>
      <c r="H756" s="1">
        <v>2</v>
      </c>
      <c r="I756" s="1">
        <v>25030000</v>
      </c>
      <c r="J756" s="1">
        <v>1159</v>
      </c>
      <c r="K756" s="1">
        <v>0</v>
      </c>
      <c r="L756" s="1">
        <v>14832</v>
      </c>
      <c r="M756" s="1">
        <v>14.092331</v>
      </c>
      <c r="N756" s="1">
        <v>102.020645</v>
      </c>
      <c r="O756" s="1">
        <v>0</v>
      </c>
      <c r="P756" s="1">
        <v>0.01</v>
      </c>
      <c r="Q756" s="1">
        <v>0.31</v>
      </c>
      <c r="R756" s="1">
        <v>0.03</v>
      </c>
      <c r="S756" s="1">
        <v>0.18</v>
      </c>
      <c r="T756" s="1">
        <v>58.450001</v>
      </c>
      <c r="U756" s="1">
        <v>8.7100000000000009</v>
      </c>
      <c r="V756" s="1">
        <v>0</v>
      </c>
      <c r="W756" s="1">
        <v>0</v>
      </c>
      <c r="X756" s="1">
        <v>35830.475627</v>
      </c>
      <c r="Y756" s="1">
        <v>80238127.688800007</v>
      </c>
      <c r="Z756" t="str">
        <f>VLOOKUP(G756,'Code Pro'!$A$2:$B$9,2,FALSE)</f>
        <v>จ.ปราจีนบุรี</v>
      </c>
      <c r="AA756" s="8">
        <f t="shared" si="100"/>
        <v>0</v>
      </c>
      <c r="AB756" s="8">
        <f t="shared" si="101"/>
        <v>802381.27688800008</v>
      </c>
      <c r="AC756" s="8">
        <f t="shared" si="102"/>
        <v>24873819.583528001</v>
      </c>
      <c r="AD756" s="8">
        <f t="shared" si="103"/>
        <v>2407143.830664</v>
      </c>
      <c r="AE756" s="8">
        <f t="shared" si="104"/>
        <v>14442862.983984001</v>
      </c>
      <c r="AF756" s="8">
        <f t="shared" si="105"/>
        <v>4689918643.648488</v>
      </c>
      <c r="AG756" s="8">
        <f t="shared" si="106"/>
        <v>698874092.16944814</v>
      </c>
      <c r="AH756" s="8">
        <f t="shared" si="107"/>
        <v>0</v>
      </c>
      <c r="AI756" s="8">
        <f t="shared" si="108"/>
        <v>0</v>
      </c>
    </row>
    <row r="757" spans="1:35" x14ac:dyDescent="0.55000000000000004">
      <c r="A757" s="1">
        <v>755</v>
      </c>
      <c r="B757" s="1" t="s">
        <v>20</v>
      </c>
      <c r="C757" s="1">
        <v>51</v>
      </c>
      <c r="D757" s="1">
        <v>3</v>
      </c>
      <c r="E757" s="1" t="s">
        <v>119</v>
      </c>
      <c r="F757" s="1" t="s">
        <v>120</v>
      </c>
      <c r="G757" s="1">
        <v>25</v>
      </c>
      <c r="H757" s="1">
        <v>2</v>
      </c>
      <c r="I757" s="1">
        <v>25030000</v>
      </c>
      <c r="J757" s="1">
        <v>1160</v>
      </c>
      <c r="K757" s="1">
        <v>0</v>
      </c>
      <c r="L757" s="1">
        <v>14713</v>
      </c>
      <c r="M757" s="1">
        <v>14.011680999999999</v>
      </c>
      <c r="N757" s="1">
        <v>102.10378</v>
      </c>
      <c r="O757" s="1">
        <v>0</v>
      </c>
      <c r="P757" s="1">
        <v>2.09</v>
      </c>
      <c r="Q757" s="1">
        <v>0.14000000000000001</v>
      </c>
      <c r="R757" s="1">
        <v>0.09</v>
      </c>
      <c r="S757" s="1">
        <v>1.43</v>
      </c>
      <c r="T757" s="1">
        <v>18.68</v>
      </c>
      <c r="U757" s="1">
        <v>3.11</v>
      </c>
      <c r="V757" s="1">
        <v>0.22</v>
      </c>
      <c r="W757" s="1">
        <v>0</v>
      </c>
      <c r="X757" s="1">
        <v>7369.5205779999997</v>
      </c>
      <c r="Y757" s="1">
        <v>3077265.5301700002</v>
      </c>
      <c r="Z757" t="str">
        <f>VLOOKUP(G757,'Code Pro'!$A$2:$B$9,2,FALSE)</f>
        <v>จ.ปราจีนบุรี</v>
      </c>
      <c r="AA757" s="8">
        <f t="shared" si="100"/>
        <v>0</v>
      </c>
      <c r="AB757" s="8">
        <f t="shared" si="101"/>
        <v>6431484.9580552997</v>
      </c>
      <c r="AC757" s="8">
        <f t="shared" si="102"/>
        <v>430817.17422380007</v>
      </c>
      <c r="AD757" s="8">
        <f t="shared" si="103"/>
        <v>276953.89771530003</v>
      </c>
      <c r="AE757" s="8">
        <f t="shared" si="104"/>
        <v>4400489.7081431001</v>
      </c>
      <c r="AF757" s="8">
        <f t="shared" si="105"/>
        <v>57483320.103575602</v>
      </c>
      <c r="AG757" s="8">
        <f t="shared" si="106"/>
        <v>9570295.7988287006</v>
      </c>
      <c r="AH757" s="8">
        <f t="shared" si="107"/>
        <v>676998.41663740005</v>
      </c>
      <c r="AI757" s="8">
        <f t="shared" si="108"/>
        <v>0</v>
      </c>
    </row>
    <row r="758" spans="1:35" x14ac:dyDescent="0.55000000000000004">
      <c r="A758" s="1">
        <v>756</v>
      </c>
      <c r="B758" s="1" t="s">
        <v>20</v>
      </c>
      <c r="C758" s="1">
        <v>51</v>
      </c>
      <c r="D758" s="1">
        <v>3</v>
      </c>
      <c r="E758" s="1" t="s">
        <v>119</v>
      </c>
      <c r="F758" s="1" t="s">
        <v>120</v>
      </c>
      <c r="G758" s="1">
        <v>25</v>
      </c>
      <c r="H758" s="1">
        <v>2</v>
      </c>
      <c r="I758" s="1">
        <v>25030000</v>
      </c>
      <c r="J758" s="1">
        <v>1162</v>
      </c>
      <c r="K758" s="1">
        <v>0</v>
      </c>
      <c r="L758" s="1">
        <v>14833</v>
      </c>
      <c r="M758" s="1">
        <v>14.092331</v>
      </c>
      <c r="N758" s="1">
        <v>102.10378</v>
      </c>
      <c r="O758" s="1">
        <v>0.03</v>
      </c>
      <c r="P758" s="1">
        <v>0.26</v>
      </c>
      <c r="Q758" s="1">
        <v>0.26</v>
      </c>
      <c r="R758" s="1">
        <v>0.06</v>
      </c>
      <c r="S758" s="1">
        <v>0.01</v>
      </c>
      <c r="T758" s="1">
        <v>98.800003000000004</v>
      </c>
      <c r="U758" s="1">
        <v>4.71</v>
      </c>
      <c r="V758" s="1">
        <v>0</v>
      </c>
      <c r="W758" s="1">
        <v>0</v>
      </c>
      <c r="X758" s="1">
        <v>24671.151083000001</v>
      </c>
      <c r="Y758" s="1">
        <v>28339899.436299998</v>
      </c>
      <c r="Z758" t="str">
        <f>VLOOKUP(G758,'Code Pro'!$A$2:$B$9,2,FALSE)</f>
        <v>จ.ปราจีนบุรี</v>
      </c>
      <c r="AA758" s="8">
        <f t="shared" si="100"/>
        <v>850196.98308899987</v>
      </c>
      <c r="AB758" s="8">
        <f t="shared" si="101"/>
        <v>7368373.8534380002</v>
      </c>
      <c r="AC758" s="8">
        <f t="shared" si="102"/>
        <v>7368373.8534380002</v>
      </c>
      <c r="AD758" s="8">
        <f t="shared" si="103"/>
        <v>1700393.9661779997</v>
      </c>
      <c r="AE758" s="8">
        <f t="shared" si="104"/>
        <v>283398.99436299998</v>
      </c>
      <c r="AF758" s="8">
        <f t="shared" si="105"/>
        <v>2799982149.326138</v>
      </c>
      <c r="AG758" s="8">
        <f t="shared" si="106"/>
        <v>133480926.344973</v>
      </c>
      <c r="AH758" s="8">
        <f t="shared" si="107"/>
        <v>0</v>
      </c>
      <c r="AI758" s="8">
        <f t="shared" si="108"/>
        <v>0</v>
      </c>
    </row>
    <row r="759" spans="1:35" x14ac:dyDescent="0.55000000000000004">
      <c r="A759" s="1">
        <v>757</v>
      </c>
      <c r="B759" s="1" t="s">
        <v>20</v>
      </c>
      <c r="C759" s="1">
        <v>51</v>
      </c>
      <c r="D759" s="1">
        <v>3</v>
      </c>
      <c r="E759" s="1" t="s">
        <v>119</v>
      </c>
      <c r="F759" s="1" t="s">
        <v>120</v>
      </c>
      <c r="G759" s="1">
        <v>25</v>
      </c>
      <c r="H759" s="1">
        <v>2</v>
      </c>
      <c r="I759" s="1">
        <v>25030000</v>
      </c>
      <c r="J759" s="1">
        <v>1164</v>
      </c>
      <c r="K759" s="1">
        <v>0</v>
      </c>
      <c r="L759" s="1">
        <v>15072</v>
      </c>
      <c r="M759" s="1">
        <v>14.253532</v>
      </c>
      <c r="N759" s="1">
        <v>102.020645</v>
      </c>
      <c r="O759" s="1">
        <v>3.97</v>
      </c>
      <c r="P759" s="1">
        <v>0.34</v>
      </c>
      <c r="Q759" s="1">
        <v>0.72</v>
      </c>
      <c r="R759" s="1">
        <v>0.08</v>
      </c>
      <c r="S759" s="1">
        <v>0.02</v>
      </c>
      <c r="T759" s="1">
        <v>12.05</v>
      </c>
      <c r="U759" s="1">
        <v>0.17</v>
      </c>
      <c r="V759" s="1">
        <v>0</v>
      </c>
      <c r="W759" s="1">
        <v>0</v>
      </c>
      <c r="X759" s="1">
        <v>5969.1857229999996</v>
      </c>
      <c r="Y759" s="1">
        <v>1026981.73395</v>
      </c>
      <c r="Z759" t="str">
        <f>VLOOKUP(G759,'Code Pro'!$A$2:$B$9,2,FALSE)</f>
        <v>จ.ปราจีนบุรี</v>
      </c>
      <c r="AA759" s="8">
        <f t="shared" si="100"/>
        <v>4077117.4837815003</v>
      </c>
      <c r="AB759" s="8">
        <f t="shared" si="101"/>
        <v>349173.78954300005</v>
      </c>
      <c r="AC759" s="8">
        <f t="shared" si="102"/>
        <v>739426.848444</v>
      </c>
      <c r="AD759" s="8">
        <f t="shared" si="103"/>
        <v>82158.53871600001</v>
      </c>
      <c r="AE759" s="8">
        <f t="shared" si="104"/>
        <v>20539.634679000003</v>
      </c>
      <c r="AF759" s="8">
        <f t="shared" si="105"/>
        <v>12375129.894097501</v>
      </c>
      <c r="AG759" s="8">
        <f t="shared" si="106"/>
        <v>174586.89477150002</v>
      </c>
      <c r="AH759" s="8">
        <f t="shared" si="107"/>
        <v>0</v>
      </c>
      <c r="AI759" s="8">
        <f t="shared" si="108"/>
        <v>0</v>
      </c>
    </row>
    <row r="760" spans="1:35" x14ac:dyDescent="0.55000000000000004">
      <c r="A760" s="1">
        <v>758</v>
      </c>
      <c r="B760" s="1" t="s">
        <v>20</v>
      </c>
      <c r="C760" s="1">
        <v>51</v>
      </c>
      <c r="D760" s="1">
        <v>3</v>
      </c>
      <c r="E760" s="1" t="s">
        <v>119</v>
      </c>
      <c r="F760" s="1" t="s">
        <v>120</v>
      </c>
      <c r="G760" s="1">
        <v>25</v>
      </c>
      <c r="H760" s="1">
        <v>2</v>
      </c>
      <c r="I760" s="1">
        <v>25030000</v>
      </c>
      <c r="J760" s="1">
        <v>1165</v>
      </c>
      <c r="K760" s="1">
        <v>0</v>
      </c>
      <c r="L760" s="1">
        <v>14952</v>
      </c>
      <c r="M760" s="1">
        <v>14.172943</v>
      </c>
      <c r="N760" s="1">
        <v>102.020645</v>
      </c>
      <c r="O760" s="1">
        <v>1.63</v>
      </c>
      <c r="P760" s="1">
        <v>0.47</v>
      </c>
      <c r="Q760" s="1">
        <v>0.25</v>
      </c>
      <c r="R760" s="1">
        <v>0.37</v>
      </c>
      <c r="S760" s="1">
        <v>0.28000000000000003</v>
      </c>
      <c r="T760" s="1">
        <v>11.82</v>
      </c>
      <c r="U760" s="1">
        <v>2.37</v>
      </c>
      <c r="V760" s="1">
        <v>0</v>
      </c>
      <c r="W760" s="1">
        <v>0</v>
      </c>
      <c r="X760" s="1">
        <v>33014.456232999997</v>
      </c>
      <c r="Y760" s="1">
        <v>65788972.498400003</v>
      </c>
      <c r="Z760" t="str">
        <f>VLOOKUP(G760,'Code Pro'!$A$2:$B$9,2,FALSE)</f>
        <v>จ.ปราจีนบุรี</v>
      </c>
      <c r="AA760" s="8">
        <f t="shared" si="100"/>
        <v>107236025.172392</v>
      </c>
      <c r="AB760" s="8">
        <f t="shared" si="101"/>
        <v>30920817.074248001</v>
      </c>
      <c r="AC760" s="8">
        <f t="shared" si="102"/>
        <v>16447243.124600001</v>
      </c>
      <c r="AD760" s="8">
        <f t="shared" si="103"/>
        <v>24341919.824408002</v>
      </c>
      <c r="AE760" s="8">
        <f t="shared" si="104"/>
        <v>18420912.299552001</v>
      </c>
      <c r="AF760" s="8">
        <f t="shared" si="105"/>
        <v>777625654.93108809</v>
      </c>
      <c r="AG760" s="8">
        <f t="shared" si="106"/>
        <v>155919864.821208</v>
      </c>
      <c r="AH760" s="8">
        <f t="shared" si="107"/>
        <v>0</v>
      </c>
      <c r="AI760" s="8">
        <f t="shared" si="108"/>
        <v>0</v>
      </c>
    </row>
    <row r="761" spans="1:35" x14ac:dyDescent="0.55000000000000004">
      <c r="A761" s="1">
        <v>759</v>
      </c>
      <c r="B761" s="1" t="s">
        <v>20</v>
      </c>
      <c r="C761" s="1">
        <v>51</v>
      </c>
      <c r="D761" s="1">
        <v>3</v>
      </c>
      <c r="E761" s="1" t="s">
        <v>119</v>
      </c>
      <c r="F761" s="1" t="s">
        <v>120</v>
      </c>
      <c r="G761" s="1">
        <v>25</v>
      </c>
      <c r="H761" s="1">
        <v>2</v>
      </c>
      <c r="I761" s="1">
        <v>25030000</v>
      </c>
      <c r="J761" s="1">
        <v>1166</v>
      </c>
      <c r="K761" s="1">
        <v>0</v>
      </c>
      <c r="L761" s="1">
        <v>14953</v>
      </c>
      <c r="M761" s="1">
        <v>14.172943</v>
      </c>
      <c r="N761" s="1">
        <v>102.10378</v>
      </c>
      <c r="O761" s="1">
        <v>2.9</v>
      </c>
      <c r="P761" s="1">
        <v>1.3</v>
      </c>
      <c r="Q761" s="1">
        <v>0.09</v>
      </c>
      <c r="R761" s="1">
        <v>0.43</v>
      </c>
      <c r="S761" s="1">
        <v>0.09</v>
      </c>
      <c r="T761" s="1">
        <v>8.2899999999999991</v>
      </c>
      <c r="U761" s="1">
        <v>1.1599999999999999</v>
      </c>
      <c r="V761" s="1">
        <v>0.01</v>
      </c>
      <c r="W761" s="1">
        <v>0.03</v>
      </c>
      <c r="X761" s="1">
        <v>16429.692321999999</v>
      </c>
      <c r="Y761" s="1">
        <v>14518189.149</v>
      </c>
      <c r="Z761" t="str">
        <f>VLOOKUP(G761,'Code Pro'!$A$2:$B$9,2,FALSE)</f>
        <v>จ.ปราจีนบุรี</v>
      </c>
      <c r="AA761" s="8">
        <f t="shared" si="100"/>
        <v>42102748.532099999</v>
      </c>
      <c r="AB761" s="8">
        <f t="shared" si="101"/>
        <v>18873645.8937</v>
      </c>
      <c r="AC761" s="8">
        <f t="shared" si="102"/>
        <v>1306637.0234099999</v>
      </c>
      <c r="AD761" s="8">
        <f t="shared" si="103"/>
        <v>6242821.3340699999</v>
      </c>
      <c r="AE761" s="8">
        <f t="shared" si="104"/>
        <v>1306637.0234099999</v>
      </c>
      <c r="AF761" s="8">
        <f t="shared" si="105"/>
        <v>120355788.04520999</v>
      </c>
      <c r="AG761" s="8">
        <f t="shared" si="106"/>
        <v>16841099.412839998</v>
      </c>
      <c r="AH761" s="8">
        <f t="shared" si="107"/>
        <v>145181.89149000001</v>
      </c>
      <c r="AI761" s="8">
        <f t="shared" si="108"/>
        <v>435545.67446999997</v>
      </c>
    </row>
    <row r="762" spans="1:35" x14ac:dyDescent="0.55000000000000004">
      <c r="A762" s="1">
        <v>760</v>
      </c>
      <c r="B762" s="1" t="s">
        <v>20</v>
      </c>
      <c r="C762" s="1">
        <v>51</v>
      </c>
      <c r="D762" s="1">
        <v>3</v>
      </c>
      <c r="E762" s="1" t="s">
        <v>119</v>
      </c>
      <c r="F762" s="1" t="s">
        <v>120</v>
      </c>
      <c r="G762" s="1">
        <v>25</v>
      </c>
      <c r="H762" s="1">
        <v>2</v>
      </c>
      <c r="I762" s="1">
        <v>25030000</v>
      </c>
      <c r="J762" s="1">
        <v>1169</v>
      </c>
      <c r="K762" s="1">
        <v>0</v>
      </c>
      <c r="L762" s="1">
        <v>14710</v>
      </c>
      <c r="M762" s="1">
        <v>14.011680999999999</v>
      </c>
      <c r="N762" s="1">
        <v>101.85438000000001</v>
      </c>
      <c r="O762" s="1">
        <v>0</v>
      </c>
      <c r="P762" s="1">
        <v>0.04</v>
      </c>
      <c r="Q762" s="1">
        <v>0.1</v>
      </c>
      <c r="R762" s="1">
        <v>0.02</v>
      </c>
      <c r="S762" s="1">
        <v>0.14000000000000001</v>
      </c>
      <c r="T762" s="1">
        <v>13.02</v>
      </c>
      <c r="U762" s="1">
        <v>6.01</v>
      </c>
      <c r="V762" s="1">
        <v>0.04</v>
      </c>
      <c r="W762" s="1">
        <v>0</v>
      </c>
      <c r="X762" s="1">
        <v>15837.036977</v>
      </c>
      <c r="Y762" s="1">
        <v>5178353.7215499999</v>
      </c>
      <c r="Z762" t="str">
        <f>VLOOKUP(G762,'Code Pro'!$A$2:$B$9,2,FALSE)</f>
        <v>จ.ปราจีนบุรี</v>
      </c>
      <c r="AA762" s="8">
        <f t="shared" si="100"/>
        <v>0</v>
      </c>
      <c r="AB762" s="8">
        <f t="shared" si="101"/>
        <v>207134.148862</v>
      </c>
      <c r="AC762" s="8">
        <f t="shared" si="102"/>
        <v>517835.37215499999</v>
      </c>
      <c r="AD762" s="8">
        <f t="shared" si="103"/>
        <v>103567.074431</v>
      </c>
      <c r="AE762" s="8">
        <f t="shared" si="104"/>
        <v>724969.52101700008</v>
      </c>
      <c r="AF762" s="8">
        <f t="shared" si="105"/>
        <v>67422165.454580992</v>
      </c>
      <c r="AG762" s="8">
        <f t="shared" si="106"/>
        <v>31121905.866515499</v>
      </c>
      <c r="AH762" s="8">
        <f t="shared" si="107"/>
        <v>207134.148862</v>
      </c>
      <c r="AI762" s="8">
        <f t="shared" si="108"/>
        <v>0</v>
      </c>
    </row>
    <row r="763" spans="1:35" x14ac:dyDescent="0.55000000000000004">
      <c r="A763" s="1">
        <v>761</v>
      </c>
      <c r="B763" s="1" t="s">
        <v>20</v>
      </c>
      <c r="C763" s="1">
        <v>52</v>
      </c>
      <c r="D763" s="1">
        <v>6</v>
      </c>
      <c r="E763" s="1" t="s">
        <v>121</v>
      </c>
      <c r="F763" s="1" t="s">
        <v>122</v>
      </c>
      <c r="G763" s="1">
        <v>25</v>
      </c>
      <c r="H763" s="1">
        <v>2</v>
      </c>
      <c r="I763" s="1">
        <v>25060000</v>
      </c>
      <c r="J763" s="1">
        <v>732</v>
      </c>
      <c r="K763" s="1">
        <v>0</v>
      </c>
      <c r="L763" s="1">
        <v>14461</v>
      </c>
      <c r="M763" s="1">
        <v>13.850304</v>
      </c>
      <c r="N763" s="1">
        <v>101.10615</v>
      </c>
      <c r="O763" s="1">
        <v>39.360000999999997</v>
      </c>
      <c r="P763" s="1">
        <v>0.01</v>
      </c>
      <c r="Q763" s="1">
        <v>9.23</v>
      </c>
      <c r="R763" s="1">
        <v>0.04</v>
      </c>
      <c r="S763" s="1">
        <v>0</v>
      </c>
      <c r="T763" s="1">
        <v>11.64</v>
      </c>
      <c r="U763" s="1">
        <v>7.03</v>
      </c>
      <c r="V763" s="1">
        <v>0</v>
      </c>
      <c r="W763" s="1">
        <v>0</v>
      </c>
      <c r="X763" s="1">
        <v>5364.086147</v>
      </c>
      <c r="Y763" s="1">
        <v>1270853.5446299999</v>
      </c>
      <c r="Z763" t="str">
        <f>VLOOKUP(G763,'Code Pro'!$A$2:$B$9,2,FALSE)</f>
        <v>จ.ปราจีนบุรี</v>
      </c>
      <c r="AA763" s="8">
        <f t="shared" si="100"/>
        <v>50020796.787490338</v>
      </c>
      <c r="AB763" s="8">
        <f t="shared" si="101"/>
        <v>12708.535446299999</v>
      </c>
      <c r="AC763" s="8">
        <f t="shared" si="102"/>
        <v>11729978.216934899</v>
      </c>
      <c r="AD763" s="8">
        <f t="shared" si="103"/>
        <v>50834.141785199994</v>
      </c>
      <c r="AE763" s="8">
        <f t="shared" si="104"/>
        <v>0</v>
      </c>
      <c r="AF763" s="8">
        <f t="shared" si="105"/>
        <v>14792735.2594932</v>
      </c>
      <c r="AG763" s="8">
        <f t="shared" si="106"/>
        <v>8934100.4187489003</v>
      </c>
      <c r="AH763" s="8">
        <f t="shared" si="107"/>
        <v>0</v>
      </c>
      <c r="AI763" s="8">
        <f t="shared" si="108"/>
        <v>0</v>
      </c>
    </row>
    <row r="764" spans="1:35" x14ac:dyDescent="0.55000000000000004">
      <c r="A764" s="1">
        <v>762</v>
      </c>
      <c r="B764" s="1" t="s">
        <v>20</v>
      </c>
      <c r="C764" s="1">
        <v>52</v>
      </c>
      <c r="D764" s="1">
        <v>6</v>
      </c>
      <c r="E764" s="1" t="s">
        <v>121</v>
      </c>
      <c r="F764" s="1" t="s">
        <v>122</v>
      </c>
      <c r="G764" s="1">
        <v>25</v>
      </c>
      <c r="H764" s="1">
        <v>2</v>
      </c>
      <c r="I764" s="1">
        <v>25060000</v>
      </c>
      <c r="J764" s="1">
        <v>782</v>
      </c>
      <c r="K764" s="1">
        <v>0</v>
      </c>
      <c r="L764" s="1">
        <v>14463</v>
      </c>
      <c r="M764" s="1">
        <v>13.850304</v>
      </c>
      <c r="N764" s="1">
        <v>101.27242</v>
      </c>
      <c r="O764" s="1">
        <v>22.059999000000001</v>
      </c>
      <c r="P764" s="1">
        <v>7.43</v>
      </c>
      <c r="Q764" s="1">
        <v>11.1</v>
      </c>
      <c r="R764" s="1">
        <v>0.03</v>
      </c>
      <c r="S764" s="1">
        <v>0.18</v>
      </c>
      <c r="T764" s="1">
        <v>9.36</v>
      </c>
      <c r="U764" s="1">
        <v>41.029998999999997</v>
      </c>
      <c r="V764" s="1">
        <v>0</v>
      </c>
      <c r="W764" s="1">
        <v>0</v>
      </c>
      <c r="X764" s="1">
        <v>23334.726729000002</v>
      </c>
      <c r="Y764" s="1">
        <v>15968274.1447</v>
      </c>
      <c r="Z764" t="str">
        <f>VLOOKUP(G764,'Code Pro'!$A$2:$B$9,2,FALSE)</f>
        <v>จ.ปราจีนบุรี</v>
      </c>
      <c r="AA764" s="8">
        <f t="shared" si="100"/>
        <v>352260111.66380787</v>
      </c>
      <c r="AB764" s="8">
        <f t="shared" si="101"/>
        <v>118644276.89512099</v>
      </c>
      <c r="AC764" s="8">
        <f t="shared" si="102"/>
        <v>177247843.00617</v>
      </c>
      <c r="AD764" s="8">
        <f t="shared" si="103"/>
        <v>479048.22434099996</v>
      </c>
      <c r="AE764" s="8">
        <f t="shared" si="104"/>
        <v>2874289.3460459998</v>
      </c>
      <c r="AF764" s="8">
        <f t="shared" si="105"/>
        <v>149463045.99439198</v>
      </c>
      <c r="AG764" s="8">
        <f t="shared" si="106"/>
        <v>655178272.18876684</v>
      </c>
      <c r="AH764" s="8">
        <f t="shared" si="107"/>
        <v>0</v>
      </c>
      <c r="AI764" s="8">
        <f t="shared" si="108"/>
        <v>0</v>
      </c>
    </row>
    <row r="765" spans="1:35" x14ac:dyDescent="0.55000000000000004">
      <c r="A765" s="1">
        <v>763</v>
      </c>
      <c r="B765" s="1" t="s">
        <v>20</v>
      </c>
      <c r="C765" s="1">
        <v>52</v>
      </c>
      <c r="D765" s="1">
        <v>6</v>
      </c>
      <c r="E765" s="1" t="s">
        <v>121</v>
      </c>
      <c r="F765" s="1" t="s">
        <v>122</v>
      </c>
      <c r="G765" s="1">
        <v>25</v>
      </c>
      <c r="H765" s="1">
        <v>2</v>
      </c>
      <c r="I765" s="1">
        <v>25060000</v>
      </c>
      <c r="J765" s="1">
        <v>783</v>
      </c>
      <c r="K765" s="1">
        <v>0</v>
      </c>
      <c r="L765" s="1">
        <v>14462</v>
      </c>
      <c r="M765" s="1">
        <v>13.850304</v>
      </c>
      <c r="N765" s="1">
        <v>101.189285</v>
      </c>
      <c r="O765" s="1">
        <v>26.26</v>
      </c>
      <c r="P765" s="1">
        <v>0.56999999999999995</v>
      </c>
      <c r="Q765" s="1">
        <v>8.17</v>
      </c>
      <c r="R765" s="1">
        <v>0.02</v>
      </c>
      <c r="S765" s="1">
        <v>0.4</v>
      </c>
      <c r="T765" s="1">
        <v>30.01</v>
      </c>
      <c r="U765" s="1">
        <v>27.219999000000001</v>
      </c>
      <c r="V765" s="1">
        <v>0</v>
      </c>
      <c r="W765" s="1">
        <v>0</v>
      </c>
      <c r="X765" s="1">
        <v>29527.755138</v>
      </c>
      <c r="Y765" s="1">
        <v>20094066.867699999</v>
      </c>
      <c r="Z765" t="str">
        <f>VLOOKUP(G765,'Code Pro'!$A$2:$B$9,2,FALSE)</f>
        <v>จ.ปราจีนบุรี</v>
      </c>
      <c r="AA765" s="8">
        <f t="shared" si="100"/>
        <v>527670195.94580203</v>
      </c>
      <c r="AB765" s="8">
        <f t="shared" si="101"/>
        <v>11453618.114588998</v>
      </c>
      <c r="AC765" s="8">
        <f t="shared" si="102"/>
        <v>164168526.309109</v>
      </c>
      <c r="AD765" s="8">
        <f t="shared" si="103"/>
        <v>401881.33735400002</v>
      </c>
      <c r="AE765" s="8">
        <f t="shared" si="104"/>
        <v>8037626.7470800001</v>
      </c>
      <c r="AF765" s="8">
        <f t="shared" si="105"/>
        <v>603022946.69967699</v>
      </c>
      <c r="AG765" s="8">
        <f t="shared" si="106"/>
        <v>546960480.04472709</v>
      </c>
      <c r="AH765" s="8">
        <f t="shared" si="107"/>
        <v>0</v>
      </c>
      <c r="AI765" s="8">
        <f t="shared" si="108"/>
        <v>0</v>
      </c>
    </row>
    <row r="766" spans="1:35" x14ac:dyDescent="0.55000000000000004">
      <c r="A766" s="1">
        <v>764</v>
      </c>
      <c r="B766" s="1" t="s">
        <v>20</v>
      </c>
      <c r="C766" s="1">
        <v>52</v>
      </c>
      <c r="D766" s="1">
        <v>6</v>
      </c>
      <c r="E766" s="1" t="s">
        <v>121</v>
      </c>
      <c r="F766" s="1" t="s">
        <v>122</v>
      </c>
      <c r="G766" s="1">
        <v>25</v>
      </c>
      <c r="H766" s="1">
        <v>2</v>
      </c>
      <c r="I766" s="1">
        <v>25060000</v>
      </c>
      <c r="J766" s="1">
        <v>795</v>
      </c>
      <c r="K766" s="1">
        <v>0</v>
      </c>
      <c r="L766" s="1">
        <v>14464</v>
      </c>
      <c r="M766" s="1">
        <v>13.850304</v>
      </c>
      <c r="N766" s="1">
        <v>101.35556</v>
      </c>
      <c r="O766" s="1">
        <v>3.7</v>
      </c>
      <c r="P766" s="1">
        <v>11.42</v>
      </c>
      <c r="Q766" s="1">
        <v>13.26</v>
      </c>
      <c r="R766" s="1">
        <v>0.02</v>
      </c>
      <c r="S766" s="1">
        <v>0.1</v>
      </c>
      <c r="T766" s="1">
        <v>8.7200000000000006</v>
      </c>
      <c r="U766" s="1">
        <v>10.66</v>
      </c>
      <c r="V766" s="1">
        <v>0.02</v>
      </c>
      <c r="W766" s="1">
        <v>0.01</v>
      </c>
      <c r="X766" s="1">
        <v>21847.965678</v>
      </c>
      <c r="Y766" s="1">
        <v>17785011.351300001</v>
      </c>
      <c r="Z766" t="str">
        <f>VLOOKUP(G766,'Code Pro'!$A$2:$B$9,2,FALSE)</f>
        <v>จ.ปราจีนบุรี</v>
      </c>
      <c r="AA766" s="8">
        <f t="shared" si="100"/>
        <v>65804541.99981001</v>
      </c>
      <c r="AB766" s="8">
        <f t="shared" si="101"/>
        <v>203104829.63184601</v>
      </c>
      <c r="AC766" s="8">
        <f t="shared" si="102"/>
        <v>235829250.51823801</v>
      </c>
      <c r="AD766" s="8">
        <f t="shared" si="103"/>
        <v>355700.22702600004</v>
      </c>
      <c r="AE766" s="8">
        <f t="shared" si="104"/>
        <v>1778501.1351300003</v>
      </c>
      <c r="AF766" s="8">
        <f t="shared" si="105"/>
        <v>155085298.98333603</v>
      </c>
      <c r="AG766" s="8">
        <f t="shared" si="106"/>
        <v>189588221.00485802</v>
      </c>
      <c r="AH766" s="8">
        <f t="shared" si="107"/>
        <v>355700.22702600004</v>
      </c>
      <c r="AI766" s="8">
        <f t="shared" si="108"/>
        <v>177850.11351300002</v>
      </c>
    </row>
    <row r="767" spans="1:35" x14ac:dyDescent="0.55000000000000004">
      <c r="A767" s="1">
        <v>765</v>
      </c>
      <c r="B767" s="1" t="s">
        <v>20</v>
      </c>
      <c r="C767" s="1">
        <v>52</v>
      </c>
      <c r="D767" s="1">
        <v>6</v>
      </c>
      <c r="E767" s="1" t="s">
        <v>121</v>
      </c>
      <c r="F767" s="1" t="s">
        <v>122</v>
      </c>
      <c r="G767" s="1">
        <v>25</v>
      </c>
      <c r="H767" s="1">
        <v>2</v>
      </c>
      <c r="I767" s="1">
        <v>25060000</v>
      </c>
      <c r="J767" s="1">
        <v>844</v>
      </c>
      <c r="K767" s="1">
        <v>0</v>
      </c>
      <c r="L767" s="1">
        <v>14581</v>
      </c>
      <c r="M767" s="1">
        <v>13.931006999999999</v>
      </c>
      <c r="N767" s="1">
        <v>101.10615</v>
      </c>
      <c r="O767" s="1">
        <v>2.35</v>
      </c>
      <c r="P767" s="1">
        <v>0.08</v>
      </c>
      <c r="Q767" s="1">
        <v>32.509998000000003</v>
      </c>
      <c r="R767" s="1">
        <v>1.54</v>
      </c>
      <c r="S767" s="1">
        <v>0</v>
      </c>
      <c r="T767" s="1">
        <v>11.13</v>
      </c>
      <c r="U767" s="1">
        <v>2.62</v>
      </c>
      <c r="V767" s="1">
        <v>0</v>
      </c>
      <c r="W767" s="1">
        <v>0</v>
      </c>
      <c r="X767" s="1">
        <v>5337.5374519999996</v>
      </c>
      <c r="Y767" s="1">
        <v>1052546.1753700001</v>
      </c>
      <c r="Z767" t="str">
        <f>VLOOKUP(G767,'Code Pro'!$A$2:$B$9,2,FALSE)</f>
        <v>จ.ปราจีนบุรี</v>
      </c>
      <c r="AA767" s="8">
        <f t="shared" si="100"/>
        <v>2473483.5121195004</v>
      </c>
      <c r="AB767" s="8">
        <f t="shared" si="101"/>
        <v>84203.69402960001</v>
      </c>
      <c r="AC767" s="8">
        <f t="shared" si="102"/>
        <v>34218274.056186356</v>
      </c>
      <c r="AD767" s="8">
        <f t="shared" si="103"/>
        <v>1620921.1100698002</v>
      </c>
      <c r="AE767" s="8">
        <f t="shared" si="104"/>
        <v>0</v>
      </c>
      <c r="AF767" s="8">
        <f t="shared" si="105"/>
        <v>11714838.931868102</v>
      </c>
      <c r="AG767" s="8">
        <f t="shared" si="106"/>
        <v>2757670.9794694004</v>
      </c>
      <c r="AH767" s="8">
        <f t="shared" si="107"/>
        <v>0</v>
      </c>
      <c r="AI767" s="8">
        <f t="shared" si="108"/>
        <v>0</v>
      </c>
    </row>
    <row r="768" spans="1:35" x14ac:dyDescent="0.55000000000000004">
      <c r="A768" s="1">
        <v>766</v>
      </c>
      <c r="B768" s="1" t="s">
        <v>20</v>
      </c>
      <c r="C768" s="1">
        <v>52</v>
      </c>
      <c r="D768" s="1">
        <v>6</v>
      </c>
      <c r="E768" s="1" t="s">
        <v>121</v>
      </c>
      <c r="F768" s="1" t="s">
        <v>122</v>
      </c>
      <c r="G768" s="1">
        <v>25</v>
      </c>
      <c r="H768" s="1">
        <v>2</v>
      </c>
      <c r="I768" s="1">
        <v>25060000</v>
      </c>
      <c r="J768" s="1">
        <v>845</v>
      </c>
      <c r="K768" s="1">
        <v>0</v>
      </c>
      <c r="L768" s="1">
        <v>14701</v>
      </c>
      <c r="M768" s="1">
        <v>14.011680999999999</v>
      </c>
      <c r="N768" s="1">
        <v>101.10615</v>
      </c>
      <c r="O768" s="1">
        <v>0.08</v>
      </c>
      <c r="P768" s="1">
        <v>0.31</v>
      </c>
      <c r="Q768" s="1">
        <v>22.43</v>
      </c>
      <c r="R768" s="1">
        <v>2.87</v>
      </c>
      <c r="S768" s="1">
        <v>0</v>
      </c>
      <c r="T768" s="1">
        <v>11.88</v>
      </c>
      <c r="U768" s="1">
        <v>11.18</v>
      </c>
      <c r="V768" s="1">
        <v>0</v>
      </c>
      <c r="W768" s="1">
        <v>0</v>
      </c>
      <c r="X768" s="1">
        <v>8647.6737790000006</v>
      </c>
      <c r="Y768" s="1">
        <v>2375186.2518199999</v>
      </c>
      <c r="Z768" t="str">
        <f>VLOOKUP(G768,'Code Pro'!$A$2:$B$9,2,FALSE)</f>
        <v>จ.ปราจีนบุรี</v>
      </c>
      <c r="AA768" s="8">
        <f t="shared" si="100"/>
        <v>190014.9001456</v>
      </c>
      <c r="AB768" s="8">
        <f t="shared" si="101"/>
        <v>736307.73806419992</v>
      </c>
      <c r="AC768" s="8">
        <f t="shared" si="102"/>
        <v>53275427.628322594</v>
      </c>
      <c r="AD768" s="8">
        <f t="shared" si="103"/>
        <v>6816784.5427233996</v>
      </c>
      <c r="AE768" s="8">
        <f t="shared" si="104"/>
        <v>0</v>
      </c>
      <c r="AF768" s="8">
        <f t="shared" si="105"/>
        <v>28217212.671621602</v>
      </c>
      <c r="AG768" s="8">
        <f t="shared" si="106"/>
        <v>26554582.295347597</v>
      </c>
      <c r="AH768" s="8">
        <f t="shared" si="107"/>
        <v>0</v>
      </c>
      <c r="AI768" s="8">
        <f t="shared" si="108"/>
        <v>0</v>
      </c>
    </row>
    <row r="769" spans="1:35" x14ac:dyDescent="0.55000000000000004">
      <c r="A769" s="1">
        <v>767</v>
      </c>
      <c r="B769" s="1" t="s">
        <v>20</v>
      </c>
      <c r="C769" s="1">
        <v>52</v>
      </c>
      <c r="D769" s="1">
        <v>6</v>
      </c>
      <c r="E769" s="1" t="s">
        <v>121</v>
      </c>
      <c r="F769" s="1" t="s">
        <v>122</v>
      </c>
      <c r="G769" s="1">
        <v>25</v>
      </c>
      <c r="H769" s="1">
        <v>2</v>
      </c>
      <c r="I769" s="1">
        <v>25060000</v>
      </c>
      <c r="J769" s="1">
        <v>846</v>
      </c>
      <c r="K769" s="1">
        <v>0</v>
      </c>
      <c r="L769" s="1">
        <v>14582</v>
      </c>
      <c r="M769" s="1">
        <v>13.931006999999999</v>
      </c>
      <c r="N769" s="1">
        <v>101.189285</v>
      </c>
      <c r="O769" s="1">
        <v>0.97</v>
      </c>
      <c r="P769" s="1">
        <v>0.31</v>
      </c>
      <c r="Q769" s="1">
        <v>25.959999</v>
      </c>
      <c r="R769" s="1">
        <v>2.39</v>
      </c>
      <c r="S769" s="1">
        <v>0.94</v>
      </c>
      <c r="T769" s="1">
        <v>7.26</v>
      </c>
      <c r="U769" s="1">
        <v>7.1</v>
      </c>
      <c r="V769" s="1">
        <v>0</v>
      </c>
      <c r="W769" s="1">
        <v>0</v>
      </c>
      <c r="X769" s="1">
        <v>39336.266401000001</v>
      </c>
      <c r="Y769" s="1">
        <v>75140559.998799995</v>
      </c>
      <c r="Z769" t="str">
        <f>VLOOKUP(G769,'Code Pro'!$A$2:$B$9,2,FALSE)</f>
        <v>จ.ปราจีนบุรี</v>
      </c>
      <c r="AA769" s="8">
        <f t="shared" si="100"/>
        <v>72886343.198835999</v>
      </c>
      <c r="AB769" s="8">
        <f t="shared" si="101"/>
        <v>23293573.599627998</v>
      </c>
      <c r="AC769" s="8">
        <f t="shared" si="102"/>
        <v>1950648862.4282877</v>
      </c>
      <c r="AD769" s="8">
        <f t="shared" si="103"/>
        <v>179585938.39713201</v>
      </c>
      <c r="AE769" s="8">
        <f t="shared" si="104"/>
        <v>70632126.398871988</v>
      </c>
      <c r="AF769" s="8">
        <f t="shared" si="105"/>
        <v>545520465.59128797</v>
      </c>
      <c r="AG769" s="8">
        <f t="shared" si="106"/>
        <v>533497975.99147993</v>
      </c>
      <c r="AH769" s="8">
        <f t="shared" si="107"/>
        <v>0</v>
      </c>
      <c r="AI769" s="8">
        <f t="shared" si="108"/>
        <v>0</v>
      </c>
    </row>
    <row r="770" spans="1:35" x14ac:dyDescent="0.55000000000000004">
      <c r="A770" s="1">
        <v>768</v>
      </c>
      <c r="B770" s="1" t="s">
        <v>20</v>
      </c>
      <c r="C770" s="1">
        <v>52</v>
      </c>
      <c r="D770" s="1">
        <v>6</v>
      </c>
      <c r="E770" s="1" t="s">
        <v>121</v>
      </c>
      <c r="F770" s="1" t="s">
        <v>122</v>
      </c>
      <c r="G770" s="1">
        <v>25</v>
      </c>
      <c r="H770" s="1">
        <v>2</v>
      </c>
      <c r="I770" s="1">
        <v>25060000</v>
      </c>
      <c r="J770" s="1">
        <v>851</v>
      </c>
      <c r="K770" s="1">
        <v>0</v>
      </c>
      <c r="L770" s="1">
        <v>14702</v>
      </c>
      <c r="M770" s="1">
        <v>14.011680999999999</v>
      </c>
      <c r="N770" s="1">
        <v>101.189285</v>
      </c>
      <c r="O770" s="1">
        <v>0.78</v>
      </c>
      <c r="P770" s="1">
        <v>0.43</v>
      </c>
      <c r="Q770" s="1">
        <v>39.43</v>
      </c>
      <c r="R770" s="1">
        <v>0.74</v>
      </c>
      <c r="S770" s="1">
        <v>0.24</v>
      </c>
      <c r="T770" s="1">
        <v>12.11</v>
      </c>
      <c r="U770" s="1">
        <v>11.77</v>
      </c>
      <c r="V770" s="1">
        <v>0</v>
      </c>
      <c r="W770" s="1">
        <v>0</v>
      </c>
      <c r="X770" s="1">
        <v>37672.424183000003</v>
      </c>
      <c r="Y770" s="1">
        <v>52594357.746299997</v>
      </c>
      <c r="Z770" t="str">
        <f>VLOOKUP(G770,'Code Pro'!$A$2:$B$9,2,FALSE)</f>
        <v>จ.ปราจีนบุรี</v>
      </c>
      <c r="AA770" s="8">
        <f t="shared" si="100"/>
        <v>41023599.042113997</v>
      </c>
      <c r="AB770" s="8">
        <f t="shared" si="101"/>
        <v>22615573.830908999</v>
      </c>
      <c r="AC770" s="8">
        <f t="shared" si="102"/>
        <v>2073795525.9366088</v>
      </c>
      <c r="AD770" s="8">
        <f t="shared" si="103"/>
        <v>38919824.732262</v>
      </c>
      <c r="AE770" s="8">
        <f t="shared" si="104"/>
        <v>12622645.859111998</v>
      </c>
      <c r="AF770" s="8">
        <f t="shared" si="105"/>
        <v>636917672.30769289</v>
      </c>
      <c r="AG770" s="8">
        <f t="shared" si="106"/>
        <v>619035590.67395091</v>
      </c>
      <c r="AH770" s="8">
        <f t="shared" si="107"/>
        <v>0</v>
      </c>
      <c r="AI770" s="8">
        <f t="shared" si="108"/>
        <v>0</v>
      </c>
    </row>
    <row r="771" spans="1:35" x14ac:dyDescent="0.55000000000000004">
      <c r="A771" s="1">
        <v>769</v>
      </c>
      <c r="B771" s="1" t="s">
        <v>20</v>
      </c>
      <c r="C771" s="1">
        <v>52</v>
      </c>
      <c r="D771" s="1">
        <v>6</v>
      </c>
      <c r="E771" s="1" t="s">
        <v>121</v>
      </c>
      <c r="F771" s="1" t="s">
        <v>122</v>
      </c>
      <c r="G771" s="1">
        <v>25</v>
      </c>
      <c r="H771" s="1">
        <v>2</v>
      </c>
      <c r="I771" s="1">
        <v>25060000</v>
      </c>
      <c r="J771" s="1">
        <v>890</v>
      </c>
      <c r="K771" s="1">
        <v>0</v>
      </c>
      <c r="L771" s="1">
        <v>14823</v>
      </c>
      <c r="M771" s="1">
        <v>14.092331</v>
      </c>
      <c r="N771" s="1">
        <v>101.27242</v>
      </c>
      <c r="O771" s="1">
        <v>0.15</v>
      </c>
      <c r="P771" s="1">
        <v>0.09</v>
      </c>
      <c r="Q771" s="1">
        <v>2.81</v>
      </c>
      <c r="R771" s="1">
        <v>0.82</v>
      </c>
      <c r="S771" s="1">
        <v>3.92</v>
      </c>
      <c r="T771" s="1">
        <v>3.65</v>
      </c>
      <c r="U771" s="1">
        <v>62.110000999999997</v>
      </c>
      <c r="V771" s="1">
        <v>0</v>
      </c>
      <c r="W771" s="1">
        <v>0</v>
      </c>
      <c r="X771" s="1">
        <v>12885.726549000001</v>
      </c>
      <c r="Y771" s="1">
        <v>4766304.2488299999</v>
      </c>
      <c r="Z771" t="str">
        <f>VLOOKUP(G771,'Code Pro'!$A$2:$B$9,2,FALSE)</f>
        <v>จ.ปราจีนบุรี</v>
      </c>
      <c r="AA771" s="8">
        <f t="shared" ref="AA771:AA834" si="109">+O771*$Y771</f>
        <v>714945.63732450001</v>
      </c>
      <c r="AB771" s="8">
        <f t="shared" ref="AB771:AB834" si="110">+P771*$Y771</f>
        <v>428967.38239469996</v>
      </c>
      <c r="AC771" s="8">
        <f t="shared" ref="AC771:AC834" si="111">+Q771*$Y771</f>
        <v>13393314.9392123</v>
      </c>
      <c r="AD771" s="8">
        <f t="shared" ref="AD771:AD834" si="112">+R771*$Y771</f>
        <v>3908369.4840405998</v>
      </c>
      <c r="AE771" s="8">
        <f t="shared" ref="AE771:AE834" si="113">+S771*$Y771</f>
        <v>18683912.655413598</v>
      </c>
      <c r="AF771" s="8">
        <f t="shared" ref="AF771:AF834" si="114">+T771*$Y771</f>
        <v>17397010.508229498</v>
      </c>
      <c r="AG771" s="8">
        <f t="shared" ref="AG771:AG834" si="115">+U771*$Y771</f>
        <v>296035161.66113555</v>
      </c>
      <c r="AH771" s="8">
        <f t="shared" ref="AH771:AH834" si="116">+V771*$Y771</f>
        <v>0</v>
      </c>
      <c r="AI771" s="8">
        <f t="shared" ref="AI771:AI834" si="117">+W771*$Y771</f>
        <v>0</v>
      </c>
    </row>
    <row r="772" spans="1:35" x14ac:dyDescent="0.55000000000000004">
      <c r="A772" s="1">
        <v>770</v>
      </c>
      <c r="B772" s="1" t="s">
        <v>20</v>
      </c>
      <c r="C772" s="1">
        <v>52</v>
      </c>
      <c r="D772" s="1">
        <v>6</v>
      </c>
      <c r="E772" s="1" t="s">
        <v>121</v>
      </c>
      <c r="F772" s="1" t="s">
        <v>122</v>
      </c>
      <c r="G772" s="1">
        <v>25</v>
      </c>
      <c r="H772" s="1">
        <v>2</v>
      </c>
      <c r="I772" s="1">
        <v>25060000</v>
      </c>
      <c r="J772" s="1">
        <v>891</v>
      </c>
      <c r="K772" s="1">
        <v>0</v>
      </c>
      <c r="L772" s="1">
        <v>14822</v>
      </c>
      <c r="M772" s="1">
        <v>14.092331</v>
      </c>
      <c r="N772" s="1">
        <v>101.189285</v>
      </c>
      <c r="O772" s="1">
        <v>2</v>
      </c>
      <c r="P772" s="1">
        <v>7.0000000000000007E-2</v>
      </c>
      <c r="Q772" s="1">
        <v>6.34</v>
      </c>
      <c r="R772" s="1">
        <v>1.91</v>
      </c>
      <c r="S772" s="1">
        <v>0.87</v>
      </c>
      <c r="T772" s="1">
        <v>2.95</v>
      </c>
      <c r="U772" s="1">
        <v>36.040000999999997</v>
      </c>
      <c r="V772" s="1">
        <v>0</v>
      </c>
      <c r="W772" s="1">
        <v>0</v>
      </c>
      <c r="X772" s="1">
        <v>5197.0214599999999</v>
      </c>
      <c r="Y772" s="1">
        <v>445778.94634899998</v>
      </c>
      <c r="Z772" t="str">
        <f>VLOOKUP(G772,'Code Pro'!$A$2:$B$9,2,FALSE)</f>
        <v>จ.ปราจีนบุรี</v>
      </c>
      <c r="AA772" s="8">
        <f t="shared" si="109"/>
        <v>891557.89269799995</v>
      </c>
      <c r="AB772" s="8">
        <f t="shared" si="110"/>
        <v>31204.526244430002</v>
      </c>
      <c r="AC772" s="8">
        <f t="shared" si="111"/>
        <v>2826238.5198526597</v>
      </c>
      <c r="AD772" s="8">
        <f t="shared" si="112"/>
        <v>851437.78752658993</v>
      </c>
      <c r="AE772" s="8">
        <f t="shared" si="113"/>
        <v>387827.68332362996</v>
      </c>
      <c r="AF772" s="8">
        <f t="shared" si="114"/>
        <v>1315047.89172955</v>
      </c>
      <c r="AG772" s="8">
        <f t="shared" si="115"/>
        <v>16065873.672196904</v>
      </c>
      <c r="AH772" s="8">
        <f t="shared" si="116"/>
        <v>0</v>
      </c>
      <c r="AI772" s="8">
        <f t="shared" si="117"/>
        <v>0</v>
      </c>
    </row>
    <row r="773" spans="1:35" x14ac:dyDescent="0.55000000000000004">
      <c r="A773" s="1">
        <v>771</v>
      </c>
      <c r="B773" s="1" t="s">
        <v>20</v>
      </c>
      <c r="C773" s="1">
        <v>52</v>
      </c>
      <c r="D773" s="1">
        <v>6</v>
      </c>
      <c r="E773" s="1" t="s">
        <v>121</v>
      </c>
      <c r="F773" s="1" t="s">
        <v>122</v>
      </c>
      <c r="G773" s="1">
        <v>25</v>
      </c>
      <c r="H773" s="1">
        <v>2</v>
      </c>
      <c r="I773" s="1">
        <v>25060000</v>
      </c>
      <c r="J773" s="1">
        <v>892</v>
      </c>
      <c r="K773" s="1">
        <v>0</v>
      </c>
      <c r="L773" s="1">
        <v>14703</v>
      </c>
      <c r="M773" s="1">
        <v>14.011680999999999</v>
      </c>
      <c r="N773" s="1">
        <v>101.27242</v>
      </c>
      <c r="O773" s="1">
        <v>0.03</v>
      </c>
      <c r="P773" s="1">
        <v>0.61</v>
      </c>
      <c r="Q773" s="1">
        <v>20.09</v>
      </c>
      <c r="R773" s="1">
        <v>0.46</v>
      </c>
      <c r="S773" s="1">
        <v>0.56000000000000005</v>
      </c>
      <c r="T773" s="1">
        <v>7.34</v>
      </c>
      <c r="U773" s="1">
        <v>7.2</v>
      </c>
      <c r="V773" s="1">
        <v>0</v>
      </c>
      <c r="W773" s="1">
        <v>0</v>
      </c>
      <c r="X773" s="1">
        <v>37193.626994999999</v>
      </c>
      <c r="Y773" s="1">
        <v>64164620.358499996</v>
      </c>
      <c r="Z773" t="str">
        <f>VLOOKUP(G773,'Code Pro'!$A$2:$B$9,2,FALSE)</f>
        <v>จ.ปราจีนบุรี</v>
      </c>
      <c r="AA773" s="8">
        <f t="shared" si="109"/>
        <v>1924938.6107549998</v>
      </c>
      <c r="AB773" s="8">
        <f t="shared" si="110"/>
        <v>39140418.418684997</v>
      </c>
      <c r="AC773" s="8">
        <f t="shared" si="111"/>
        <v>1289067223.002265</v>
      </c>
      <c r="AD773" s="8">
        <f t="shared" si="112"/>
        <v>29515725.364909999</v>
      </c>
      <c r="AE773" s="8">
        <f t="shared" si="113"/>
        <v>35932187.400760002</v>
      </c>
      <c r="AF773" s="8">
        <f t="shared" si="114"/>
        <v>470968313.43138999</v>
      </c>
      <c r="AG773" s="8">
        <f t="shared" si="115"/>
        <v>461985266.5812</v>
      </c>
      <c r="AH773" s="8">
        <f t="shared" si="116"/>
        <v>0</v>
      </c>
      <c r="AI773" s="8">
        <f t="shared" si="117"/>
        <v>0</v>
      </c>
    </row>
    <row r="774" spans="1:35" x14ac:dyDescent="0.55000000000000004">
      <c r="A774" s="1">
        <v>772</v>
      </c>
      <c r="B774" s="1" t="s">
        <v>20</v>
      </c>
      <c r="C774" s="1">
        <v>52</v>
      </c>
      <c r="D774" s="1">
        <v>6</v>
      </c>
      <c r="E774" s="1" t="s">
        <v>121</v>
      </c>
      <c r="F774" s="1" t="s">
        <v>122</v>
      </c>
      <c r="G774" s="1">
        <v>25</v>
      </c>
      <c r="H774" s="1">
        <v>2</v>
      </c>
      <c r="I774" s="1">
        <v>25060000</v>
      </c>
      <c r="J774" s="1">
        <v>893</v>
      </c>
      <c r="K774" s="1">
        <v>0</v>
      </c>
      <c r="L774" s="1">
        <v>14584</v>
      </c>
      <c r="M774" s="1">
        <v>13.931006999999999</v>
      </c>
      <c r="N774" s="1">
        <v>101.35556</v>
      </c>
      <c r="O774" s="1">
        <v>4.92</v>
      </c>
      <c r="P774" s="1">
        <v>4.8600000000000003</v>
      </c>
      <c r="Q774" s="1">
        <v>0.84</v>
      </c>
      <c r="R774" s="1">
        <v>0.83</v>
      </c>
      <c r="S774" s="1">
        <v>18.790001</v>
      </c>
      <c r="T774" s="1">
        <v>6.35</v>
      </c>
      <c r="U774" s="1">
        <v>43.5</v>
      </c>
      <c r="V774" s="1">
        <v>0</v>
      </c>
      <c r="W774" s="1">
        <v>0</v>
      </c>
      <c r="X774" s="1">
        <v>29751.229760999999</v>
      </c>
      <c r="Y774" s="1">
        <v>35148785.247599997</v>
      </c>
      <c r="Z774" t="str">
        <f>VLOOKUP(G774,'Code Pro'!$A$2:$B$9,2,FALSE)</f>
        <v>จ.ปราจีนบุรี</v>
      </c>
      <c r="AA774" s="8">
        <f t="shared" si="109"/>
        <v>172932023.41819197</v>
      </c>
      <c r="AB774" s="8">
        <f t="shared" si="110"/>
        <v>170823096.30333599</v>
      </c>
      <c r="AC774" s="8">
        <f t="shared" si="111"/>
        <v>29524979.607983995</v>
      </c>
      <c r="AD774" s="8">
        <f t="shared" si="112"/>
        <v>29173491.755507994</v>
      </c>
      <c r="AE774" s="8">
        <f t="shared" si="113"/>
        <v>660445709.95118916</v>
      </c>
      <c r="AF774" s="8">
        <f t="shared" si="114"/>
        <v>223194786.32225996</v>
      </c>
      <c r="AG774" s="8">
        <f t="shared" si="115"/>
        <v>1528972158.2705998</v>
      </c>
      <c r="AH774" s="8">
        <f t="shared" si="116"/>
        <v>0</v>
      </c>
      <c r="AI774" s="8">
        <f t="shared" si="117"/>
        <v>0</v>
      </c>
    </row>
    <row r="775" spans="1:35" x14ac:dyDescent="0.55000000000000004">
      <c r="A775" s="1">
        <v>773</v>
      </c>
      <c r="B775" s="1" t="s">
        <v>20</v>
      </c>
      <c r="C775" s="1">
        <v>52</v>
      </c>
      <c r="D775" s="1">
        <v>6</v>
      </c>
      <c r="E775" s="1" t="s">
        <v>121</v>
      </c>
      <c r="F775" s="1" t="s">
        <v>122</v>
      </c>
      <c r="G775" s="1">
        <v>25</v>
      </c>
      <c r="H775" s="1">
        <v>2</v>
      </c>
      <c r="I775" s="1">
        <v>25060000</v>
      </c>
      <c r="J775" s="1">
        <v>896</v>
      </c>
      <c r="K775" s="1">
        <v>0</v>
      </c>
      <c r="L775" s="1">
        <v>14704</v>
      </c>
      <c r="M775" s="1">
        <v>14.011680999999999</v>
      </c>
      <c r="N775" s="1">
        <v>101.35556</v>
      </c>
      <c r="O775" s="1">
        <v>0.01</v>
      </c>
      <c r="P775" s="1">
        <v>1.04</v>
      </c>
      <c r="Q775" s="1">
        <v>2.44</v>
      </c>
      <c r="R775" s="1">
        <v>0.52</v>
      </c>
      <c r="S775" s="1">
        <v>5.01</v>
      </c>
      <c r="T775" s="1">
        <v>6</v>
      </c>
      <c r="U775" s="1">
        <v>33.369999</v>
      </c>
      <c r="V775" s="1">
        <v>0</v>
      </c>
      <c r="W775" s="1">
        <v>0</v>
      </c>
      <c r="X775" s="1">
        <v>9642.8156550000003</v>
      </c>
      <c r="Y775" s="1">
        <v>2356194.6875499999</v>
      </c>
      <c r="Z775" t="str">
        <f>VLOOKUP(G775,'Code Pro'!$A$2:$B$9,2,FALSE)</f>
        <v>จ.ปราจีนบุรี</v>
      </c>
      <c r="AA775" s="8">
        <f t="shared" si="109"/>
        <v>23561.946875499998</v>
      </c>
      <c r="AB775" s="8">
        <f t="shared" si="110"/>
        <v>2450442.475052</v>
      </c>
      <c r="AC775" s="8">
        <f t="shared" si="111"/>
        <v>5749115.0376220001</v>
      </c>
      <c r="AD775" s="8">
        <f t="shared" si="112"/>
        <v>1225221.237526</v>
      </c>
      <c r="AE775" s="8">
        <f t="shared" si="113"/>
        <v>11804535.384625498</v>
      </c>
      <c r="AF775" s="8">
        <f t="shared" si="114"/>
        <v>14137168.125299999</v>
      </c>
      <c r="AG775" s="8">
        <f t="shared" si="115"/>
        <v>78626214.367348805</v>
      </c>
      <c r="AH775" s="8">
        <f t="shared" si="116"/>
        <v>0</v>
      </c>
      <c r="AI775" s="8">
        <f t="shared" si="117"/>
        <v>0</v>
      </c>
    </row>
    <row r="776" spans="1:35" x14ac:dyDescent="0.55000000000000004">
      <c r="A776" s="1">
        <v>774</v>
      </c>
      <c r="B776" s="1" t="s">
        <v>20</v>
      </c>
      <c r="C776" s="1">
        <v>52</v>
      </c>
      <c r="D776" s="1">
        <v>6</v>
      </c>
      <c r="E776" s="1" t="s">
        <v>121</v>
      </c>
      <c r="F776" s="1" t="s">
        <v>122</v>
      </c>
      <c r="G776" s="1">
        <v>25</v>
      </c>
      <c r="H776" s="1">
        <v>2</v>
      </c>
      <c r="I776" s="1">
        <v>25060000</v>
      </c>
      <c r="J776" s="1">
        <v>909</v>
      </c>
      <c r="K776" s="1">
        <v>0</v>
      </c>
      <c r="L776" s="1">
        <v>14583</v>
      </c>
      <c r="M776" s="1">
        <v>13.931006999999999</v>
      </c>
      <c r="N776" s="1">
        <v>101.27242</v>
      </c>
      <c r="O776" s="1">
        <v>8.82</v>
      </c>
      <c r="P776" s="1">
        <v>0.37</v>
      </c>
      <c r="Q776" s="1">
        <v>1.72</v>
      </c>
      <c r="R776" s="1">
        <v>0.95</v>
      </c>
      <c r="S776" s="1">
        <v>2.46</v>
      </c>
      <c r="T776" s="1">
        <v>5.61</v>
      </c>
      <c r="U776" s="1">
        <v>27</v>
      </c>
      <c r="V776" s="1">
        <v>0</v>
      </c>
      <c r="W776" s="1">
        <v>0</v>
      </c>
      <c r="X776" s="1">
        <v>35835.622474000003</v>
      </c>
      <c r="Y776" s="1">
        <v>80261173.596000001</v>
      </c>
      <c r="Z776" t="str">
        <f>VLOOKUP(G776,'Code Pro'!$A$2:$B$9,2,FALSE)</f>
        <v>จ.ปราจีนบุรี</v>
      </c>
      <c r="AA776" s="8">
        <f t="shared" si="109"/>
        <v>707903551.11672008</v>
      </c>
      <c r="AB776" s="8">
        <f t="shared" si="110"/>
        <v>29696634.230519999</v>
      </c>
      <c r="AC776" s="8">
        <f t="shared" si="111"/>
        <v>138049218.58511999</v>
      </c>
      <c r="AD776" s="8">
        <f t="shared" si="112"/>
        <v>76248114.916199997</v>
      </c>
      <c r="AE776" s="8">
        <f t="shared" si="113"/>
        <v>197442487.04616001</v>
      </c>
      <c r="AF776" s="8">
        <f t="shared" si="114"/>
        <v>450265183.87356001</v>
      </c>
      <c r="AG776" s="8">
        <f t="shared" si="115"/>
        <v>2167051687.092</v>
      </c>
      <c r="AH776" s="8">
        <f t="shared" si="116"/>
        <v>0</v>
      </c>
      <c r="AI776" s="8">
        <f t="shared" si="117"/>
        <v>0</v>
      </c>
    </row>
    <row r="777" spans="1:35" x14ac:dyDescent="0.55000000000000004">
      <c r="A777" s="1">
        <v>775</v>
      </c>
      <c r="B777" s="1" t="s">
        <v>20</v>
      </c>
      <c r="C777" s="1">
        <v>53</v>
      </c>
      <c r="D777" s="1">
        <v>7</v>
      </c>
      <c r="E777" s="1" t="s">
        <v>123</v>
      </c>
      <c r="F777" s="1" t="s">
        <v>124</v>
      </c>
      <c r="G777" s="1">
        <v>25</v>
      </c>
      <c r="H777" s="1">
        <v>2</v>
      </c>
      <c r="I777" s="1">
        <v>25070000</v>
      </c>
      <c r="J777" s="1">
        <v>900</v>
      </c>
      <c r="K777" s="1">
        <v>0</v>
      </c>
      <c r="L777" s="1">
        <v>14825</v>
      </c>
      <c r="M777" s="1">
        <v>14.092331</v>
      </c>
      <c r="N777" s="1">
        <v>101.4387</v>
      </c>
      <c r="O777" s="1">
        <v>0.81</v>
      </c>
      <c r="P777" s="1">
        <v>0.26</v>
      </c>
      <c r="Q777" s="1">
        <v>0.03</v>
      </c>
      <c r="R777" s="1">
        <v>1.18</v>
      </c>
      <c r="S777" s="1">
        <v>1.3</v>
      </c>
      <c r="T777" s="1">
        <v>3.92</v>
      </c>
      <c r="U777" s="1">
        <v>12.12</v>
      </c>
      <c r="V777" s="1">
        <v>0</v>
      </c>
      <c r="W777" s="1">
        <v>0</v>
      </c>
      <c r="X777" s="1">
        <v>11608.114629</v>
      </c>
      <c r="Y777" s="1">
        <v>1365121.0661899999</v>
      </c>
      <c r="Z777" t="str">
        <f>VLOOKUP(G777,'Code Pro'!$A$2:$B$9,2,FALSE)</f>
        <v>จ.ปราจีนบุรี</v>
      </c>
      <c r="AA777" s="8">
        <f t="shared" si="109"/>
        <v>1105748.0636139</v>
      </c>
      <c r="AB777" s="8">
        <f t="shared" si="110"/>
        <v>354931.47720939998</v>
      </c>
      <c r="AC777" s="8">
        <f t="shared" si="111"/>
        <v>40953.631985699998</v>
      </c>
      <c r="AD777" s="8">
        <f t="shared" si="112"/>
        <v>1610842.8581041999</v>
      </c>
      <c r="AE777" s="8">
        <f t="shared" si="113"/>
        <v>1774657.3860470001</v>
      </c>
      <c r="AF777" s="8">
        <f t="shared" si="114"/>
        <v>5351274.5794647997</v>
      </c>
      <c r="AG777" s="8">
        <f t="shared" si="115"/>
        <v>16545267.322222797</v>
      </c>
      <c r="AH777" s="8">
        <f t="shared" si="116"/>
        <v>0</v>
      </c>
      <c r="AI777" s="8">
        <f t="shared" si="117"/>
        <v>0</v>
      </c>
    </row>
    <row r="778" spans="1:35" x14ac:dyDescent="0.55000000000000004">
      <c r="A778" s="1">
        <v>776</v>
      </c>
      <c r="B778" s="1" t="s">
        <v>20</v>
      </c>
      <c r="C778" s="1">
        <v>53</v>
      </c>
      <c r="D778" s="1">
        <v>7</v>
      </c>
      <c r="E778" s="1" t="s">
        <v>123</v>
      </c>
      <c r="F778" s="1" t="s">
        <v>124</v>
      </c>
      <c r="G778" s="1">
        <v>25</v>
      </c>
      <c r="H778" s="1">
        <v>2</v>
      </c>
      <c r="I778" s="1">
        <v>25070000</v>
      </c>
      <c r="J778" s="1">
        <v>902</v>
      </c>
      <c r="K778" s="1">
        <v>0</v>
      </c>
      <c r="L778" s="1">
        <v>14705</v>
      </c>
      <c r="M778" s="1">
        <v>14.011680999999999</v>
      </c>
      <c r="N778" s="1">
        <v>101.4387</v>
      </c>
      <c r="O778" s="1">
        <v>1.57</v>
      </c>
      <c r="P778" s="1">
        <v>2.44</v>
      </c>
      <c r="Q778" s="1">
        <v>0.3</v>
      </c>
      <c r="R778" s="1">
        <v>0.82</v>
      </c>
      <c r="S778" s="1">
        <v>4.45</v>
      </c>
      <c r="T778" s="1">
        <v>3.15</v>
      </c>
      <c r="U778" s="1">
        <v>32.619999</v>
      </c>
      <c r="V778" s="1">
        <v>0</v>
      </c>
      <c r="W778" s="1">
        <v>0</v>
      </c>
      <c r="X778" s="1">
        <v>18967.107464000001</v>
      </c>
      <c r="Y778" s="1">
        <v>12367740.412799999</v>
      </c>
      <c r="Z778" t="str">
        <f>VLOOKUP(G778,'Code Pro'!$A$2:$B$9,2,FALSE)</f>
        <v>จ.ปราจีนบุรี</v>
      </c>
      <c r="AA778" s="8">
        <f t="shared" si="109"/>
        <v>19417352.448096</v>
      </c>
      <c r="AB778" s="8">
        <f t="shared" si="110"/>
        <v>30177286.607231997</v>
      </c>
      <c r="AC778" s="8">
        <f t="shared" si="111"/>
        <v>3710322.1238399995</v>
      </c>
      <c r="AD778" s="8">
        <f t="shared" si="112"/>
        <v>10141547.138495998</v>
      </c>
      <c r="AE778" s="8">
        <f t="shared" si="113"/>
        <v>55036444.836959995</v>
      </c>
      <c r="AF778" s="8">
        <f t="shared" si="114"/>
        <v>38958382.300319999</v>
      </c>
      <c r="AG778" s="8">
        <f t="shared" si="115"/>
        <v>403435679.89779556</v>
      </c>
      <c r="AH778" s="8">
        <f t="shared" si="116"/>
        <v>0</v>
      </c>
      <c r="AI778" s="8">
        <f t="shared" si="117"/>
        <v>0</v>
      </c>
    </row>
    <row r="779" spans="1:35" x14ac:dyDescent="0.55000000000000004">
      <c r="A779" s="1">
        <v>777</v>
      </c>
      <c r="B779" s="1" t="s">
        <v>20</v>
      </c>
      <c r="C779" s="1">
        <v>53</v>
      </c>
      <c r="D779" s="1">
        <v>7</v>
      </c>
      <c r="E779" s="1" t="s">
        <v>123</v>
      </c>
      <c r="F779" s="1" t="s">
        <v>124</v>
      </c>
      <c r="G779" s="1">
        <v>25</v>
      </c>
      <c r="H779" s="1">
        <v>2</v>
      </c>
      <c r="I779" s="1">
        <v>25070000</v>
      </c>
      <c r="J779" s="1">
        <v>904</v>
      </c>
      <c r="K779" s="1">
        <v>0</v>
      </c>
      <c r="L779" s="1">
        <v>14945</v>
      </c>
      <c r="M779" s="1">
        <v>14.172943</v>
      </c>
      <c r="N779" s="1">
        <v>101.4387</v>
      </c>
      <c r="O779" s="1">
        <v>25.809999000000001</v>
      </c>
      <c r="P779" s="1">
        <v>1.81</v>
      </c>
      <c r="Q779" s="1">
        <v>0.68</v>
      </c>
      <c r="R779" s="1">
        <v>0.28999999999999998</v>
      </c>
      <c r="S779" s="1">
        <v>0.61</v>
      </c>
      <c r="T779" s="1">
        <v>36.979999999999997</v>
      </c>
      <c r="U779" s="1">
        <v>22.959999</v>
      </c>
      <c r="V779" s="1">
        <v>0</v>
      </c>
      <c r="W779" s="1">
        <v>0</v>
      </c>
      <c r="X779" s="1">
        <v>28689.208585</v>
      </c>
      <c r="Y779" s="1">
        <v>23323700.634199999</v>
      </c>
      <c r="Z779" t="str">
        <f>VLOOKUP(G779,'Code Pro'!$A$2:$B$9,2,FALSE)</f>
        <v>จ.ปราจีนบุรี</v>
      </c>
      <c r="AA779" s="8">
        <f t="shared" si="109"/>
        <v>601984690.04500139</v>
      </c>
      <c r="AB779" s="8">
        <f t="shared" si="110"/>
        <v>42215898.147901997</v>
      </c>
      <c r="AC779" s="8">
        <f t="shared" si="111"/>
        <v>15860116.431256</v>
      </c>
      <c r="AD779" s="8">
        <f t="shared" si="112"/>
        <v>6763873.1839179993</v>
      </c>
      <c r="AE779" s="8">
        <f t="shared" si="113"/>
        <v>14227457.386861999</v>
      </c>
      <c r="AF779" s="8">
        <f t="shared" si="114"/>
        <v>862510449.45271587</v>
      </c>
      <c r="AG779" s="8">
        <f t="shared" si="115"/>
        <v>535512143.23753136</v>
      </c>
      <c r="AH779" s="8">
        <f t="shared" si="116"/>
        <v>0</v>
      </c>
      <c r="AI779" s="8">
        <f t="shared" si="117"/>
        <v>0</v>
      </c>
    </row>
    <row r="780" spans="1:35" x14ac:dyDescent="0.55000000000000004">
      <c r="A780" s="1">
        <v>778</v>
      </c>
      <c r="B780" s="1" t="s">
        <v>20</v>
      </c>
      <c r="C780" s="1">
        <v>53</v>
      </c>
      <c r="D780" s="1">
        <v>7</v>
      </c>
      <c r="E780" s="1" t="s">
        <v>123</v>
      </c>
      <c r="F780" s="1" t="s">
        <v>124</v>
      </c>
      <c r="G780" s="1">
        <v>25</v>
      </c>
      <c r="H780" s="1">
        <v>2</v>
      </c>
      <c r="I780" s="1">
        <v>25070000</v>
      </c>
      <c r="J780" s="1">
        <v>906</v>
      </c>
      <c r="K780" s="1">
        <v>0</v>
      </c>
      <c r="L780" s="1">
        <v>14706</v>
      </c>
      <c r="M780" s="1">
        <v>14.011680999999999</v>
      </c>
      <c r="N780" s="1">
        <v>101.52182999999999</v>
      </c>
      <c r="O780" s="1">
        <v>0.01</v>
      </c>
      <c r="P780" s="1">
        <v>0.23</v>
      </c>
      <c r="Q780" s="1">
        <v>0.66</v>
      </c>
      <c r="R780" s="1">
        <v>0.9</v>
      </c>
      <c r="S780" s="1">
        <v>8.2200000000000006</v>
      </c>
      <c r="T780" s="1">
        <v>7.34</v>
      </c>
      <c r="U780" s="1">
        <v>17.75</v>
      </c>
      <c r="V780" s="1">
        <v>0</v>
      </c>
      <c r="W780" s="1">
        <v>0</v>
      </c>
      <c r="X780" s="1">
        <v>32248.650035999999</v>
      </c>
      <c r="Y780" s="1">
        <v>51663469.270800002</v>
      </c>
      <c r="Z780" t="str">
        <f>VLOOKUP(G780,'Code Pro'!$A$2:$B$9,2,FALSE)</f>
        <v>จ.ปราจีนบุรี</v>
      </c>
      <c r="AA780" s="8">
        <f t="shared" si="109"/>
        <v>516634.69270800002</v>
      </c>
      <c r="AB780" s="8">
        <f t="shared" si="110"/>
        <v>11882597.932284001</v>
      </c>
      <c r="AC780" s="8">
        <f t="shared" si="111"/>
        <v>34097889.718728006</v>
      </c>
      <c r="AD780" s="8">
        <f t="shared" si="112"/>
        <v>46497122.343720004</v>
      </c>
      <c r="AE780" s="8">
        <f t="shared" si="113"/>
        <v>424673717.40597606</v>
      </c>
      <c r="AF780" s="8">
        <f t="shared" si="114"/>
        <v>379209864.44767201</v>
      </c>
      <c r="AG780" s="8">
        <f t="shared" si="115"/>
        <v>917026579.55669999</v>
      </c>
      <c r="AH780" s="8">
        <f t="shared" si="116"/>
        <v>0</v>
      </c>
      <c r="AI780" s="8">
        <f t="shared" si="117"/>
        <v>0</v>
      </c>
    </row>
    <row r="781" spans="1:35" x14ac:dyDescent="0.55000000000000004">
      <c r="A781" s="1">
        <v>779</v>
      </c>
      <c r="B781" s="1" t="s">
        <v>20</v>
      </c>
      <c r="C781" s="1">
        <v>53</v>
      </c>
      <c r="D781" s="1">
        <v>7</v>
      </c>
      <c r="E781" s="1" t="s">
        <v>123</v>
      </c>
      <c r="F781" s="1" t="s">
        <v>124</v>
      </c>
      <c r="G781" s="1">
        <v>25</v>
      </c>
      <c r="H781" s="1">
        <v>2</v>
      </c>
      <c r="I781" s="1">
        <v>25070000</v>
      </c>
      <c r="J781" s="1">
        <v>907</v>
      </c>
      <c r="K781" s="1">
        <v>0</v>
      </c>
      <c r="L781" s="1">
        <v>15065</v>
      </c>
      <c r="M781" s="1">
        <v>14.253532</v>
      </c>
      <c r="N781" s="1">
        <v>101.4387</v>
      </c>
      <c r="O781" s="1">
        <v>3.54</v>
      </c>
      <c r="P781" s="1">
        <v>0.44</v>
      </c>
      <c r="Q781" s="1">
        <v>2.02</v>
      </c>
      <c r="R781" s="1">
        <v>1.9</v>
      </c>
      <c r="S781" s="1">
        <v>3</v>
      </c>
      <c r="T781" s="1">
        <v>59.029998999999997</v>
      </c>
      <c r="U781" s="1">
        <v>4.5</v>
      </c>
      <c r="V781" s="1">
        <v>0</v>
      </c>
      <c r="W781" s="1">
        <v>0</v>
      </c>
      <c r="X781" s="1">
        <v>22503.275736</v>
      </c>
      <c r="Y781" s="1">
        <v>24618379.887800001</v>
      </c>
      <c r="Z781" t="str">
        <f>VLOOKUP(G781,'Code Pro'!$A$2:$B$9,2,FALSE)</f>
        <v>จ.ปราจีนบุรี</v>
      </c>
      <c r="AA781" s="8">
        <f t="shared" si="109"/>
        <v>87149064.80281201</v>
      </c>
      <c r="AB781" s="8">
        <f t="shared" si="110"/>
        <v>10832087.150632</v>
      </c>
      <c r="AC781" s="8">
        <f t="shared" si="111"/>
        <v>49729127.373356</v>
      </c>
      <c r="AD781" s="8">
        <f t="shared" si="112"/>
        <v>46774921.786820002</v>
      </c>
      <c r="AE781" s="8">
        <f t="shared" si="113"/>
        <v>73855139.663399994</v>
      </c>
      <c r="AF781" s="8">
        <f t="shared" si="114"/>
        <v>1453222940.1584542</v>
      </c>
      <c r="AG781" s="8">
        <f t="shared" si="115"/>
        <v>110782709.49510001</v>
      </c>
      <c r="AH781" s="8">
        <f t="shared" si="116"/>
        <v>0</v>
      </c>
      <c r="AI781" s="8">
        <f t="shared" si="117"/>
        <v>0</v>
      </c>
    </row>
    <row r="782" spans="1:35" x14ac:dyDescent="0.55000000000000004">
      <c r="A782" s="1">
        <v>780</v>
      </c>
      <c r="B782" s="1" t="s">
        <v>20</v>
      </c>
      <c r="C782" s="1">
        <v>53</v>
      </c>
      <c r="D782" s="1">
        <v>7</v>
      </c>
      <c r="E782" s="1" t="s">
        <v>123</v>
      </c>
      <c r="F782" s="1" t="s">
        <v>124</v>
      </c>
      <c r="G782" s="1">
        <v>25</v>
      </c>
      <c r="H782" s="1">
        <v>2</v>
      </c>
      <c r="I782" s="1">
        <v>25070000</v>
      </c>
      <c r="J782" s="1">
        <v>912</v>
      </c>
      <c r="K782" s="1">
        <v>0</v>
      </c>
      <c r="L782" s="1">
        <v>14707</v>
      </c>
      <c r="M782" s="1">
        <v>14.011680999999999</v>
      </c>
      <c r="N782" s="1">
        <v>101.60496500000001</v>
      </c>
      <c r="O782" s="1">
        <v>0.02</v>
      </c>
      <c r="P782" s="1">
        <v>0.54</v>
      </c>
      <c r="Q782" s="1">
        <v>0.16</v>
      </c>
      <c r="R782" s="1">
        <v>6.23</v>
      </c>
      <c r="S782" s="1">
        <v>5.04</v>
      </c>
      <c r="T782" s="1">
        <v>9.09</v>
      </c>
      <c r="U782" s="1">
        <v>3.49</v>
      </c>
      <c r="V782" s="1">
        <v>0</v>
      </c>
      <c r="W782" s="1">
        <v>0</v>
      </c>
      <c r="X782" s="1">
        <v>26416.855942999999</v>
      </c>
      <c r="Y782" s="1">
        <v>30245883.577300001</v>
      </c>
      <c r="Z782" t="str">
        <f>VLOOKUP(G782,'Code Pro'!$A$2:$B$9,2,FALSE)</f>
        <v>จ.ปราจีนบุรี</v>
      </c>
      <c r="AA782" s="8">
        <f t="shared" si="109"/>
        <v>604917.67154600006</v>
      </c>
      <c r="AB782" s="8">
        <f t="shared" si="110"/>
        <v>16332777.131742002</v>
      </c>
      <c r="AC782" s="8">
        <f t="shared" si="111"/>
        <v>4839341.3723680004</v>
      </c>
      <c r="AD782" s="8">
        <f t="shared" si="112"/>
        <v>188431854.68657902</v>
      </c>
      <c r="AE782" s="8">
        <f t="shared" si="113"/>
        <v>152439253.229592</v>
      </c>
      <c r="AF782" s="8">
        <f t="shared" si="114"/>
        <v>274935081.71765703</v>
      </c>
      <c r="AG782" s="8">
        <f t="shared" si="115"/>
        <v>105558133.68477701</v>
      </c>
      <c r="AH782" s="8">
        <f t="shared" si="116"/>
        <v>0</v>
      </c>
      <c r="AI782" s="8">
        <f t="shared" si="117"/>
        <v>0</v>
      </c>
    </row>
    <row r="783" spans="1:35" x14ac:dyDescent="0.55000000000000004">
      <c r="A783" s="1">
        <v>781</v>
      </c>
      <c r="B783" s="1" t="s">
        <v>20</v>
      </c>
      <c r="C783" s="1">
        <v>53</v>
      </c>
      <c r="D783" s="1">
        <v>7</v>
      </c>
      <c r="E783" s="1" t="s">
        <v>123</v>
      </c>
      <c r="F783" s="1" t="s">
        <v>124</v>
      </c>
      <c r="G783" s="1">
        <v>25</v>
      </c>
      <c r="H783" s="1">
        <v>2</v>
      </c>
      <c r="I783" s="1">
        <v>25070000</v>
      </c>
      <c r="J783" s="1">
        <v>919</v>
      </c>
      <c r="K783" s="1">
        <v>0</v>
      </c>
      <c r="L783" s="1">
        <v>14827</v>
      </c>
      <c r="M783" s="1">
        <v>14.092331</v>
      </c>
      <c r="N783" s="1">
        <v>101.60496500000001</v>
      </c>
      <c r="O783" s="1">
        <v>1.49</v>
      </c>
      <c r="P783" s="1">
        <v>7.0000000000000007E-2</v>
      </c>
      <c r="Q783" s="1">
        <v>7.0000000000000007E-2</v>
      </c>
      <c r="R783" s="1">
        <v>0.41</v>
      </c>
      <c r="S783" s="1">
        <v>104.82</v>
      </c>
      <c r="T783" s="1">
        <v>6.55</v>
      </c>
      <c r="U783" s="1">
        <v>3.94</v>
      </c>
      <c r="V783" s="1">
        <v>0</v>
      </c>
      <c r="W783" s="1">
        <v>0</v>
      </c>
      <c r="X783" s="1">
        <v>33635.151156</v>
      </c>
      <c r="Y783" s="1">
        <v>73204081.393299997</v>
      </c>
      <c r="Z783" t="str">
        <f>VLOOKUP(G783,'Code Pro'!$A$2:$B$9,2,FALSE)</f>
        <v>จ.ปราจีนบุรี</v>
      </c>
      <c r="AA783" s="8">
        <f t="shared" si="109"/>
        <v>109074081.276017</v>
      </c>
      <c r="AB783" s="8">
        <f t="shared" si="110"/>
        <v>5124285.6975310007</v>
      </c>
      <c r="AC783" s="8">
        <f t="shared" si="111"/>
        <v>5124285.6975310007</v>
      </c>
      <c r="AD783" s="8">
        <f t="shared" si="112"/>
        <v>30013673.371252999</v>
      </c>
      <c r="AE783" s="8">
        <f t="shared" si="113"/>
        <v>7673251811.6457052</v>
      </c>
      <c r="AF783" s="8">
        <f t="shared" si="114"/>
        <v>479486733.12611496</v>
      </c>
      <c r="AG783" s="8">
        <f t="shared" si="115"/>
        <v>288424080.68960196</v>
      </c>
      <c r="AH783" s="8">
        <f t="shared" si="116"/>
        <v>0</v>
      </c>
      <c r="AI783" s="8">
        <f t="shared" si="117"/>
        <v>0</v>
      </c>
    </row>
    <row r="784" spans="1:35" x14ac:dyDescent="0.55000000000000004">
      <c r="A784" s="1">
        <v>782</v>
      </c>
      <c r="B784" s="1" t="s">
        <v>20</v>
      </c>
      <c r="C784" s="1">
        <v>53</v>
      </c>
      <c r="D784" s="1">
        <v>7</v>
      </c>
      <c r="E784" s="1" t="s">
        <v>123</v>
      </c>
      <c r="F784" s="1" t="s">
        <v>124</v>
      </c>
      <c r="G784" s="1">
        <v>25</v>
      </c>
      <c r="H784" s="1">
        <v>2</v>
      </c>
      <c r="I784" s="1">
        <v>25070000</v>
      </c>
      <c r="J784" s="1">
        <v>920</v>
      </c>
      <c r="K784" s="1">
        <v>0</v>
      </c>
      <c r="L784" s="1">
        <v>14946</v>
      </c>
      <c r="M784" s="1">
        <v>14.172943</v>
      </c>
      <c r="N784" s="1">
        <v>101.52182999999999</v>
      </c>
      <c r="O784" s="1">
        <v>1.61</v>
      </c>
      <c r="P784" s="1">
        <v>0.08</v>
      </c>
      <c r="Q784" s="1">
        <v>0.31</v>
      </c>
      <c r="R784" s="1">
        <v>0.96</v>
      </c>
      <c r="S784" s="1">
        <v>8.11</v>
      </c>
      <c r="T784" s="1">
        <v>52.709999000000003</v>
      </c>
      <c r="U784" s="1">
        <v>7.1</v>
      </c>
      <c r="V784" s="1">
        <v>0.95</v>
      </c>
      <c r="W784" s="1">
        <v>0</v>
      </c>
      <c r="X784" s="1">
        <v>35802.666209000003</v>
      </c>
      <c r="Y784" s="1">
        <v>80113626.855100006</v>
      </c>
      <c r="Z784" t="str">
        <f>VLOOKUP(G784,'Code Pro'!$A$2:$B$9,2,FALSE)</f>
        <v>จ.ปราจีนบุรี</v>
      </c>
      <c r="AA784" s="8">
        <f t="shared" si="109"/>
        <v>128982939.23671101</v>
      </c>
      <c r="AB784" s="8">
        <f t="shared" si="110"/>
        <v>6409090.1484080004</v>
      </c>
      <c r="AC784" s="8">
        <f t="shared" si="111"/>
        <v>24835224.325081002</v>
      </c>
      <c r="AD784" s="8">
        <f t="shared" si="112"/>
        <v>76909081.780896008</v>
      </c>
      <c r="AE784" s="8">
        <f t="shared" si="113"/>
        <v>649721513.79486096</v>
      </c>
      <c r="AF784" s="8">
        <f t="shared" si="114"/>
        <v>4222789191.4186945</v>
      </c>
      <c r="AG784" s="8">
        <f t="shared" si="115"/>
        <v>568806750.67121005</v>
      </c>
      <c r="AH784" s="8">
        <f t="shared" si="116"/>
        <v>76107945.512345001</v>
      </c>
      <c r="AI784" s="8">
        <f t="shared" si="117"/>
        <v>0</v>
      </c>
    </row>
    <row r="785" spans="1:35" x14ac:dyDescent="0.55000000000000004">
      <c r="A785" s="1">
        <v>783</v>
      </c>
      <c r="B785" s="1" t="s">
        <v>20</v>
      </c>
      <c r="C785" s="1">
        <v>53</v>
      </c>
      <c r="D785" s="1">
        <v>7</v>
      </c>
      <c r="E785" s="1" t="s">
        <v>123</v>
      </c>
      <c r="F785" s="1" t="s">
        <v>124</v>
      </c>
      <c r="G785" s="1">
        <v>25</v>
      </c>
      <c r="H785" s="1">
        <v>2</v>
      </c>
      <c r="I785" s="1">
        <v>25070000</v>
      </c>
      <c r="J785" s="1">
        <v>921</v>
      </c>
      <c r="K785" s="1">
        <v>0</v>
      </c>
      <c r="L785" s="1">
        <v>15067</v>
      </c>
      <c r="M785" s="1">
        <v>14.253532</v>
      </c>
      <c r="N785" s="1">
        <v>101.60496500000001</v>
      </c>
      <c r="O785" s="1">
        <v>2.2999999999999998</v>
      </c>
      <c r="P785" s="1">
        <v>0.61</v>
      </c>
      <c r="Q785" s="1">
        <v>0.67</v>
      </c>
      <c r="R785" s="1">
        <v>0.69</v>
      </c>
      <c r="S785" s="1">
        <v>7.0000000000000007E-2</v>
      </c>
      <c r="T785" s="1">
        <v>79.209998999999996</v>
      </c>
      <c r="U785" s="1">
        <v>2.63</v>
      </c>
      <c r="V785" s="1">
        <v>0</v>
      </c>
      <c r="W785" s="1">
        <v>0</v>
      </c>
      <c r="X785" s="1">
        <v>35794.162523999999</v>
      </c>
      <c r="Y785" s="1">
        <v>80075587.918300003</v>
      </c>
      <c r="Z785" t="str">
        <f>VLOOKUP(G785,'Code Pro'!$A$2:$B$9,2,FALSE)</f>
        <v>จ.ปราจีนบุรี</v>
      </c>
      <c r="AA785" s="8">
        <f t="shared" si="109"/>
        <v>184173852.21208999</v>
      </c>
      <c r="AB785" s="8">
        <f t="shared" si="110"/>
        <v>48846108.630162999</v>
      </c>
      <c r="AC785" s="8">
        <f t="shared" si="111"/>
        <v>53650643.905261002</v>
      </c>
      <c r="AD785" s="8">
        <f t="shared" si="112"/>
        <v>55252155.663626999</v>
      </c>
      <c r="AE785" s="8">
        <f t="shared" si="113"/>
        <v>5605291.1542810006</v>
      </c>
      <c r="AF785" s="8">
        <f t="shared" si="114"/>
        <v>6342787238.9329548</v>
      </c>
      <c r="AG785" s="8">
        <f t="shared" si="115"/>
        <v>210598796.22512901</v>
      </c>
      <c r="AH785" s="8">
        <f t="shared" si="116"/>
        <v>0</v>
      </c>
      <c r="AI785" s="8">
        <f t="shared" si="117"/>
        <v>0</v>
      </c>
    </row>
    <row r="786" spans="1:35" x14ac:dyDescent="0.55000000000000004">
      <c r="A786" s="1">
        <v>784</v>
      </c>
      <c r="B786" s="1" t="s">
        <v>20</v>
      </c>
      <c r="C786" s="1">
        <v>53</v>
      </c>
      <c r="D786" s="1">
        <v>7</v>
      </c>
      <c r="E786" s="1" t="s">
        <v>123</v>
      </c>
      <c r="F786" s="1" t="s">
        <v>124</v>
      </c>
      <c r="G786" s="1">
        <v>25</v>
      </c>
      <c r="H786" s="1">
        <v>2</v>
      </c>
      <c r="I786" s="1">
        <v>25070000</v>
      </c>
      <c r="J786" s="1">
        <v>922</v>
      </c>
      <c r="K786" s="1">
        <v>0</v>
      </c>
      <c r="L786" s="1">
        <v>15066</v>
      </c>
      <c r="M786" s="1">
        <v>14.253532</v>
      </c>
      <c r="N786" s="1">
        <v>101.52182999999999</v>
      </c>
      <c r="O786" s="1">
        <v>0.17</v>
      </c>
      <c r="P786" s="1">
        <v>0.93</v>
      </c>
      <c r="Q786" s="1">
        <v>1.67</v>
      </c>
      <c r="R786" s="1">
        <v>0.92</v>
      </c>
      <c r="S786" s="1">
        <v>0.36</v>
      </c>
      <c r="T786" s="1">
        <v>93.400002000000001</v>
      </c>
      <c r="U786" s="1">
        <v>16.280000999999999</v>
      </c>
      <c r="V786" s="1">
        <v>0</v>
      </c>
      <c r="W786" s="1">
        <v>0</v>
      </c>
      <c r="X786" s="1">
        <v>36277.126831000001</v>
      </c>
      <c r="Y786" s="1">
        <v>73571948.189600006</v>
      </c>
      <c r="Z786" t="str">
        <f>VLOOKUP(G786,'Code Pro'!$A$2:$B$9,2,FALSE)</f>
        <v>จ.ปราจีนบุรี</v>
      </c>
      <c r="AA786" s="8">
        <f t="shared" si="109"/>
        <v>12507231.192232002</v>
      </c>
      <c r="AB786" s="8">
        <f t="shared" si="110"/>
        <v>68421911.816328004</v>
      </c>
      <c r="AC786" s="8">
        <f t="shared" si="111"/>
        <v>122865153.476632</v>
      </c>
      <c r="AD786" s="8">
        <f t="shared" si="112"/>
        <v>67686192.334432006</v>
      </c>
      <c r="AE786" s="8">
        <f t="shared" si="113"/>
        <v>26485901.348255999</v>
      </c>
      <c r="AF786" s="8">
        <f t="shared" si="114"/>
        <v>6871620108.052537</v>
      </c>
      <c r="AG786" s="8">
        <f t="shared" si="115"/>
        <v>1197751390.0986362</v>
      </c>
      <c r="AH786" s="8">
        <f t="shared" si="116"/>
        <v>0</v>
      </c>
      <c r="AI786" s="8">
        <f t="shared" si="117"/>
        <v>0</v>
      </c>
    </row>
    <row r="787" spans="1:35" x14ac:dyDescent="0.55000000000000004">
      <c r="A787" s="1">
        <v>785</v>
      </c>
      <c r="B787" s="1" t="s">
        <v>20</v>
      </c>
      <c r="C787" s="1">
        <v>53</v>
      </c>
      <c r="D787" s="1">
        <v>7</v>
      </c>
      <c r="E787" s="1" t="s">
        <v>123</v>
      </c>
      <c r="F787" s="1" t="s">
        <v>124</v>
      </c>
      <c r="G787" s="1">
        <v>25</v>
      </c>
      <c r="H787" s="1">
        <v>2</v>
      </c>
      <c r="I787" s="1">
        <v>25070000</v>
      </c>
      <c r="J787" s="1">
        <v>923</v>
      </c>
      <c r="K787" s="1">
        <v>0</v>
      </c>
      <c r="L787" s="1">
        <v>14947</v>
      </c>
      <c r="M787" s="1">
        <v>14.172943</v>
      </c>
      <c r="N787" s="1">
        <v>101.60496500000001</v>
      </c>
      <c r="O787" s="1">
        <v>0.84</v>
      </c>
      <c r="P787" s="1">
        <v>0.09</v>
      </c>
      <c r="Q787" s="1">
        <v>0.61</v>
      </c>
      <c r="R787" s="1">
        <v>1.06</v>
      </c>
      <c r="S787" s="1">
        <v>5.44</v>
      </c>
      <c r="T787" s="1">
        <v>38.549999</v>
      </c>
      <c r="U787" s="1">
        <v>8.66</v>
      </c>
      <c r="V787" s="1">
        <v>2.02</v>
      </c>
      <c r="W787" s="1">
        <v>0</v>
      </c>
      <c r="X787" s="1">
        <v>36689.149775999998</v>
      </c>
      <c r="Y787" s="1">
        <v>77476529.176200002</v>
      </c>
      <c r="Z787" t="str">
        <f>VLOOKUP(G787,'Code Pro'!$A$2:$B$9,2,FALSE)</f>
        <v>จ.ปราจีนบุรี</v>
      </c>
      <c r="AA787" s="8">
        <f t="shared" si="109"/>
        <v>65080284.508008003</v>
      </c>
      <c r="AB787" s="8">
        <f t="shared" si="110"/>
        <v>6972887.6258579995</v>
      </c>
      <c r="AC787" s="8">
        <f t="shared" si="111"/>
        <v>47260682.797481999</v>
      </c>
      <c r="AD787" s="8">
        <f t="shared" si="112"/>
        <v>82125120.926772013</v>
      </c>
      <c r="AE787" s="8">
        <f t="shared" si="113"/>
        <v>421472318.71852803</v>
      </c>
      <c r="AF787" s="8">
        <f t="shared" si="114"/>
        <v>2986720122.2659807</v>
      </c>
      <c r="AG787" s="8">
        <f t="shared" si="115"/>
        <v>670946742.665892</v>
      </c>
      <c r="AH787" s="8">
        <f t="shared" si="116"/>
        <v>156502588.93592399</v>
      </c>
      <c r="AI787" s="8">
        <f t="shared" si="117"/>
        <v>0</v>
      </c>
    </row>
    <row r="788" spans="1:35" x14ac:dyDescent="0.55000000000000004">
      <c r="A788" s="1">
        <v>786</v>
      </c>
      <c r="B788" s="1" t="s">
        <v>20</v>
      </c>
      <c r="C788" s="1">
        <v>53</v>
      </c>
      <c r="D788" s="1">
        <v>7</v>
      </c>
      <c r="E788" s="1" t="s">
        <v>123</v>
      </c>
      <c r="F788" s="1" t="s">
        <v>124</v>
      </c>
      <c r="G788" s="1">
        <v>25</v>
      </c>
      <c r="H788" s="1">
        <v>2</v>
      </c>
      <c r="I788" s="1">
        <v>25070000</v>
      </c>
      <c r="J788" s="1">
        <v>924</v>
      </c>
      <c r="K788" s="1">
        <v>0</v>
      </c>
      <c r="L788" s="1">
        <v>14826</v>
      </c>
      <c r="M788" s="1">
        <v>14.092331</v>
      </c>
      <c r="N788" s="1">
        <v>101.52182999999999</v>
      </c>
      <c r="O788" s="1">
        <v>1</v>
      </c>
      <c r="P788" s="1">
        <v>0.18</v>
      </c>
      <c r="Q788" s="1">
        <v>0.06</v>
      </c>
      <c r="R788" s="1">
        <v>1.1399999999999999</v>
      </c>
      <c r="S788" s="1">
        <v>13.44</v>
      </c>
      <c r="T788" s="1">
        <v>4.99</v>
      </c>
      <c r="U788" s="1">
        <v>15.33</v>
      </c>
      <c r="V788" s="1">
        <v>0</v>
      </c>
      <c r="W788" s="1">
        <v>0</v>
      </c>
      <c r="X788" s="1">
        <v>40440.529635999999</v>
      </c>
      <c r="Y788" s="1">
        <v>72772593.976300001</v>
      </c>
      <c r="Z788" t="str">
        <f>VLOOKUP(G788,'Code Pro'!$A$2:$B$9,2,FALSE)</f>
        <v>จ.ปราจีนบุรี</v>
      </c>
      <c r="AA788" s="8">
        <f t="shared" si="109"/>
        <v>72772593.976300001</v>
      </c>
      <c r="AB788" s="8">
        <f t="shared" si="110"/>
        <v>13099066.915734001</v>
      </c>
      <c r="AC788" s="8">
        <f t="shared" si="111"/>
        <v>4366355.6385779995</v>
      </c>
      <c r="AD788" s="8">
        <f t="shared" si="112"/>
        <v>82960757.132982001</v>
      </c>
      <c r="AE788" s="8">
        <f t="shared" si="113"/>
        <v>978063663.04147196</v>
      </c>
      <c r="AF788" s="8">
        <f t="shared" si="114"/>
        <v>363135243.941737</v>
      </c>
      <c r="AG788" s="8">
        <f t="shared" si="115"/>
        <v>1115603865.6566789</v>
      </c>
      <c r="AH788" s="8">
        <f t="shared" si="116"/>
        <v>0</v>
      </c>
      <c r="AI788" s="8">
        <f t="shared" si="117"/>
        <v>0</v>
      </c>
    </row>
    <row r="789" spans="1:35" x14ac:dyDescent="0.55000000000000004">
      <c r="A789" s="1">
        <v>787</v>
      </c>
      <c r="B789" s="1" t="s">
        <v>20</v>
      </c>
      <c r="C789" s="1">
        <v>53</v>
      </c>
      <c r="D789" s="1">
        <v>7</v>
      </c>
      <c r="E789" s="1" t="s">
        <v>123</v>
      </c>
      <c r="F789" s="1" t="s">
        <v>124</v>
      </c>
      <c r="G789" s="1">
        <v>25</v>
      </c>
      <c r="H789" s="1">
        <v>2</v>
      </c>
      <c r="I789" s="1">
        <v>25070000</v>
      </c>
      <c r="J789" s="1">
        <v>927</v>
      </c>
      <c r="K789" s="1">
        <v>0</v>
      </c>
      <c r="L789" s="1">
        <v>14828</v>
      </c>
      <c r="M789" s="1">
        <v>14.092331</v>
      </c>
      <c r="N789" s="1">
        <v>101.68810000000001</v>
      </c>
      <c r="O789" s="1">
        <v>0.02</v>
      </c>
      <c r="P789" s="1">
        <v>0.25</v>
      </c>
      <c r="Q789" s="1">
        <v>0.08</v>
      </c>
      <c r="R789" s="1">
        <v>0.51</v>
      </c>
      <c r="S789" s="1">
        <v>4.7699999999999996</v>
      </c>
      <c r="T789" s="1">
        <v>10.1</v>
      </c>
      <c r="U789" s="1">
        <v>2.5099999999999998</v>
      </c>
      <c r="V789" s="1">
        <v>0</v>
      </c>
      <c r="W789" s="1">
        <v>0</v>
      </c>
      <c r="X789" s="1">
        <v>9823.5331650000007</v>
      </c>
      <c r="Y789" s="1">
        <v>3113403.3147700001</v>
      </c>
      <c r="Z789" t="str">
        <f>VLOOKUP(G789,'Code Pro'!$A$2:$B$9,2,FALSE)</f>
        <v>จ.ปราจีนบุรี</v>
      </c>
      <c r="AA789" s="8">
        <f t="shared" si="109"/>
        <v>62268.0662954</v>
      </c>
      <c r="AB789" s="8">
        <f t="shared" si="110"/>
        <v>778350.82869250001</v>
      </c>
      <c r="AC789" s="8">
        <f t="shared" si="111"/>
        <v>249072.2651816</v>
      </c>
      <c r="AD789" s="8">
        <f t="shared" si="112"/>
        <v>1587835.6905327002</v>
      </c>
      <c r="AE789" s="8">
        <f t="shared" si="113"/>
        <v>14850933.811452899</v>
      </c>
      <c r="AF789" s="8">
        <f t="shared" si="114"/>
        <v>31445373.479176998</v>
      </c>
      <c r="AG789" s="8">
        <f t="shared" si="115"/>
        <v>7814642.3200726993</v>
      </c>
      <c r="AH789" s="8">
        <f t="shared" si="116"/>
        <v>0</v>
      </c>
      <c r="AI789" s="8">
        <f t="shared" si="117"/>
        <v>0</v>
      </c>
    </row>
    <row r="790" spans="1:35" x14ac:dyDescent="0.55000000000000004">
      <c r="A790" s="1">
        <v>788</v>
      </c>
      <c r="B790" s="1" t="s">
        <v>20</v>
      </c>
      <c r="C790" s="1">
        <v>53</v>
      </c>
      <c r="D790" s="1">
        <v>7</v>
      </c>
      <c r="E790" s="1" t="s">
        <v>123</v>
      </c>
      <c r="F790" s="1" t="s">
        <v>124</v>
      </c>
      <c r="G790" s="1">
        <v>25</v>
      </c>
      <c r="H790" s="1">
        <v>2</v>
      </c>
      <c r="I790" s="1">
        <v>25070000</v>
      </c>
      <c r="J790" s="1">
        <v>928</v>
      </c>
      <c r="K790" s="1">
        <v>0</v>
      </c>
      <c r="L790" s="1">
        <v>14948</v>
      </c>
      <c r="M790" s="1">
        <v>14.172943</v>
      </c>
      <c r="N790" s="1">
        <v>101.68810000000001</v>
      </c>
      <c r="O790" s="1">
        <v>0.24</v>
      </c>
      <c r="P790" s="1">
        <v>0.05</v>
      </c>
      <c r="Q790" s="1">
        <v>0.32</v>
      </c>
      <c r="R790" s="1">
        <v>0.83</v>
      </c>
      <c r="S790" s="1">
        <v>3.79</v>
      </c>
      <c r="T790" s="1">
        <v>93.720000999999996</v>
      </c>
      <c r="U790" s="1">
        <v>0.5</v>
      </c>
      <c r="V790" s="1">
        <v>0</v>
      </c>
      <c r="W790" s="1">
        <v>0</v>
      </c>
      <c r="X790" s="1">
        <v>13724.129824</v>
      </c>
      <c r="Y790" s="1">
        <v>7573753.0683500003</v>
      </c>
      <c r="Z790" t="str">
        <f>VLOOKUP(G790,'Code Pro'!$A$2:$B$9,2,FALSE)</f>
        <v>จ.ปราจีนบุรี</v>
      </c>
      <c r="AA790" s="8">
        <f t="shared" si="109"/>
        <v>1817700.7364040001</v>
      </c>
      <c r="AB790" s="8">
        <f t="shared" si="110"/>
        <v>378687.65341750003</v>
      </c>
      <c r="AC790" s="8">
        <f t="shared" si="111"/>
        <v>2423600.9818720003</v>
      </c>
      <c r="AD790" s="8">
        <f t="shared" si="112"/>
        <v>6286215.0467304997</v>
      </c>
      <c r="AE790" s="8">
        <f t="shared" si="113"/>
        <v>28704524.1290465</v>
      </c>
      <c r="AF790" s="8">
        <f t="shared" si="114"/>
        <v>709812145.13951504</v>
      </c>
      <c r="AG790" s="8">
        <f t="shared" si="115"/>
        <v>3786876.5341750002</v>
      </c>
      <c r="AH790" s="8">
        <f t="shared" si="116"/>
        <v>0</v>
      </c>
      <c r="AI790" s="8">
        <f t="shared" si="117"/>
        <v>0</v>
      </c>
    </row>
    <row r="791" spans="1:35" x14ac:dyDescent="0.55000000000000004">
      <c r="A791" s="1">
        <v>789</v>
      </c>
      <c r="B791" s="1" t="s">
        <v>20</v>
      </c>
      <c r="C791" s="1">
        <v>53</v>
      </c>
      <c r="D791" s="1">
        <v>7</v>
      </c>
      <c r="E791" s="1" t="s">
        <v>123</v>
      </c>
      <c r="F791" s="1" t="s">
        <v>124</v>
      </c>
      <c r="G791" s="1">
        <v>25</v>
      </c>
      <c r="H791" s="1">
        <v>2</v>
      </c>
      <c r="I791" s="1">
        <v>25070000</v>
      </c>
      <c r="J791" s="1">
        <v>929</v>
      </c>
      <c r="K791" s="1">
        <v>0</v>
      </c>
      <c r="L791" s="1">
        <v>15068</v>
      </c>
      <c r="M791" s="1">
        <v>14.253532</v>
      </c>
      <c r="N791" s="1">
        <v>101.68810000000001</v>
      </c>
      <c r="O791" s="1">
        <v>7.45</v>
      </c>
      <c r="P791" s="1">
        <v>0.06</v>
      </c>
      <c r="Q791" s="1">
        <v>7.0000000000000007E-2</v>
      </c>
      <c r="R791" s="1">
        <v>0.31</v>
      </c>
      <c r="S791" s="1">
        <v>0.02</v>
      </c>
      <c r="T791" s="1">
        <v>21.99</v>
      </c>
      <c r="U791" s="1">
        <v>2.75</v>
      </c>
      <c r="V791" s="1">
        <v>0</v>
      </c>
      <c r="W791" s="1">
        <v>0</v>
      </c>
      <c r="X791" s="1">
        <v>25622.753854999999</v>
      </c>
      <c r="Y791" s="1">
        <v>24428383.8499</v>
      </c>
      <c r="Z791" t="str">
        <f>VLOOKUP(G791,'Code Pro'!$A$2:$B$9,2,FALSE)</f>
        <v>จ.ปราจีนบุรี</v>
      </c>
      <c r="AA791" s="8">
        <f t="shared" si="109"/>
        <v>181991459.68175501</v>
      </c>
      <c r="AB791" s="8">
        <f t="shared" si="110"/>
        <v>1465703.0309939999</v>
      </c>
      <c r="AC791" s="8">
        <f t="shared" si="111"/>
        <v>1709986.8694930002</v>
      </c>
      <c r="AD791" s="8">
        <f t="shared" si="112"/>
        <v>7572798.9934689999</v>
      </c>
      <c r="AE791" s="8">
        <f t="shared" si="113"/>
        <v>488567.67699800001</v>
      </c>
      <c r="AF791" s="8">
        <f t="shared" si="114"/>
        <v>537180160.85930097</v>
      </c>
      <c r="AG791" s="8">
        <f t="shared" si="115"/>
        <v>67178055.587225005</v>
      </c>
      <c r="AH791" s="8">
        <f t="shared" si="116"/>
        <v>0</v>
      </c>
      <c r="AI791" s="8">
        <f t="shared" si="117"/>
        <v>0</v>
      </c>
    </row>
    <row r="792" spans="1:35" x14ac:dyDescent="0.55000000000000004">
      <c r="A792" s="1">
        <v>790</v>
      </c>
      <c r="B792" s="1" t="s">
        <v>20</v>
      </c>
      <c r="C792" s="1">
        <v>53</v>
      </c>
      <c r="D792" s="1">
        <v>7</v>
      </c>
      <c r="E792" s="1" t="s">
        <v>123</v>
      </c>
      <c r="F792" s="1" t="s">
        <v>124</v>
      </c>
      <c r="G792" s="1">
        <v>25</v>
      </c>
      <c r="H792" s="1">
        <v>2</v>
      </c>
      <c r="I792" s="1">
        <v>25070000</v>
      </c>
      <c r="J792" s="1">
        <v>942</v>
      </c>
      <c r="K792" s="1">
        <v>0</v>
      </c>
      <c r="L792" s="1">
        <v>15185</v>
      </c>
      <c r="M792" s="1">
        <v>14.334099</v>
      </c>
      <c r="N792" s="1">
        <v>101.4387</v>
      </c>
      <c r="O792" s="1">
        <v>4.93</v>
      </c>
      <c r="P792" s="1">
        <v>4.78</v>
      </c>
      <c r="Q792" s="1">
        <v>1.19</v>
      </c>
      <c r="R792" s="1">
        <v>0.76</v>
      </c>
      <c r="S792" s="1">
        <v>7.0000000000000007E-2</v>
      </c>
      <c r="T792" s="1">
        <v>69.760002</v>
      </c>
      <c r="U792" s="1">
        <v>12.2</v>
      </c>
      <c r="V792" s="1">
        <v>0</v>
      </c>
      <c r="W792" s="1">
        <v>0</v>
      </c>
      <c r="X792" s="1">
        <v>7437.536153</v>
      </c>
      <c r="Y792" s="1">
        <v>1641209.0338999999</v>
      </c>
      <c r="Z792" t="str">
        <f>VLOOKUP(G792,'Code Pro'!$A$2:$B$9,2,FALSE)</f>
        <v>จ.ปราจีนบุรี</v>
      </c>
      <c r="AA792" s="8">
        <f t="shared" si="109"/>
        <v>8091160.5371269993</v>
      </c>
      <c r="AB792" s="8">
        <f t="shared" si="110"/>
        <v>7844979.1820419999</v>
      </c>
      <c r="AC792" s="8">
        <f t="shared" si="111"/>
        <v>1953038.7503409998</v>
      </c>
      <c r="AD792" s="8">
        <f t="shared" si="112"/>
        <v>1247318.865764</v>
      </c>
      <c r="AE792" s="8">
        <f t="shared" si="113"/>
        <v>114884.632373</v>
      </c>
      <c r="AF792" s="8">
        <f t="shared" si="114"/>
        <v>114490745.48728207</v>
      </c>
      <c r="AG792" s="8">
        <f t="shared" si="115"/>
        <v>20022750.213579997</v>
      </c>
      <c r="AH792" s="8">
        <f t="shared" si="116"/>
        <v>0</v>
      </c>
      <c r="AI792" s="8">
        <f t="shared" si="117"/>
        <v>0</v>
      </c>
    </row>
    <row r="793" spans="1:35" x14ac:dyDescent="0.55000000000000004">
      <c r="A793" s="1">
        <v>791</v>
      </c>
      <c r="B793" s="1" t="s">
        <v>20</v>
      </c>
      <c r="C793" s="1">
        <v>53</v>
      </c>
      <c r="D793" s="1">
        <v>7</v>
      </c>
      <c r="E793" s="1" t="s">
        <v>123</v>
      </c>
      <c r="F793" s="1" t="s">
        <v>124</v>
      </c>
      <c r="G793" s="1">
        <v>25</v>
      </c>
      <c r="H793" s="1">
        <v>2</v>
      </c>
      <c r="I793" s="1">
        <v>25070000</v>
      </c>
      <c r="J793" s="1">
        <v>943</v>
      </c>
      <c r="K793" s="1">
        <v>0</v>
      </c>
      <c r="L793" s="1">
        <v>15305</v>
      </c>
      <c r="M793" s="1">
        <v>14.414635000000001</v>
      </c>
      <c r="N793" s="1">
        <v>101.4387</v>
      </c>
      <c r="O793" s="1">
        <v>61.259998000000003</v>
      </c>
      <c r="P793" s="1">
        <v>16.639999</v>
      </c>
      <c r="Q793" s="1">
        <v>0.26</v>
      </c>
      <c r="R793" s="1">
        <v>0.11</v>
      </c>
      <c r="S793" s="1">
        <v>0.98</v>
      </c>
      <c r="T793" s="1">
        <v>10.87</v>
      </c>
      <c r="U793" s="1">
        <v>14.23</v>
      </c>
      <c r="V793" s="1">
        <v>0</v>
      </c>
      <c r="W793" s="1">
        <v>0</v>
      </c>
      <c r="X793" s="1">
        <v>27102.680538000001</v>
      </c>
      <c r="Y793" s="1">
        <v>36916655.917400002</v>
      </c>
      <c r="Z793" t="str">
        <f>VLOOKUP(G793,'Code Pro'!$A$2:$B$9,2,FALSE)</f>
        <v>จ.ปราจีนบุรี</v>
      </c>
      <c r="AA793" s="8">
        <f t="shared" si="109"/>
        <v>2261514267.6666126</v>
      </c>
      <c r="AB793" s="8">
        <f t="shared" si="110"/>
        <v>614293117.5488801</v>
      </c>
      <c r="AC793" s="8">
        <f t="shared" si="111"/>
        <v>9598330.5385240018</v>
      </c>
      <c r="AD793" s="8">
        <f t="shared" si="112"/>
        <v>4060832.1509140003</v>
      </c>
      <c r="AE793" s="8">
        <f t="shared" si="113"/>
        <v>36178322.799052</v>
      </c>
      <c r="AF793" s="8">
        <f t="shared" si="114"/>
        <v>401284049.82213801</v>
      </c>
      <c r="AG793" s="8">
        <f t="shared" si="115"/>
        <v>525324013.70460206</v>
      </c>
      <c r="AH793" s="8">
        <f t="shared" si="116"/>
        <v>0</v>
      </c>
      <c r="AI793" s="8">
        <f t="shared" si="117"/>
        <v>0</v>
      </c>
    </row>
    <row r="794" spans="1:35" x14ac:dyDescent="0.55000000000000004">
      <c r="A794" s="1">
        <v>792</v>
      </c>
      <c r="B794" s="1" t="s">
        <v>20</v>
      </c>
      <c r="C794" s="1">
        <v>53</v>
      </c>
      <c r="D794" s="1">
        <v>7</v>
      </c>
      <c r="E794" s="1" t="s">
        <v>123</v>
      </c>
      <c r="F794" s="1" t="s">
        <v>124</v>
      </c>
      <c r="G794" s="1">
        <v>25</v>
      </c>
      <c r="H794" s="1">
        <v>2</v>
      </c>
      <c r="I794" s="1">
        <v>25070000</v>
      </c>
      <c r="J794" s="1">
        <v>944</v>
      </c>
      <c r="K794" s="1">
        <v>0</v>
      </c>
      <c r="L794" s="1">
        <v>15186</v>
      </c>
      <c r="M794" s="1">
        <v>14.334099</v>
      </c>
      <c r="N794" s="1">
        <v>101.52182999999999</v>
      </c>
      <c r="O794" s="1">
        <v>23.9</v>
      </c>
      <c r="P794" s="1">
        <v>9.25</v>
      </c>
      <c r="Q794" s="1">
        <v>0.52</v>
      </c>
      <c r="R794" s="1">
        <v>0.91</v>
      </c>
      <c r="S794" s="1">
        <v>0.02</v>
      </c>
      <c r="T794" s="1">
        <v>15.28</v>
      </c>
      <c r="U794" s="1">
        <v>7.74</v>
      </c>
      <c r="V794" s="1">
        <v>0</v>
      </c>
      <c r="W794" s="1">
        <v>0</v>
      </c>
      <c r="X794" s="1">
        <v>35392.815545999998</v>
      </c>
      <c r="Y794" s="1">
        <v>69673614.950599998</v>
      </c>
      <c r="Z794" t="str">
        <f>VLOOKUP(G794,'Code Pro'!$A$2:$B$9,2,FALSE)</f>
        <v>จ.ปราจีนบุรี</v>
      </c>
      <c r="AA794" s="8">
        <f t="shared" si="109"/>
        <v>1665199397.3193398</v>
      </c>
      <c r="AB794" s="8">
        <f t="shared" si="110"/>
        <v>644480938.29304993</v>
      </c>
      <c r="AC794" s="8">
        <f t="shared" si="111"/>
        <v>36230279.774311997</v>
      </c>
      <c r="AD794" s="8">
        <f t="shared" si="112"/>
        <v>63402989.605046004</v>
      </c>
      <c r="AE794" s="8">
        <f t="shared" si="113"/>
        <v>1393472.299012</v>
      </c>
      <c r="AF794" s="8">
        <f t="shared" si="114"/>
        <v>1064612836.4451679</v>
      </c>
      <c r="AG794" s="8">
        <f t="shared" si="115"/>
        <v>539273779.71764398</v>
      </c>
      <c r="AH794" s="8">
        <f t="shared" si="116"/>
        <v>0</v>
      </c>
      <c r="AI794" s="8">
        <f t="shared" si="117"/>
        <v>0</v>
      </c>
    </row>
    <row r="795" spans="1:35" x14ac:dyDescent="0.55000000000000004">
      <c r="A795" s="1">
        <v>793</v>
      </c>
      <c r="B795" s="1" t="s">
        <v>20</v>
      </c>
      <c r="C795" s="1">
        <v>53</v>
      </c>
      <c r="D795" s="1">
        <v>7</v>
      </c>
      <c r="E795" s="1" t="s">
        <v>123</v>
      </c>
      <c r="F795" s="1" t="s">
        <v>124</v>
      </c>
      <c r="G795" s="1">
        <v>25</v>
      </c>
      <c r="H795" s="1">
        <v>2</v>
      </c>
      <c r="I795" s="1">
        <v>25070000</v>
      </c>
      <c r="J795" s="1">
        <v>948</v>
      </c>
      <c r="K795" s="1">
        <v>0</v>
      </c>
      <c r="L795" s="1">
        <v>15425</v>
      </c>
      <c r="M795" s="1">
        <v>14.495139999999999</v>
      </c>
      <c r="N795" s="1">
        <v>101.4387</v>
      </c>
      <c r="O795" s="1">
        <v>21.639999</v>
      </c>
      <c r="P795" s="1">
        <v>14.17</v>
      </c>
      <c r="Q795" s="1">
        <v>0</v>
      </c>
      <c r="R795" s="1">
        <v>0</v>
      </c>
      <c r="S795" s="1">
        <v>0.04</v>
      </c>
      <c r="T795" s="1">
        <v>7.66</v>
      </c>
      <c r="U795" s="1">
        <v>3.02</v>
      </c>
      <c r="V795" s="1">
        <v>0</v>
      </c>
      <c r="W795" s="1">
        <v>0</v>
      </c>
      <c r="X795" s="1">
        <v>6329.6912419999999</v>
      </c>
      <c r="Y795" s="1">
        <v>1037269.22295</v>
      </c>
      <c r="Z795" t="str">
        <f>VLOOKUP(G795,'Code Pro'!$A$2:$B$9,2,FALSE)</f>
        <v>จ.ปราจีนบุรี</v>
      </c>
      <c r="AA795" s="8">
        <f t="shared" si="109"/>
        <v>22446504.947368775</v>
      </c>
      <c r="AB795" s="8">
        <f t="shared" si="110"/>
        <v>14698104.8892015</v>
      </c>
      <c r="AC795" s="8">
        <f t="shared" si="111"/>
        <v>0</v>
      </c>
      <c r="AD795" s="8">
        <f t="shared" si="112"/>
        <v>0</v>
      </c>
      <c r="AE795" s="8">
        <f t="shared" si="113"/>
        <v>41490.768918000002</v>
      </c>
      <c r="AF795" s="8">
        <f t="shared" si="114"/>
        <v>7945482.2477970002</v>
      </c>
      <c r="AG795" s="8">
        <f t="shared" si="115"/>
        <v>3132553.0533090001</v>
      </c>
      <c r="AH795" s="8">
        <f t="shared" si="116"/>
        <v>0</v>
      </c>
      <c r="AI795" s="8">
        <f t="shared" si="117"/>
        <v>0</v>
      </c>
    </row>
    <row r="796" spans="1:35" x14ac:dyDescent="0.55000000000000004">
      <c r="A796" s="1">
        <v>794</v>
      </c>
      <c r="B796" s="1" t="s">
        <v>20</v>
      </c>
      <c r="C796" s="1">
        <v>53</v>
      </c>
      <c r="D796" s="1">
        <v>7</v>
      </c>
      <c r="E796" s="1" t="s">
        <v>123</v>
      </c>
      <c r="F796" s="1" t="s">
        <v>124</v>
      </c>
      <c r="G796" s="1">
        <v>25</v>
      </c>
      <c r="H796" s="1">
        <v>2</v>
      </c>
      <c r="I796" s="1">
        <v>25070000</v>
      </c>
      <c r="J796" s="1">
        <v>949</v>
      </c>
      <c r="K796" s="1">
        <v>0</v>
      </c>
      <c r="L796" s="1">
        <v>15306</v>
      </c>
      <c r="M796" s="1">
        <v>14.414635000000001</v>
      </c>
      <c r="N796" s="1">
        <v>101.52182999999999</v>
      </c>
      <c r="O796" s="1">
        <v>52.16</v>
      </c>
      <c r="P796" s="1">
        <v>14.35</v>
      </c>
      <c r="Q796" s="1">
        <v>0.05</v>
      </c>
      <c r="R796" s="1">
        <v>0.03</v>
      </c>
      <c r="S796" s="1">
        <v>1.97</v>
      </c>
      <c r="T796" s="1">
        <v>12.46</v>
      </c>
      <c r="U796" s="1">
        <v>4.6500000000000004</v>
      </c>
      <c r="V796" s="1">
        <v>0</v>
      </c>
      <c r="W796" s="1">
        <v>0</v>
      </c>
      <c r="X796" s="1">
        <v>35664.640925</v>
      </c>
      <c r="Y796" s="1">
        <v>61862559.570500001</v>
      </c>
      <c r="Z796" t="str">
        <f>VLOOKUP(G796,'Code Pro'!$A$2:$B$9,2,FALSE)</f>
        <v>จ.ปราจีนบุรี</v>
      </c>
      <c r="AA796" s="8">
        <f t="shared" si="109"/>
        <v>3226751107.1972799</v>
      </c>
      <c r="AB796" s="8">
        <f t="shared" si="110"/>
        <v>887727729.83667505</v>
      </c>
      <c r="AC796" s="8">
        <f t="shared" si="111"/>
        <v>3093127.9785250002</v>
      </c>
      <c r="AD796" s="8">
        <f t="shared" si="112"/>
        <v>1855876.787115</v>
      </c>
      <c r="AE796" s="8">
        <f t="shared" si="113"/>
        <v>121869242.35388499</v>
      </c>
      <c r="AF796" s="8">
        <f t="shared" si="114"/>
        <v>770807492.24843001</v>
      </c>
      <c r="AG796" s="8">
        <f t="shared" si="115"/>
        <v>287660902.00282502</v>
      </c>
      <c r="AH796" s="8">
        <f t="shared" si="116"/>
        <v>0</v>
      </c>
      <c r="AI796" s="8">
        <f t="shared" si="117"/>
        <v>0</v>
      </c>
    </row>
    <row r="797" spans="1:35" x14ac:dyDescent="0.55000000000000004">
      <c r="A797" s="1">
        <v>795</v>
      </c>
      <c r="B797" s="1" t="s">
        <v>20</v>
      </c>
      <c r="C797" s="1">
        <v>53</v>
      </c>
      <c r="D797" s="1">
        <v>7</v>
      </c>
      <c r="E797" s="1" t="s">
        <v>123</v>
      </c>
      <c r="F797" s="1" t="s">
        <v>124</v>
      </c>
      <c r="G797" s="1">
        <v>25</v>
      </c>
      <c r="H797" s="1">
        <v>2</v>
      </c>
      <c r="I797" s="1">
        <v>25070000</v>
      </c>
      <c r="J797" s="1">
        <v>953</v>
      </c>
      <c r="K797" s="1">
        <v>0</v>
      </c>
      <c r="L797" s="1">
        <v>15188</v>
      </c>
      <c r="M797" s="1">
        <v>14.334099</v>
      </c>
      <c r="N797" s="1">
        <v>101.68810000000001</v>
      </c>
      <c r="O797" s="1">
        <v>1.3</v>
      </c>
      <c r="P797" s="1">
        <v>0.06</v>
      </c>
      <c r="Q797" s="1">
        <v>0.08</v>
      </c>
      <c r="R797" s="1">
        <v>0.1</v>
      </c>
      <c r="S797" s="1">
        <v>0.84</v>
      </c>
      <c r="T797" s="1">
        <v>2.54</v>
      </c>
      <c r="U797" s="1">
        <v>1.67</v>
      </c>
      <c r="V797" s="1">
        <v>0</v>
      </c>
      <c r="W797" s="1">
        <v>0</v>
      </c>
      <c r="X797" s="1">
        <v>23450.206010999998</v>
      </c>
      <c r="Y797" s="1">
        <v>7890455.5822299998</v>
      </c>
      <c r="Z797" t="str">
        <f>VLOOKUP(G797,'Code Pro'!$A$2:$B$9,2,FALSE)</f>
        <v>จ.ปราจีนบุรี</v>
      </c>
      <c r="AA797" s="8">
        <f t="shared" si="109"/>
        <v>10257592.256898999</v>
      </c>
      <c r="AB797" s="8">
        <f t="shared" si="110"/>
        <v>473427.33493379998</v>
      </c>
      <c r="AC797" s="8">
        <f t="shared" si="111"/>
        <v>631236.44657839998</v>
      </c>
      <c r="AD797" s="8">
        <f t="shared" si="112"/>
        <v>789045.55822300003</v>
      </c>
      <c r="AE797" s="8">
        <f t="shared" si="113"/>
        <v>6627982.6890731994</v>
      </c>
      <c r="AF797" s="8">
        <f t="shared" si="114"/>
        <v>20041757.1788642</v>
      </c>
      <c r="AG797" s="8">
        <f t="shared" si="115"/>
        <v>13177060.822324099</v>
      </c>
      <c r="AH797" s="8">
        <f t="shared" si="116"/>
        <v>0</v>
      </c>
      <c r="AI797" s="8">
        <f t="shared" si="117"/>
        <v>0</v>
      </c>
    </row>
    <row r="798" spans="1:35" x14ac:dyDescent="0.55000000000000004">
      <c r="A798" s="1">
        <v>796</v>
      </c>
      <c r="B798" s="1" t="s">
        <v>20</v>
      </c>
      <c r="C798" s="1">
        <v>53</v>
      </c>
      <c r="D798" s="1">
        <v>7</v>
      </c>
      <c r="E798" s="1" t="s">
        <v>123</v>
      </c>
      <c r="F798" s="1" t="s">
        <v>124</v>
      </c>
      <c r="G798" s="1">
        <v>25</v>
      </c>
      <c r="H798" s="1">
        <v>2</v>
      </c>
      <c r="I798" s="1">
        <v>25070000</v>
      </c>
      <c r="J798" s="1">
        <v>954</v>
      </c>
      <c r="K798" s="1">
        <v>0</v>
      </c>
      <c r="L798" s="1">
        <v>15187</v>
      </c>
      <c r="M798" s="1">
        <v>14.334099</v>
      </c>
      <c r="N798" s="1">
        <v>101.60496500000001</v>
      </c>
      <c r="O798" s="1">
        <v>20.280000999999999</v>
      </c>
      <c r="P798" s="1">
        <v>1.41</v>
      </c>
      <c r="Q798" s="1">
        <v>0.53</v>
      </c>
      <c r="R798" s="1">
        <v>0.36</v>
      </c>
      <c r="S798" s="1">
        <v>0.05</v>
      </c>
      <c r="T798" s="1">
        <v>12.17</v>
      </c>
      <c r="U798" s="1">
        <v>2.35</v>
      </c>
      <c r="V798" s="1">
        <v>0</v>
      </c>
      <c r="W798" s="1">
        <v>0</v>
      </c>
      <c r="X798" s="1">
        <v>35620.962931000002</v>
      </c>
      <c r="Y798" s="1">
        <v>79071337.717500001</v>
      </c>
      <c r="Z798" t="str">
        <f>VLOOKUP(G798,'Code Pro'!$A$2:$B$9,2,FALSE)</f>
        <v>จ.ปราจีนบุรี</v>
      </c>
      <c r="AA798" s="8">
        <f t="shared" si="109"/>
        <v>1603566807.9822376</v>
      </c>
      <c r="AB798" s="8">
        <f t="shared" si="110"/>
        <v>111490586.181675</v>
      </c>
      <c r="AC798" s="8">
        <f t="shared" si="111"/>
        <v>41907808.990275003</v>
      </c>
      <c r="AD798" s="8">
        <f t="shared" si="112"/>
        <v>28465681.578299999</v>
      </c>
      <c r="AE798" s="8">
        <f t="shared" si="113"/>
        <v>3953566.8858750002</v>
      </c>
      <c r="AF798" s="8">
        <f t="shared" si="114"/>
        <v>962298180.02197504</v>
      </c>
      <c r="AG798" s="8">
        <f t="shared" si="115"/>
        <v>185817643.636125</v>
      </c>
      <c r="AH798" s="8">
        <f t="shared" si="116"/>
        <v>0</v>
      </c>
      <c r="AI798" s="8">
        <f t="shared" si="117"/>
        <v>0</v>
      </c>
    </row>
    <row r="799" spans="1:35" x14ac:dyDescent="0.55000000000000004">
      <c r="A799" s="1">
        <v>797</v>
      </c>
      <c r="B799" s="1" t="s">
        <v>20</v>
      </c>
      <c r="C799" s="1">
        <v>53</v>
      </c>
      <c r="D799" s="1">
        <v>7</v>
      </c>
      <c r="E799" s="1" t="s">
        <v>123</v>
      </c>
      <c r="F799" s="1" t="s">
        <v>124</v>
      </c>
      <c r="G799" s="1">
        <v>25</v>
      </c>
      <c r="H799" s="1">
        <v>2</v>
      </c>
      <c r="I799" s="1">
        <v>25070000</v>
      </c>
      <c r="J799" s="1">
        <v>956</v>
      </c>
      <c r="K799" s="1">
        <v>0</v>
      </c>
      <c r="L799" s="1">
        <v>15426</v>
      </c>
      <c r="M799" s="1">
        <v>14.495139999999999</v>
      </c>
      <c r="N799" s="1">
        <v>101.52182999999999</v>
      </c>
      <c r="O799" s="1">
        <v>66.410004000000001</v>
      </c>
      <c r="P799" s="1">
        <v>11.85</v>
      </c>
      <c r="Q799" s="1">
        <v>0</v>
      </c>
      <c r="R799" s="1">
        <v>0</v>
      </c>
      <c r="S799" s="1">
        <v>0.92</v>
      </c>
      <c r="T799" s="1">
        <v>10.19</v>
      </c>
      <c r="U799" s="1">
        <v>1.36</v>
      </c>
      <c r="V799" s="1">
        <v>0</v>
      </c>
      <c r="W799" s="1">
        <v>0</v>
      </c>
      <c r="X799" s="1">
        <v>3653.3940219999999</v>
      </c>
      <c r="Y799" s="1">
        <v>746684.81794900005</v>
      </c>
      <c r="Z799" t="str">
        <f>VLOOKUP(G799,'Code Pro'!$A$2:$B$9,2,FALSE)</f>
        <v>จ.ปราจีนบุรี</v>
      </c>
      <c r="AA799" s="8">
        <f t="shared" si="109"/>
        <v>49587341.746732369</v>
      </c>
      <c r="AB799" s="8">
        <f t="shared" si="110"/>
        <v>8848215.0926956497</v>
      </c>
      <c r="AC799" s="8">
        <f t="shared" si="111"/>
        <v>0</v>
      </c>
      <c r="AD799" s="8">
        <f t="shared" si="112"/>
        <v>0</v>
      </c>
      <c r="AE799" s="8">
        <f t="shared" si="113"/>
        <v>686950.03251308005</v>
      </c>
      <c r="AF799" s="8">
        <f t="shared" si="114"/>
        <v>7608718.2949003102</v>
      </c>
      <c r="AG799" s="8">
        <f t="shared" si="115"/>
        <v>1015491.3524106401</v>
      </c>
      <c r="AH799" s="8">
        <f t="shared" si="116"/>
        <v>0</v>
      </c>
      <c r="AI799" s="8">
        <f t="shared" si="117"/>
        <v>0</v>
      </c>
    </row>
    <row r="800" spans="1:35" x14ac:dyDescent="0.55000000000000004">
      <c r="A800" s="1">
        <v>798</v>
      </c>
      <c r="B800" s="1" t="s">
        <v>20</v>
      </c>
      <c r="C800" s="1">
        <v>53</v>
      </c>
      <c r="D800" s="1">
        <v>7</v>
      </c>
      <c r="E800" s="1" t="s">
        <v>123</v>
      </c>
      <c r="F800" s="1" t="s">
        <v>124</v>
      </c>
      <c r="G800" s="1">
        <v>25</v>
      </c>
      <c r="H800" s="1">
        <v>2</v>
      </c>
      <c r="I800" s="1">
        <v>25070000</v>
      </c>
      <c r="J800" s="1">
        <v>957</v>
      </c>
      <c r="K800" s="1">
        <v>0</v>
      </c>
      <c r="L800" s="1">
        <v>15307</v>
      </c>
      <c r="M800" s="1">
        <v>14.414635000000001</v>
      </c>
      <c r="N800" s="1">
        <v>101.60496500000001</v>
      </c>
      <c r="O800" s="1">
        <v>14.7</v>
      </c>
      <c r="P800" s="1">
        <v>4.57</v>
      </c>
      <c r="Q800" s="1">
        <v>0.02</v>
      </c>
      <c r="R800" s="1">
        <v>7.0000000000000007E-2</v>
      </c>
      <c r="S800" s="1">
        <v>0.51</v>
      </c>
      <c r="T800" s="1">
        <v>36.060001</v>
      </c>
      <c r="U800" s="1">
        <v>7.94</v>
      </c>
      <c r="V800" s="1">
        <v>0</v>
      </c>
      <c r="W800" s="1">
        <v>0</v>
      </c>
      <c r="X800" s="1">
        <v>30939.750652999999</v>
      </c>
      <c r="Y800" s="1">
        <v>52058405.157300003</v>
      </c>
      <c r="Z800" t="str">
        <f>VLOOKUP(G800,'Code Pro'!$A$2:$B$9,2,FALSE)</f>
        <v>จ.ปราจีนบุรี</v>
      </c>
      <c r="AA800" s="8">
        <f t="shared" si="109"/>
        <v>765258555.81230998</v>
      </c>
      <c r="AB800" s="8">
        <f t="shared" si="110"/>
        <v>237906911.56886104</v>
      </c>
      <c r="AC800" s="8">
        <f t="shared" si="111"/>
        <v>1041168.1031460001</v>
      </c>
      <c r="AD800" s="8">
        <f t="shared" si="112"/>
        <v>3644088.3610110004</v>
      </c>
      <c r="AE800" s="8">
        <f t="shared" si="113"/>
        <v>26549786.630223002</v>
      </c>
      <c r="AF800" s="8">
        <f t="shared" si="114"/>
        <v>1877226142.0306432</v>
      </c>
      <c r="AG800" s="8">
        <f t="shared" si="115"/>
        <v>413343736.94896203</v>
      </c>
      <c r="AH800" s="8">
        <f t="shared" si="116"/>
        <v>0</v>
      </c>
      <c r="AI800" s="8">
        <f t="shared" si="117"/>
        <v>0</v>
      </c>
    </row>
    <row r="801" spans="1:35" x14ac:dyDescent="0.55000000000000004">
      <c r="A801" s="1">
        <v>799</v>
      </c>
      <c r="B801" s="1" t="s">
        <v>20</v>
      </c>
      <c r="C801" s="1">
        <v>53</v>
      </c>
      <c r="D801" s="1">
        <v>7</v>
      </c>
      <c r="E801" s="1" t="s">
        <v>123</v>
      </c>
      <c r="F801" s="1" t="s">
        <v>124</v>
      </c>
      <c r="G801" s="1">
        <v>25</v>
      </c>
      <c r="H801" s="1">
        <v>2</v>
      </c>
      <c r="I801" s="1">
        <v>25070000</v>
      </c>
      <c r="J801" s="1">
        <v>961</v>
      </c>
      <c r="K801" s="1">
        <v>0</v>
      </c>
      <c r="L801" s="1">
        <v>15308</v>
      </c>
      <c r="M801" s="1">
        <v>14.414635000000001</v>
      </c>
      <c r="N801" s="1">
        <v>101.68810000000001</v>
      </c>
      <c r="O801" s="1">
        <v>5.5</v>
      </c>
      <c r="P801" s="1">
        <v>0.15</v>
      </c>
      <c r="Q801" s="1">
        <v>0</v>
      </c>
      <c r="R801" s="1">
        <v>0</v>
      </c>
      <c r="S801" s="1">
        <v>2.14</v>
      </c>
      <c r="T801" s="1">
        <v>6.32</v>
      </c>
      <c r="U801" s="1">
        <v>6.64</v>
      </c>
      <c r="V801" s="1">
        <v>0</v>
      </c>
      <c r="W801" s="1">
        <v>0</v>
      </c>
      <c r="X801" s="1">
        <v>5771.8920609999996</v>
      </c>
      <c r="Y801" s="1">
        <v>455228.03057900001</v>
      </c>
      <c r="Z801" t="str">
        <f>VLOOKUP(G801,'Code Pro'!$A$2:$B$9,2,FALSE)</f>
        <v>จ.ปราจีนบุรี</v>
      </c>
      <c r="AA801" s="8">
        <f t="shared" si="109"/>
        <v>2503754.1681845002</v>
      </c>
      <c r="AB801" s="8">
        <f t="shared" si="110"/>
        <v>68284.204586849999</v>
      </c>
      <c r="AC801" s="8">
        <f t="shared" si="111"/>
        <v>0</v>
      </c>
      <c r="AD801" s="8">
        <f t="shared" si="112"/>
        <v>0</v>
      </c>
      <c r="AE801" s="8">
        <f t="shared" si="113"/>
        <v>974187.98543906014</v>
      </c>
      <c r="AF801" s="8">
        <f t="shared" si="114"/>
        <v>2877041.1532592801</v>
      </c>
      <c r="AG801" s="8">
        <f t="shared" si="115"/>
        <v>3022714.1230445597</v>
      </c>
      <c r="AH801" s="8">
        <f t="shared" si="116"/>
        <v>0</v>
      </c>
      <c r="AI801" s="8">
        <f t="shared" si="117"/>
        <v>0</v>
      </c>
    </row>
    <row r="802" spans="1:35" x14ac:dyDescent="0.55000000000000004">
      <c r="A802" s="1">
        <v>800</v>
      </c>
      <c r="B802" s="1" t="s">
        <v>20</v>
      </c>
      <c r="C802" s="1">
        <v>54</v>
      </c>
      <c r="D802" s="1">
        <v>8</v>
      </c>
      <c r="E802" s="1" t="s">
        <v>125</v>
      </c>
      <c r="F802" s="1" t="s">
        <v>126</v>
      </c>
      <c r="G802" s="1">
        <v>25</v>
      </c>
      <c r="H802" s="1">
        <v>2</v>
      </c>
      <c r="I802" s="1">
        <v>25080000</v>
      </c>
      <c r="J802" s="1">
        <v>794</v>
      </c>
      <c r="K802" s="1">
        <v>0</v>
      </c>
      <c r="L802" s="1">
        <v>14465</v>
      </c>
      <c r="M802" s="1">
        <v>13.850304</v>
      </c>
      <c r="N802" s="1">
        <v>101.4387</v>
      </c>
      <c r="O802" s="1">
        <v>0.01</v>
      </c>
      <c r="P802" s="1">
        <v>12.42</v>
      </c>
      <c r="Q802" s="1">
        <v>13.19</v>
      </c>
      <c r="R802" s="1">
        <v>8.01</v>
      </c>
      <c r="S802" s="1">
        <v>2.57</v>
      </c>
      <c r="T802" s="1">
        <v>4.07</v>
      </c>
      <c r="U802" s="1">
        <v>20.399999999999999</v>
      </c>
      <c r="V802" s="1">
        <v>1.97</v>
      </c>
      <c r="W802" s="1">
        <v>0</v>
      </c>
      <c r="X802" s="1">
        <v>14960.878941999999</v>
      </c>
      <c r="Y802" s="1">
        <v>11501338.466399999</v>
      </c>
      <c r="Z802" t="str">
        <f>VLOOKUP(G802,'Code Pro'!$A$2:$B$9,2,FALSE)</f>
        <v>จ.ปราจีนบุรี</v>
      </c>
      <c r="AA802" s="8">
        <f t="shared" si="109"/>
        <v>115013.384664</v>
      </c>
      <c r="AB802" s="8">
        <f t="shared" si="110"/>
        <v>142846623.75268799</v>
      </c>
      <c r="AC802" s="8">
        <f t="shared" si="111"/>
        <v>151702654.37181598</v>
      </c>
      <c r="AD802" s="8">
        <f t="shared" si="112"/>
        <v>92125721.115863994</v>
      </c>
      <c r="AE802" s="8">
        <f t="shared" si="113"/>
        <v>29558439.858647995</v>
      </c>
      <c r="AF802" s="8">
        <f t="shared" si="114"/>
        <v>46810447.558247998</v>
      </c>
      <c r="AG802" s="8">
        <f t="shared" si="115"/>
        <v>234627304.71455997</v>
      </c>
      <c r="AH802" s="8">
        <f t="shared" si="116"/>
        <v>22657636.778807998</v>
      </c>
      <c r="AI802" s="8">
        <f t="shared" si="117"/>
        <v>0</v>
      </c>
    </row>
    <row r="803" spans="1:35" x14ac:dyDescent="0.55000000000000004">
      <c r="A803" s="1">
        <v>801</v>
      </c>
      <c r="B803" s="1" t="s">
        <v>20</v>
      </c>
      <c r="C803" s="1">
        <v>54</v>
      </c>
      <c r="D803" s="1">
        <v>8</v>
      </c>
      <c r="E803" s="1" t="s">
        <v>125</v>
      </c>
      <c r="F803" s="1" t="s">
        <v>126</v>
      </c>
      <c r="G803" s="1">
        <v>25</v>
      </c>
      <c r="H803" s="1">
        <v>2</v>
      </c>
      <c r="I803" s="1">
        <v>25080000</v>
      </c>
      <c r="J803" s="1">
        <v>807</v>
      </c>
      <c r="K803" s="1">
        <v>0</v>
      </c>
      <c r="L803" s="1">
        <v>14346</v>
      </c>
      <c r="M803" s="1">
        <v>13.769569000000001</v>
      </c>
      <c r="N803" s="1">
        <v>101.52182999999999</v>
      </c>
      <c r="O803" s="1">
        <v>1.84</v>
      </c>
      <c r="P803" s="1">
        <v>10.68</v>
      </c>
      <c r="Q803" s="1">
        <v>1.07</v>
      </c>
      <c r="R803" s="1">
        <v>10.210000000000001</v>
      </c>
      <c r="S803" s="1">
        <v>0.38</v>
      </c>
      <c r="T803" s="1">
        <v>2.95</v>
      </c>
      <c r="U803" s="1">
        <v>6.95</v>
      </c>
      <c r="V803" s="1">
        <v>2.4500000000000002</v>
      </c>
      <c r="W803" s="1">
        <v>0</v>
      </c>
      <c r="X803" s="1">
        <v>18746.826638999999</v>
      </c>
      <c r="Y803" s="1">
        <v>10312273.142899999</v>
      </c>
      <c r="Z803" t="str">
        <f>VLOOKUP(G803,'Code Pro'!$A$2:$B$9,2,FALSE)</f>
        <v>จ.ปราจีนบุรี</v>
      </c>
      <c r="AA803" s="8">
        <f t="shared" si="109"/>
        <v>18974582.582936</v>
      </c>
      <c r="AB803" s="8">
        <f t="shared" si="110"/>
        <v>110135077.166172</v>
      </c>
      <c r="AC803" s="8">
        <f t="shared" si="111"/>
        <v>11034132.262902999</v>
      </c>
      <c r="AD803" s="8">
        <f t="shared" si="112"/>
        <v>105288308.789009</v>
      </c>
      <c r="AE803" s="8">
        <f t="shared" si="113"/>
        <v>3918663.7943019997</v>
      </c>
      <c r="AF803" s="8">
        <f t="shared" si="114"/>
        <v>30421205.771554999</v>
      </c>
      <c r="AG803" s="8">
        <f t="shared" si="115"/>
        <v>71670298.343154997</v>
      </c>
      <c r="AH803" s="8">
        <f t="shared" si="116"/>
        <v>25265069.200105</v>
      </c>
      <c r="AI803" s="8">
        <f t="shared" si="117"/>
        <v>0</v>
      </c>
    </row>
    <row r="804" spans="1:35" x14ac:dyDescent="0.55000000000000004">
      <c r="A804" s="1">
        <v>802</v>
      </c>
      <c r="B804" s="1" t="s">
        <v>20</v>
      </c>
      <c r="C804" s="1">
        <v>54</v>
      </c>
      <c r="D804" s="1">
        <v>8</v>
      </c>
      <c r="E804" s="1" t="s">
        <v>125</v>
      </c>
      <c r="F804" s="1" t="s">
        <v>126</v>
      </c>
      <c r="G804" s="1">
        <v>25</v>
      </c>
      <c r="H804" s="1">
        <v>2</v>
      </c>
      <c r="I804" s="1">
        <v>25080000</v>
      </c>
      <c r="J804" s="1">
        <v>809</v>
      </c>
      <c r="K804" s="1">
        <v>0</v>
      </c>
      <c r="L804" s="1">
        <v>14466</v>
      </c>
      <c r="M804" s="1">
        <v>13.850304</v>
      </c>
      <c r="N804" s="1">
        <v>101.52182999999999</v>
      </c>
      <c r="O804" s="1">
        <v>0.02</v>
      </c>
      <c r="P804" s="1">
        <v>24.42</v>
      </c>
      <c r="Q804" s="1">
        <v>3.31</v>
      </c>
      <c r="R804" s="1">
        <v>2.98</v>
      </c>
      <c r="S804" s="1">
        <v>3.74</v>
      </c>
      <c r="T804" s="1">
        <v>0.8</v>
      </c>
      <c r="U804" s="1">
        <v>45.080002</v>
      </c>
      <c r="V804" s="1">
        <v>23.799999</v>
      </c>
      <c r="W804" s="1">
        <v>0</v>
      </c>
      <c r="X804" s="1">
        <v>33335.773596999999</v>
      </c>
      <c r="Y804" s="1">
        <v>67729411.090599999</v>
      </c>
      <c r="Z804" t="str">
        <f>VLOOKUP(G804,'Code Pro'!$A$2:$B$9,2,FALSE)</f>
        <v>จ.ปราจีนบุรี</v>
      </c>
      <c r="AA804" s="8">
        <f t="shared" si="109"/>
        <v>1354588.221812</v>
      </c>
      <c r="AB804" s="8">
        <f t="shared" si="110"/>
        <v>1653952218.8324521</v>
      </c>
      <c r="AC804" s="8">
        <f t="shared" si="111"/>
        <v>224184350.70988601</v>
      </c>
      <c r="AD804" s="8">
        <f t="shared" si="112"/>
        <v>201833645.049988</v>
      </c>
      <c r="AE804" s="8">
        <f t="shared" si="113"/>
        <v>253307997.47884402</v>
      </c>
      <c r="AF804" s="8">
        <f t="shared" si="114"/>
        <v>54183528.872480005</v>
      </c>
      <c r="AG804" s="8">
        <f t="shared" si="115"/>
        <v>3053241987.42307</v>
      </c>
      <c r="AH804" s="8">
        <f t="shared" si="116"/>
        <v>1611959916.2268689</v>
      </c>
      <c r="AI804" s="8">
        <f t="shared" si="117"/>
        <v>0</v>
      </c>
    </row>
    <row r="805" spans="1:35" x14ac:dyDescent="0.55000000000000004">
      <c r="A805" s="1">
        <v>803</v>
      </c>
      <c r="B805" s="1" t="s">
        <v>20</v>
      </c>
      <c r="C805" s="1">
        <v>54</v>
      </c>
      <c r="D805" s="1">
        <v>8</v>
      </c>
      <c r="E805" s="1" t="s">
        <v>125</v>
      </c>
      <c r="F805" s="1" t="s">
        <v>126</v>
      </c>
      <c r="G805" s="1">
        <v>25</v>
      </c>
      <c r="H805" s="1">
        <v>2</v>
      </c>
      <c r="I805" s="1">
        <v>25080000</v>
      </c>
      <c r="J805" s="1">
        <v>810</v>
      </c>
      <c r="K805" s="1">
        <v>0</v>
      </c>
      <c r="L805" s="1">
        <v>14347</v>
      </c>
      <c r="M805" s="1">
        <v>13.769569000000001</v>
      </c>
      <c r="N805" s="1">
        <v>101.60496500000001</v>
      </c>
      <c r="O805" s="1">
        <v>2.39</v>
      </c>
      <c r="P805" s="1">
        <v>0.17</v>
      </c>
      <c r="Q805" s="1">
        <v>0.6</v>
      </c>
      <c r="R805" s="1">
        <v>3.17</v>
      </c>
      <c r="S805" s="1">
        <v>0.81</v>
      </c>
      <c r="T805" s="1">
        <v>0.56000000000000005</v>
      </c>
      <c r="U805" s="1">
        <v>5.08</v>
      </c>
      <c r="V805" s="1">
        <v>1.77</v>
      </c>
      <c r="W805" s="1">
        <v>0</v>
      </c>
      <c r="X805" s="1">
        <v>31690.375389000001</v>
      </c>
      <c r="Y805" s="1">
        <v>62976961.110600002</v>
      </c>
      <c r="Z805" t="str">
        <f>VLOOKUP(G805,'Code Pro'!$A$2:$B$9,2,FALSE)</f>
        <v>จ.ปราจีนบุรี</v>
      </c>
      <c r="AA805" s="8">
        <f t="shared" si="109"/>
        <v>150514937.05433401</v>
      </c>
      <c r="AB805" s="8">
        <f t="shared" si="110"/>
        <v>10706083.388802001</v>
      </c>
      <c r="AC805" s="8">
        <f t="shared" si="111"/>
        <v>37786176.666359998</v>
      </c>
      <c r="AD805" s="8">
        <f t="shared" si="112"/>
        <v>199636966.72060201</v>
      </c>
      <c r="AE805" s="8">
        <f t="shared" si="113"/>
        <v>51011338.499586008</v>
      </c>
      <c r="AF805" s="8">
        <f t="shared" si="114"/>
        <v>35267098.221936002</v>
      </c>
      <c r="AG805" s="8">
        <f t="shared" si="115"/>
        <v>319922962.44184804</v>
      </c>
      <c r="AH805" s="8">
        <f t="shared" si="116"/>
        <v>111469221.16576201</v>
      </c>
      <c r="AI805" s="8">
        <f t="shared" si="117"/>
        <v>0</v>
      </c>
    </row>
    <row r="806" spans="1:35" x14ac:dyDescent="0.55000000000000004">
      <c r="A806" s="1">
        <v>804</v>
      </c>
      <c r="B806" s="1" t="s">
        <v>20</v>
      </c>
      <c r="C806" s="1">
        <v>54</v>
      </c>
      <c r="D806" s="1">
        <v>8</v>
      </c>
      <c r="E806" s="1" t="s">
        <v>125</v>
      </c>
      <c r="F806" s="1" t="s">
        <v>126</v>
      </c>
      <c r="G806" s="1">
        <v>25</v>
      </c>
      <c r="H806" s="1">
        <v>2</v>
      </c>
      <c r="I806" s="1">
        <v>25080000</v>
      </c>
      <c r="J806" s="1">
        <v>813</v>
      </c>
      <c r="K806" s="1">
        <v>0</v>
      </c>
      <c r="L806" s="1">
        <v>14348</v>
      </c>
      <c r="M806" s="1">
        <v>13.769569000000001</v>
      </c>
      <c r="N806" s="1">
        <v>101.68810000000001</v>
      </c>
      <c r="O806" s="1">
        <v>4.33</v>
      </c>
      <c r="P806" s="1">
        <v>0.13</v>
      </c>
      <c r="Q806" s="1">
        <v>7.0000000000000007E-2</v>
      </c>
      <c r="R806" s="1">
        <v>0.38</v>
      </c>
      <c r="S806" s="1">
        <v>0.37</v>
      </c>
      <c r="T806" s="1">
        <v>0.83</v>
      </c>
      <c r="U806" s="1">
        <v>8.35</v>
      </c>
      <c r="V806" s="1">
        <v>0.01</v>
      </c>
      <c r="W806" s="1">
        <v>0</v>
      </c>
      <c r="X806" s="1">
        <v>22323.074368000001</v>
      </c>
      <c r="Y806" s="1">
        <v>28263947.339400001</v>
      </c>
      <c r="Z806" t="str">
        <f>VLOOKUP(G806,'Code Pro'!$A$2:$B$9,2,FALSE)</f>
        <v>จ.ปราจีนบุรี</v>
      </c>
      <c r="AA806" s="8">
        <f t="shared" si="109"/>
        <v>122382891.97960201</v>
      </c>
      <c r="AB806" s="8">
        <f t="shared" si="110"/>
        <v>3674313.1541220001</v>
      </c>
      <c r="AC806" s="8">
        <f t="shared" si="111"/>
        <v>1978476.3137580003</v>
      </c>
      <c r="AD806" s="8">
        <f t="shared" si="112"/>
        <v>10740299.988972001</v>
      </c>
      <c r="AE806" s="8">
        <f t="shared" si="113"/>
        <v>10457660.515578</v>
      </c>
      <c r="AF806" s="8">
        <f t="shared" si="114"/>
        <v>23459076.291701999</v>
      </c>
      <c r="AG806" s="8">
        <f t="shared" si="115"/>
        <v>236003960.28399</v>
      </c>
      <c r="AH806" s="8">
        <f t="shared" si="116"/>
        <v>282639.47339400003</v>
      </c>
      <c r="AI806" s="8">
        <f t="shared" si="117"/>
        <v>0</v>
      </c>
    </row>
    <row r="807" spans="1:35" x14ac:dyDescent="0.55000000000000004">
      <c r="A807" s="1">
        <v>805</v>
      </c>
      <c r="B807" s="1" t="s">
        <v>20</v>
      </c>
      <c r="C807" s="1">
        <v>54</v>
      </c>
      <c r="D807" s="1">
        <v>8</v>
      </c>
      <c r="E807" s="1" t="s">
        <v>125</v>
      </c>
      <c r="F807" s="1" t="s">
        <v>126</v>
      </c>
      <c r="G807" s="1">
        <v>25</v>
      </c>
      <c r="H807" s="1">
        <v>2</v>
      </c>
      <c r="I807" s="1">
        <v>25080000</v>
      </c>
      <c r="J807" s="1">
        <v>816</v>
      </c>
      <c r="K807" s="1">
        <v>0</v>
      </c>
      <c r="L807" s="1">
        <v>14467</v>
      </c>
      <c r="M807" s="1">
        <v>13.850304</v>
      </c>
      <c r="N807" s="1">
        <v>101.60496500000001</v>
      </c>
      <c r="O807" s="1">
        <v>5.68</v>
      </c>
      <c r="P807" s="1">
        <v>4.1900000000000004</v>
      </c>
      <c r="Q807" s="1">
        <v>0.28000000000000003</v>
      </c>
      <c r="R807" s="1">
        <v>6.68</v>
      </c>
      <c r="S807" s="1">
        <v>0.93</v>
      </c>
      <c r="T807" s="1">
        <v>0.47</v>
      </c>
      <c r="U807" s="1">
        <v>38.840000000000003</v>
      </c>
      <c r="V807" s="1">
        <v>16.219999000000001</v>
      </c>
      <c r="W807" s="1">
        <v>0</v>
      </c>
      <c r="X807" s="1">
        <v>33554.024320999997</v>
      </c>
      <c r="Y807" s="1">
        <v>54429184.5594</v>
      </c>
      <c r="Z807" t="str">
        <f>VLOOKUP(G807,'Code Pro'!$A$2:$B$9,2,FALSE)</f>
        <v>จ.ปราจีนบุรี</v>
      </c>
      <c r="AA807" s="8">
        <f t="shared" si="109"/>
        <v>309157768.29739201</v>
      </c>
      <c r="AB807" s="8">
        <f t="shared" si="110"/>
        <v>228058283.30388603</v>
      </c>
      <c r="AC807" s="8">
        <f t="shared" si="111"/>
        <v>15240171.676632002</v>
      </c>
      <c r="AD807" s="8">
        <f t="shared" si="112"/>
        <v>363586952.85679197</v>
      </c>
      <c r="AE807" s="8">
        <f t="shared" si="113"/>
        <v>50619141.640242003</v>
      </c>
      <c r="AF807" s="8">
        <f t="shared" si="114"/>
        <v>25581716.742918</v>
      </c>
      <c r="AG807" s="8">
        <f t="shared" si="115"/>
        <v>2114029528.2870963</v>
      </c>
      <c r="AH807" s="8">
        <f t="shared" si="116"/>
        <v>882841319.12428355</v>
      </c>
      <c r="AI807" s="8">
        <f t="shared" si="117"/>
        <v>0</v>
      </c>
    </row>
    <row r="808" spans="1:35" x14ac:dyDescent="0.55000000000000004">
      <c r="A808" s="1">
        <v>806</v>
      </c>
      <c r="B808" s="1" t="s">
        <v>20</v>
      </c>
      <c r="C808" s="1">
        <v>54</v>
      </c>
      <c r="D808" s="1">
        <v>8</v>
      </c>
      <c r="E808" s="1" t="s">
        <v>125</v>
      </c>
      <c r="F808" s="1" t="s">
        <v>126</v>
      </c>
      <c r="G808" s="1">
        <v>25</v>
      </c>
      <c r="H808" s="1">
        <v>2</v>
      </c>
      <c r="I808" s="1">
        <v>25080000</v>
      </c>
      <c r="J808" s="1">
        <v>893</v>
      </c>
      <c r="K808" s="1">
        <v>0</v>
      </c>
      <c r="L808" s="1">
        <v>14584</v>
      </c>
      <c r="M808" s="1">
        <v>13.931006999999999</v>
      </c>
      <c r="N808" s="1">
        <v>101.35556</v>
      </c>
      <c r="O808" s="1">
        <v>4.92</v>
      </c>
      <c r="P808" s="1">
        <v>4.8600000000000003</v>
      </c>
      <c r="Q808" s="1">
        <v>0.84</v>
      </c>
      <c r="R808" s="1">
        <v>0.83</v>
      </c>
      <c r="S808" s="1">
        <v>18.790001</v>
      </c>
      <c r="T808" s="1">
        <v>6.35</v>
      </c>
      <c r="U808" s="1">
        <v>43.5</v>
      </c>
      <c r="V808" s="1">
        <v>0</v>
      </c>
      <c r="W808" s="1">
        <v>0</v>
      </c>
      <c r="X808" s="1">
        <v>4877.0440440000002</v>
      </c>
      <c r="Y808" s="1">
        <v>1439792.0556300001</v>
      </c>
      <c r="Z808" t="str">
        <f>VLOOKUP(G808,'Code Pro'!$A$2:$B$9,2,FALSE)</f>
        <v>จ.ปราจีนบุรี</v>
      </c>
      <c r="AA808" s="8">
        <f t="shared" si="109"/>
        <v>7083776.9136995999</v>
      </c>
      <c r="AB808" s="8">
        <f t="shared" si="110"/>
        <v>6997389.3903618008</v>
      </c>
      <c r="AC808" s="8">
        <f t="shared" si="111"/>
        <v>1209425.3267292001</v>
      </c>
      <c r="AD808" s="8">
        <f t="shared" si="112"/>
        <v>1195027.4061729</v>
      </c>
      <c r="AE808" s="8">
        <f t="shared" si="113"/>
        <v>27053694.165079758</v>
      </c>
      <c r="AF808" s="8">
        <f t="shared" si="114"/>
        <v>9142679.5532504991</v>
      </c>
      <c r="AG808" s="8">
        <f t="shared" si="115"/>
        <v>62630954.419905007</v>
      </c>
      <c r="AH808" s="8">
        <f t="shared" si="116"/>
        <v>0</v>
      </c>
      <c r="AI808" s="8">
        <f t="shared" si="117"/>
        <v>0</v>
      </c>
    </row>
    <row r="809" spans="1:35" x14ac:dyDescent="0.55000000000000004">
      <c r="A809" s="1">
        <v>807</v>
      </c>
      <c r="B809" s="1" t="s">
        <v>20</v>
      </c>
      <c r="C809" s="1">
        <v>54</v>
      </c>
      <c r="D809" s="1">
        <v>8</v>
      </c>
      <c r="E809" s="1" t="s">
        <v>125</v>
      </c>
      <c r="F809" s="1" t="s">
        <v>126</v>
      </c>
      <c r="G809" s="1">
        <v>25</v>
      </c>
      <c r="H809" s="1">
        <v>2</v>
      </c>
      <c r="I809" s="1">
        <v>25080000</v>
      </c>
      <c r="J809" s="1">
        <v>896</v>
      </c>
      <c r="K809" s="1">
        <v>0</v>
      </c>
      <c r="L809" s="1">
        <v>14704</v>
      </c>
      <c r="M809" s="1">
        <v>14.011680999999999</v>
      </c>
      <c r="N809" s="1">
        <v>101.35556</v>
      </c>
      <c r="O809" s="1">
        <v>0.01</v>
      </c>
      <c r="P809" s="1">
        <v>1.04</v>
      </c>
      <c r="Q809" s="1">
        <v>2.44</v>
      </c>
      <c r="R809" s="1">
        <v>0.52</v>
      </c>
      <c r="S809" s="1">
        <v>5.01</v>
      </c>
      <c r="T809" s="1">
        <v>6</v>
      </c>
      <c r="U809" s="1">
        <v>33.369999</v>
      </c>
      <c r="V809" s="1">
        <v>0</v>
      </c>
      <c r="W809" s="1">
        <v>0</v>
      </c>
      <c r="X809" s="1">
        <v>8072.2334449999998</v>
      </c>
      <c r="Y809" s="1">
        <v>2724726.2805699999</v>
      </c>
      <c r="Z809" t="str">
        <f>VLOOKUP(G809,'Code Pro'!$A$2:$B$9,2,FALSE)</f>
        <v>จ.ปราจีนบุรี</v>
      </c>
      <c r="AA809" s="8">
        <f t="shared" si="109"/>
        <v>27247.2628057</v>
      </c>
      <c r="AB809" s="8">
        <f t="shared" si="110"/>
        <v>2833715.3317928002</v>
      </c>
      <c r="AC809" s="8">
        <f t="shared" si="111"/>
        <v>6648332.1245908001</v>
      </c>
      <c r="AD809" s="8">
        <f t="shared" si="112"/>
        <v>1416857.6658964001</v>
      </c>
      <c r="AE809" s="8">
        <f t="shared" si="113"/>
        <v>13650878.665655699</v>
      </c>
      <c r="AF809" s="8">
        <f t="shared" si="114"/>
        <v>16348357.683419999</v>
      </c>
      <c r="AG809" s="8">
        <f t="shared" si="115"/>
        <v>90924113.25789462</v>
      </c>
      <c r="AH809" s="8">
        <f t="shared" si="116"/>
        <v>0</v>
      </c>
      <c r="AI809" s="8">
        <f t="shared" si="117"/>
        <v>0</v>
      </c>
    </row>
    <row r="810" spans="1:35" x14ac:dyDescent="0.55000000000000004">
      <c r="A810" s="1">
        <v>808</v>
      </c>
      <c r="B810" s="1" t="s">
        <v>20</v>
      </c>
      <c r="C810" s="1">
        <v>54</v>
      </c>
      <c r="D810" s="1">
        <v>8</v>
      </c>
      <c r="E810" s="1" t="s">
        <v>125</v>
      </c>
      <c r="F810" s="1" t="s">
        <v>126</v>
      </c>
      <c r="G810" s="1">
        <v>25</v>
      </c>
      <c r="H810" s="1">
        <v>2</v>
      </c>
      <c r="I810" s="1">
        <v>25080000</v>
      </c>
      <c r="J810" s="1">
        <v>899</v>
      </c>
      <c r="K810" s="1">
        <v>0</v>
      </c>
      <c r="L810" s="1">
        <v>14585</v>
      </c>
      <c r="M810" s="1">
        <v>13.931006999999999</v>
      </c>
      <c r="N810" s="1">
        <v>101.4387</v>
      </c>
      <c r="O810" s="1">
        <v>0.02</v>
      </c>
      <c r="P810" s="1">
        <v>1.22</v>
      </c>
      <c r="Q810" s="1">
        <v>7.64</v>
      </c>
      <c r="R810" s="1">
        <v>3.45</v>
      </c>
      <c r="S810" s="1">
        <v>9.74</v>
      </c>
      <c r="T810" s="1">
        <v>10.75</v>
      </c>
      <c r="U810" s="1">
        <v>28.040001</v>
      </c>
      <c r="V810" s="1">
        <v>1.36</v>
      </c>
      <c r="W810" s="1">
        <v>0</v>
      </c>
      <c r="X810" s="1">
        <v>35206.576373000004</v>
      </c>
      <c r="Y810" s="1">
        <v>55246741.798699997</v>
      </c>
      <c r="Z810" t="str">
        <f>VLOOKUP(G810,'Code Pro'!$A$2:$B$9,2,FALSE)</f>
        <v>จ.ปราจีนบุรี</v>
      </c>
      <c r="AA810" s="8">
        <f t="shared" si="109"/>
        <v>1104934.8359739999</v>
      </c>
      <c r="AB810" s="8">
        <f t="shared" si="110"/>
        <v>67401024.994414002</v>
      </c>
      <c r="AC810" s="8">
        <f t="shared" si="111"/>
        <v>422085107.34206796</v>
      </c>
      <c r="AD810" s="8">
        <f t="shared" si="112"/>
        <v>190601259.205515</v>
      </c>
      <c r="AE810" s="8">
        <f t="shared" si="113"/>
        <v>538103265.11933804</v>
      </c>
      <c r="AF810" s="8">
        <f t="shared" si="114"/>
        <v>593902474.336025</v>
      </c>
      <c r="AG810" s="8">
        <f t="shared" si="115"/>
        <v>1549118695.2822897</v>
      </c>
      <c r="AH810" s="8">
        <f t="shared" si="116"/>
        <v>75135568.846231997</v>
      </c>
      <c r="AI810" s="8">
        <f t="shared" si="117"/>
        <v>0</v>
      </c>
    </row>
    <row r="811" spans="1:35" x14ac:dyDescent="0.55000000000000004">
      <c r="A811" s="1">
        <v>809</v>
      </c>
      <c r="B811" s="1" t="s">
        <v>20</v>
      </c>
      <c r="C811" s="1">
        <v>54</v>
      </c>
      <c r="D811" s="1">
        <v>8</v>
      </c>
      <c r="E811" s="1" t="s">
        <v>125</v>
      </c>
      <c r="F811" s="1" t="s">
        <v>126</v>
      </c>
      <c r="G811" s="1">
        <v>25</v>
      </c>
      <c r="H811" s="1">
        <v>2</v>
      </c>
      <c r="I811" s="1">
        <v>25080000</v>
      </c>
      <c r="J811" s="1">
        <v>902</v>
      </c>
      <c r="K811" s="1">
        <v>0</v>
      </c>
      <c r="L811" s="1">
        <v>14705</v>
      </c>
      <c r="M811" s="1">
        <v>14.011680999999999</v>
      </c>
      <c r="N811" s="1">
        <v>101.4387</v>
      </c>
      <c r="O811" s="1">
        <v>1.57</v>
      </c>
      <c r="P811" s="1">
        <v>2.44</v>
      </c>
      <c r="Q811" s="1">
        <v>0.3</v>
      </c>
      <c r="R811" s="1">
        <v>0.82</v>
      </c>
      <c r="S811" s="1">
        <v>4.45</v>
      </c>
      <c r="T811" s="1">
        <v>3.15</v>
      </c>
      <c r="U811" s="1">
        <v>32.619999</v>
      </c>
      <c r="V811" s="1">
        <v>0</v>
      </c>
      <c r="W811" s="1">
        <v>0</v>
      </c>
      <c r="X811" s="1">
        <v>27123.916125</v>
      </c>
      <c r="Y811" s="1">
        <v>30734453.121300001</v>
      </c>
      <c r="Z811" t="str">
        <f>VLOOKUP(G811,'Code Pro'!$A$2:$B$9,2,FALSE)</f>
        <v>จ.ปราจีนบุรี</v>
      </c>
      <c r="AA811" s="8">
        <f t="shared" si="109"/>
        <v>48253091.400441006</v>
      </c>
      <c r="AB811" s="8">
        <f t="shared" si="110"/>
        <v>74992065.615971997</v>
      </c>
      <c r="AC811" s="8">
        <f t="shared" si="111"/>
        <v>9220335.9363899995</v>
      </c>
      <c r="AD811" s="8">
        <f t="shared" si="112"/>
        <v>25202251.559466001</v>
      </c>
      <c r="AE811" s="8">
        <f t="shared" si="113"/>
        <v>136768316.38978502</v>
      </c>
      <c r="AF811" s="8">
        <f t="shared" si="114"/>
        <v>96813527.332094997</v>
      </c>
      <c r="AG811" s="8">
        <f t="shared" si="115"/>
        <v>1002557830.0823529</v>
      </c>
      <c r="AH811" s="8">
        <f t="shared" si="116"/>
        <v>0</v>
      </c>
      <c r="AI811" s="8">
        <f t="shared" si="117"/>
        <v>0</v>
      </c>
    </row>
    <row r="812" spans="1:35" x14ac:dyDescent="0.55000000000000004">
      <c r="A812" s="1">
        <v>810</v>
      </c>
      <c r="B812" s="1" t="s">
        <v>20</v>
      </c>
      <c r="C812" s="1">
        <v>54</v>
      </c>
      <c r="D812" s="1">
        <v>8</v>
      </c>
      <c r="E812" s="1" t="s">
        <v>125</v>
      </c>
      <c r="F812" s="1" t="s">
        <v>126</v>
      </c>
      <c r="G812" s="1">
        <v>25</v>
      </c>
      <c r="H812" s="1">
        <v>2</v>
      </c>
      <c r="I812" s="1">
        <v>25080000</v>
      </c>
      <c r="J812" s="1">
        <v>903</v>
      </c>
      <c r="K812" s="1">
        <v>0</v>
      </c>
      <c r="L812" s="1">
        <v>14586</v>
      </c>
      <c r="M812" s="1">
        <v>13.931006999999999</v>
      </c>
      <c r="N812" s="1">
        <v>101.52182999999999</v>
      </c>
      <c r="O812" s="1">
        <v>2.0099999999999998</v>
      </c>
      <c r="P812" s="1">
        <v>1.73</v>
      </c>
      <c r="Q812" s="1">
        <v>3.97</v>
      </c>
      <c r="R812" s="1">
        <v>1.89</v>
      </c>
      <c r="S812" s="1">
        <v>4.95</v>
      </c>
      <c r="T812" s="1">
        <v>3.13</v>
      </c>
      <c r="U812" s="1">
        <v>26.549999</v>
      </c>
      <c r="V812" s="1">
        <v>0.53</v>
      </c>
      <c r="W812" s="1">
        <v>0</v>
      </c>
      <c r="X812" s="1">
        <v>35840.73199</v>
      </c>
      <c r="Y812" s="1">
        <v>80284078.1347</v>
      </c>
      <c r="Z812" t="str">
        <f>VLOOKUP(G812,'Code Pro'!$A$2:$B$9,2,FALSE)</f>
        <v>จ.ปราจีนบุรี</v>
      </c>
      <c r="AA812" s="8">
        <f t="shared" si="109"/>
        <v>161370997.05074698</v>
      </c>
      <c r="AB812" s="8">
        <f t="shared" si="110"/>
        <v>138891455.173031</v>
      </c>
      <c r="AC812" s="8">
        <f t="shared" si="111"/>
        <v>318727790.19475901</v>
      </c>
      <c r="AD812" s="8">
        <f t="shared" si="112"/>
        <v>151736907.67458299</v>
      </c>
      <c r="AE812" s="8">
        <f t="shared" si="113"/>
        <v>397406186.766765</v>
      </c>
      <c r="AF812" s="8">
        <f t="shared" si="114"/>
        <v>251289164.561611</v>
      </c>
      <c r="AG812" s="8">
        <f t="shared" si="115"/>
        <v>2131542194.1922069</v>
      </c>
      <c r="AH812" s="8">
        <f t="shared" si="116"/>
        <v>42550561.411391005</v>
      </c>
      <c r="AI812" s="8">
        <f t="shared" si="117"/>
        <v>0</v>
      </c>
    </row>
    <row r="813" spans="1:35" x14ac:dyDescent="0.55000000000000004">
      <c r="A813" s="1">
        <v>811</v>
      </c>
      <c r="B813" s="1" t="s">
        <v>20</v>
      </c>
      <c r="C813" s="1">
        <v>54</v>
      </c>
      <c r="D813" s="1">
        <v>8</v>
      </c>
      <c r="E813" s="1" t="s">
        <v>125</v>
      </c>
      <c r="F813" s="1" t="s">
        <v>126</v>
      </c>
      <c r="G813" s="1">
        <v>25</v>
      </c>
      <c r="H813" s="1">
        <v>2</v>
      </c>
      <c r="I813" s="1">
        <v>25080000</v>
      </c>
      <c r="J813" s="1">
        <v>906</v>
      </c>
      <c r="K813" s="1">
        <v>0</v>
      </c>
      <c r="L813" s="1">
        <v>14706</v>
      </c>
      <c r="M813" s="1">
        <v>14.011680999999999</v>
      </c>
      <c r="N813" s="1">
        <v>101.52182999999999</v>
      </c>
      <c r="O813" s="1">
        <v>0.01</v>
      </c>
      <c r="P813" s="1">
        <v>0.23</v>
      </c>
      <c r="Q813" s="1">
        <v>0.66</v>
      </c>
      <c r="R813" s="1">
        <v>0.9</v>
      </c>
      <c r="S813" s="1">
        <v>8.2200000000000006</v>
      </c>
      <c r="T813" s="1">
        <v>7.34</v>
      </c>
      <c r="U813" s="1">
        <v>17.75</v>
      </c>
      <c r="V813" s="1">
        <v>0</v>
      </c>
      <c r="W813" s="1">
        <v>0</v>
      </c>
      <c r="X813" s="1">
        <v>27830.710632999999</v>
      </c>
      <c r="Y813" s="1">
        <v>28566735.904300001</v>
      </c>
      <c r="Z813" t="str">
        <f>VLOOKUP(G813,'Code Pro'!$A$2:$B$9,2,FALSE)</f>
        <v>จ.ปราจีนบุรี</v>
      </c>
      <c r="AA813" s="8">
        <f t="shared" si="109"/>
        <v>285667.35904300003</v>
      </c>
      <c r="AB813" s="8">
        <f t="shared" si="110"/>
        <v>6570349.2579890005</v>
      </c>
      <c r="AC813" s="8">
        <f t="shared" si="111"/>
        <v>18854045.696838003</v>
      </c>
      <c r="AD813" s="8">
        <f t="shared" si="112"/>
        <v>25710062.313870002</v>
      </c>
      <c r="AE813" s="8">
        <f t="shared" si="113"/>
        <v>234818569.13334602</v>
      </c>
      <c r="AF813" s="8">
        <f t="shared" si="114"/>
        <v>209679841.53756201</v>
      </c>
      <c r="AG813" s="8">
        <f t="shared" si="115"/>
        <v>507059562.30132502</v>
      </c>
      <c r="AH813" s="8">
        <f t="shared" si="116"/>
        <v>0</v>
      </c>
      <c r="AI813" s="8">
        <f t="shared" si="117"/>
        <v>0</v>
      </c>
    </row>
    <row r="814" spans="1:35" x14ac:dyDescent="0.55000000000000004">
      <c r="A814" s="1">
        <v>812</v>
      </c>
      <c r="B814" s="1" t="s">
        <v>20</v>
      </c>
      <c r="C814" s="1">
        <v>54</v>
      </c>
      <c r="D814" s="1">
        <v>8</v>
      </c>
      <c r="E814" s="1" t="s">
        <v>125</v>
      </c>
      <c r="F814" s="1" t="s">
        <v>126</v>
      </c>
      <c r="G814" s="1">
        <v>25</v>
      </c>
      <c r="H814" s="1">
        <v>2</v>
      </c>
      <c r="I814" s="1">
        <v>25080000</v>
      </c>
      <c r="J814" s="1">
        <v>911</v>
      </c>
      <c r="K814" s="1">
        <v>0</v>
      </c>
      <c r="L814" s="1">
        <v>14587</v>
      </c>
      <c r="M814" s="1">
        <v>13.931006999999999</v>
      </c>
      <c r="N814" s="1">
        <v>101.60496500000001</v>
      </c>
      <c r="O814" s="1">
        <v>0.01</v>
      </c>
      <c r="P814" s="1">
        <v>3.11</v>
      </c>
      <c r="Q814" s="1">
        <v>0.51</v>
      </c>
      <c r="R814" s="1">
        <v>9.07</v>
      </c>
      <c r="S814" s="1">
        <v>3.47</v>
      </c>
      <c r="T814" s="1">
        <v>7.43</v>
      </c>
      <c r="U814" s="1">
        <v>14.88</v>
      </c>
      <c r="V814" s="1">
        <v>0.38</v>
      </c>
      <c r="W814" s="1">
        <v>0</v>
      </c>
      <c r="X814" s="1">
        <v>33610.534746999998</v>
      </c>
      <c r="Y814" s="1">
        <v>43392011.412</v>
      </c>
      <c r="Z814" t="str">
        <f>VLOOKUP(G814,'Code Pro'!$A$2:$B$9,2,FALSE)</f>
        <v>จ.ปราจีนบุรี</v>
      </c>
      <c r="AA814" s="8">
        <f t="shared" si="109"/>
        <v>433920.11412000004</v>
      </c>
      <c r="AB814" s="8">
        <f t="shared" si="110"/>
        <v>134949155.49131998</v>
      </c>
      <c r="AC814" s="8">
        <f t="shared" si="111"/>
        <v>22129925.820119999</v>
      </c>
      <c r="AD814" s="8">
        <f t="shared" si="112"/>
        <v>393565543.50683999</v>
      </c>
      <c r="AE814" s="8">
        <f t="shared" si="113"/>
        <v>150570279.59964001</v>
      </c>
      <c r="AF814" s="8">
        <f t="shared" si="114"/>
        <v>322402644.79115999</v>
      </c>
      <c r="AG814" s="8">
        <f t="shared" si="115"/>
        <v>645673129.81055999</v>
      </c>
      <c r="AH814" s="8">
        <f t="shared" si="116"/>
        <v>16488964.33656</v>
      </c>
      <c r="AI814" s="8">
        <f t="shared" si="117"/>
        <v>0</v>
      </c>
    </row>
    <row r="815" spans="1:35" x14ac:dyDescent="0.55000000000000004">
      <c r="A815" s="1">
        <v>813</v>
      </c>
      <c r="B815" s="1" t="s">
        <v>20</v>
      </c>
      <c r="C815" s="1">
        <v>54</v>
      </c>
      <c r="D815" s="1">
        <v>8</v>
      </c>
      <c r="E815" s="1" t="s">
        <v>125</v>
      </c>
      <c r="F815" s="1" t="s">
        <v>126</v>
      </c>
      <c r="G815" s="1">
        <v>25</v>
      </c>
      <c r="H815" s="1">
        <v>2</v>
      </c>
      <c r="I815" s="1">
        <v>25080000</v>
      </c>
      <c r="J815" s="1">
        <v>912</v>
      </c>
      <c r="K815" s="1">
        <v>0</v>
      </c>
      <c r="L815" s="1">
        <v>14707</v>
      </c>
      <c r="M815" s="1">
        <v>14.011680999999999</v>
      </c>
      <c r="N815" s="1">
        <v>101.60496500000001</v>
      </c>
      <c r="O815" s="1">
        <v>0.02</v>
      </c>
      <c r="P815" s="1">
        <v>0.54</v>
      </c>
      <c r="Q815" s="1">
        <v>0.16</v>
      </c>
      <c r="R815" s="1">
        <v>6.23</v>
      </c>
      <c r="S815" s="1">
        <v>5.04</v>
      </c>
      <c r="T815" s="1">
        <v>9.09</v>
      </c>
      <c r="U815" s="1">
        <v>3.49</v>
      </c>
      <c r="V815" s="1">
        <v>0</v>
      </c>
      <c r="W815" s="1">
        <v>0</v>
      </c>
      <c r="X815" s="1">
        <v>13366.970582</v>
      </c>
      <c r="Y815" s="1">
        <v>6679383.7282299995</v>
      </c>
      <c r="Z815" t="str">
        <f>VLOOKUP(G815,'Code Pro'!$A$2:$B$9,2,FALSE)</f>
        <v>จ.ปราจีนบุรี</v>
      </c>
      <c r="AA815" s="8">
        <f t="shared" si="109"/>
        <v>133587.67456459999</v>
      </c>
      <c r="AB815" s="8">
        <f t="shared" si="110"/>
        <v>3606867.2132442002</v>
      </c>
      <c r="AC815" s="8">
        <f t="shared" si="111"/>
        <v>1068701.3965167999</v>
      </c>
      <c r="AD815" s="8">
        <f t="shared" si="112"/>
        <v>41612560.626872897</v>
      </c>
      <c r="AE815" s="8">
        <f t="shared" si="113"/>
        <v>33664093.990279198</v>
      </c>
      <c r="AF815" s="8">
        <f t="shared" si="114"/>
        <v>60715598.089610696</v>
      </c>
      <c r="AG815" s="8">
        <f t="shared" si="115"/>
        <v>23311049.211522698</v>
      </c>
      <c r="AH815" s="8">
        <f t="shared" si="116"/>
        <v>0</v>
      </c>
      <c r="AI815" s="8">
        <f t="shared" si="117"/>
        <v>0</v>
      </c>
    </row>
    <row r="816" spans="1:35" x14ac:dyDescent="0.55000000000000004">
      <c r="A816" s="1">
        <v>814</v>
      </c>
      <c r="B816" s="1" t="s">
        <v>20</v>
      </c>
      <c r="C816" s="1">
        <v>55</v>
      </c>
      <c r="D816" s="1">
        <v>9</v>
      </c>
      <c r="E816" s="1" t="s">
        <v>127</v>
      </c>
      <c r="F816" s="1" t="s">
        <v>128</v>
      </c>
      <c r="G816" s="1">
        <v>25</v>
      </c>
      <c r="H816" s="1">
        <v>2</v>
      </c>
      <c r="I816" s="1">
        <v>25090000</v>
      </c>
      <c r="J816" s="1">
        <v>794</v>
      </c>
      <c r="K816" s="1">
        <v>0</v>
      </c>
      <c r="L816" s="1">
        <v>14465</v>
      </c>
      <c r="M816" s="1">
        <v>13.850304</v>
      </c>
      <c r="N816" s="1">
        <v>101.4387</v>
      </c>
      <c r="O816" s="1">
        <v>0.01</v>
      </c>
      <c r="P816" s="1">
        <v>12.42</v>
      </c>
      <c r="Q816" s="1">
        <v>13.19</v>
      </c>
      <c r="R816" s="1">
        <v>8.01</v>
      </c>
      <c r="S816" s="1">
        <v>2.57</v>
      </c>
      <c r="T816" s="1">
        <v>4.07</v>
      </c>
      <c r="U816" s="1">
        <v>20.399999999999999</v>
      </c>
      <c r="V816" s="1">
        <v>1.97</v>
      </c>
      <c r="W816" s="1">
        <v>0</v>
      </c>
      <c r="X816" s="1">
        <v>30877.056315000002</v>
      </c>
      <c r="Y816" s="1">
        <v>49141277.669100001</v>
      </c>
      <c r="Z816" t="str">
        <f>VLOOKUP(G816,'Code Pro'!$A$2:$B$9,2,FALSE)</f>
        <v>จ.ปราจีนบุรี</v>
      </c>
      <c r="AA816" s="8">
        <f t="shared" si="109"/>
        <v>491412.77669100004</v>
      </c>
      <c r="AB816" s="8">
        <f t="shared" si="110"/>
        <v>610334668.65022206</v>
      </c>
      <c r="AC816" s="8">
        <f t="shared" si="111"/>
        <v>648173452.45542896</v>
      </c>
      <c r="AD816" s="8">
        <f t="shared" si="112"/>
        <v>393621634.12949097</v>
      </c>
      <c r="AE816" s="8">
        <f t="shared" si="113"/>
        <v>126293083.609587</v>
      </c>
      <c r="AF816" s="8">
        <f t="shared" si="114"/>
        <v>200005000.11323702</v>
      </c>
      <c r="AG816" s="8">
        <f t="shared" si="115"/>
        <v>1002482064.4496399</v>
      </c>
      <c r="AH816" s="8">
        <f t="shared" si="116"/>
        <v>96808317.008127004</v>
      </c>
      <c r="AI816" s="8">
        <f t="shared" si="117"/>
        <v>0</v>
      </c>
    </row>
    <row r="817" spans="1:35" x14ac:dyDescent="0.55000000000000004">
      <c r="A817" s="1">
        <v>815</v>
      </c>
      <c r="B817" s="1" t="s">
        <v>20</v>
      </c>
      <c r="C817" s="1">
        <v>55</v>
      </c>
      <c r="D817" s="1">
        <v>9</v>
      </c>
      <c r="E817" s="1" t="s">
        <v>127</v>
      </c>
      <c r="F817" s="1" t="s">
        <v>128</v>
      </c>
      <c r="G817" s="1">
        <v>25</v>
      </c>
      <c r="H817" s="1">
        <v>2</v>
      </c>
      <c r="I817" s="1">
        <v>25090000</v>
      </c>
      <c r="J817" s="1">
        <v>795</v>
      </c>
      <c r="K817" s="1">
        <v>0</v>
      </c>
      <c r="L817" s="1">
        <v>14464</v>
      </c>
      <c r="M817" s="1">
        <v>13.850304</v>
      </c>
      <c r="N817" s="1">
        <v>101.35556</v>
      </c>
      <c r="O817" s="1">
        <v>3.7</v>
      </c>
      <c r="P817" s="1">
        <v>11.42</v>
      </c>
      <c r="Q817" s="1">
        <v>13.26</v>
      </c>
      <c r="R817" s="1">
        <v>0.02</v>
      </c>
      <c r="S817" s="1">
        <v>0.1</v>
      </c>
      <c r="T817" s="1">
        <v>8.7200000000000006</v>
      </c>
      <c r="U817" s="1">
        <v>10.66</v>
      </c>
      <c r="V817" s="1">
        <v>0.02</v>
      </c>
      <c r="W817" s="1">
        <v>0.01</v>
      </c>
      <c r="X817" s="1">
        <v>19296.920945999998</v>
      </c>
      <c r="Y817" s="1">
        <v>13825736.4342</v>
      </c>
      <c r="Z817" t="str">
        <f>VLOOKUP(G817,'Code Pro'!$A$2:$B$9,2,FALSE)</f>
        <v>จ.ปราจีนบุรี</v>
      </c>
      <c r="AA817" s="8">
        <f t="shared" si="109"/>
        <v>51155224.806540005</v>
      </c>
      <c r="AB817" s="8">
        <f t="shared" si="110"/>
        <v>157889910.07856399</v>
      </c>
      <c r="AC817" s="8">
        <f t="shared" si="111"/>
        <v>183329265.11749199</v>
      </c>
      <c r="AD817" s="8">
        <f t="shared" si="112"/>
        <v>276514.72868400003</v>
      </c>
      <c r="AE817" s="8">
        <f t="shared" si="113"/>
        <v>1382573.6434200001</v>
      </c>
      <c r="AF817" s="8">
        <f t="shared" si="114"/>
        <v>120560421.70622401</v>
      </c>
      <c r="AG817" s="8">
        <f t="shared" si="115"/>
        <v>147382350.38857201</v>
      </c>
      <c r="AH817" s="8">
        <f t="shared" si="116"/>
        <v>276514.72868400003</v>
      </c>
      <c r="AI817" s="8">
        <f t="shared" si="117"/>
        <v>138257.36434200002</v>
      </c>
    </row>
    <row r="818" spans="1:35" x14ac:dyDescent="0.55000000000000004">
      <c r="A818" s="1">
        <v>816</v>
      </c>
      <c r="B818" s="1" t="s">
        <v>20</v>
      </c>
      <c r="C818" s="1">
        <v>55</v>
      </c>
      <c r="D818" s="1">
        <v>9</v>
      </c>
      <c r="E818" s="1" t="s">
        <v>127</v>
      </c>
      <c r="F818" s="1" t="s">
        <v>128</v>
      </c>
      <c r="G818" s="1">
        <v>25</v>
      </c>
      <c r="H818" s="1">
        <v>2</v>
      </c>
      <c r="I818" s="1">
        <v>25090000</v>
      </c>
      <c r="J818" s="1">
        <v>807</v>
      </c>
      <c r="K818" s="1">
        <v>0</v>
      </c>
      <c r="L818" s="1">
        <v>14346</v>
      </c>
      <c r="M818" s="1">
        <v>13.769569000000001</v>
      </c>
      <c r="N818" s="1">
        <v>101.52182999999999</v>
      </c>
      <c r="O818" s="1">
        <v>1.84</v>
      </c>
      <c r="P818" s="1">
        <v>10.68</v>
      </c>
      <c r="Q818" s="1">
        <v>1.07</v>
      </c>
      <c r="R818" s="1">
        <v>10.210000000000001</v>
      </c>
      <c r="S818" s="1">
        <v>0.38</v>
      </c>
      <c r="T818" s="1">
        <v>2.95</v>
      </c>
      <c r="U818" s="1">
        <v>6.95</v>
      </c>
      <c r="V818" s="1">
        <v>2.4500000000000002</v>
      </c>
      <c r="W818" s="1">
        <v>0</v>
      </c>
      <c r="X818" s="1">
        <v>13383.392855</v>
      </c>
      <c r="Y818" s="1">
        <v>6499475.8797199996</v>
      </c>
      <c r="Z818" t="str">
        <f>VLOOKUP(G818,'Code Pro'!$A$2:$B$9,2,FALSE)</f>
        <v>จ.ปราจีนบุรี</v>
      </c>
      <c r="AA818" s="8">
        <f t="shared" si="109"/>
        <v>11959035.6186848</v>
      </c>
      <c r="AB818" s="8">
        <f t="shared" si="110"/>
        <v>69414402.395409599</v>
      </c>
      <c r="AC818" s="8">
        <f t="shared" si="111"/>
        <v>6954439.1913003996</v>
      </c>
      <c r="AD818" s="8">
        <f t="shared" si="112"/>
        <v>66359648.731941201</v>
      </c>
      <c r="AE818" s="8">
        <f t="shared" si="113"/>
        <v>2469800.8342935997</v>
      </c>
      <c r="AF818" s="8">
        <f t="shared" si="114"/>
        <v>19173453.845174</v>
      </c>
      <c r="AG818" s="8">
        <f t="shared" si="115"/>
        <v>45171357.364054002</v>
      </c>
      <c r="AH818" s="8">
        <f t="shared" si="116"/>
        <v>15923715.905314</v>
      </c>
      <c r="AI818" s="8">
        <f t="shared" si="117"/>
        <v>0</v>
      </c>
    </row>
    <row r="819" spans="1:35" x14ac:dyDescent="0.55000000000000004">
      <c r="A819" s="1">
        <v>817</v>
      </c>
      <c r="B819" s="1" t="s">
        <v>20</v>
      </c>
      <c r="C819" s="1">
        <v>55</v>
      </c>
      <c r="D819" s="1">
        <v>9</v>
      </c>
      <c r="E819" s="1" t="s">
        <v>127</v>
      </c>
      <c r="F819" s="1" t="s">
        <v>128</v>
      </c>
      <c r="G819" s="1">
        <v>25</v>
      </c>
      <c r="H819" s="1">
        <v>2</v>
      </c>
      <c r="I819" s="1">
        <v>25090000</v>
      </c>
      <c r="J819" s="1">
        <v>809</v>
      </c>
      <c r="K819" s="1">
        <v>0</v>
      </c>
      <c r="L819" s="1">
        <v>14466</v>
      </c>
      <c r="M819" s="1">
        <v>13.850304</v>
      </c>
      <c r="N819" s="1">
        <v>101.52182999999999</v>
      </c>
      <c r="O819" s="1">
        <v>0.02</v>
      </c>
      <c r="P819" s="1">
        <v>24.42</v>
      </c>
      <c r="Q819" s="1">
        <v>3.31</v>
      </c>
      <c r="R819" s="1">
        <v>2.98</v>
      </c>
      <c r="S819" s="1">
        <v>3.74</v>
      </c>
      <c r="T819" s="1">
        <v>0.8</v>
      </c>
      <c r="U819" s="1">
        <v>45.080002</v>
      </c>
      <c r="V819" s="1">
        <v>23.799999</v>
      </c>
      <c r="W819" s="1">
        <v>0</v>
      </c>
      <c r="X819" s="1">
        <v>15756.419927999999</v>
      </c>
      <c r="Y819" s="1">
        <v>12358348.837400001</v>
      </c>
      <c r="Z819" t="str">
        <f>VLOOKUP(G819,'Code Pro'!$A$2:$B$9,2,FALSE)</f>
        <v>จ.ปราจีนบุรี</v>
      </c>
      <c r="AA819" s="8">
        <f t="shared" si="109"/>
        <v>247166.97674800002</v>
      </c>
      <c r="AB819" s="8">
        <f t="shared" si="110"/>
        <v>301790878.60930806</v>
      </c>
      <c r="AC819" s="8">
        <f t="shared" si="111"/>
        <v>40906134.651794001</v>
      </c>
      <c r="AD819" s="8">
        <f t="shared" si="112"/>
        <v>36827879.535452001</v>
      </c>
      <c r="AE819" s="8">
        <f t="shared" si="113"/>
        <v>46220224.651876003</v>
      </c>
      <c r="AF819" s="8">
        <f t="shared" si="114"/>
        <v>9886679.0699200016</v>
      </c>
      <c r="AG819" s="8">
        <f t="shared" si="115"/>
        <v>557114390.30668974</v>
      </c>
      <c r="AH819" s="8">
        <f t="shared" si="116"/>
        <v>294128689.97177118</v>
      </c>
      <c r="AI819" s="8">
        <f t="shared" si="117"/>
        <v>0</v>
      </c>
    </row>
    <row r="820" spans="1:35" x14ac:dyDescent="0.55000000000000004">
      <c r="A820" s="1">
        <v>818</v>
      </c>
      <c r="B820" s="1" t="s">
        <v>20</v>
      </c>
      <c r="C820" s="1">
        <v>55</v>
      </c>
      <c r="D820" s="1">
        <v>9</v>
      </c>
      <c r="E820" s="1" t="s">
        <v>127</v>
      </c>
      <c r="F820" s="1" t="s">
        <v>128</v>
      </c>
      <c r="G820" s="1">
        <v>25</v>
      </c>
      <c r="H820" s="1">
        <v>2</v>
      </c>
      <c r="I820" s="1">
        <v>25090000</v>
      </c>
      <c r="J820" s="1">
        <v>893</v>
      </c>
      <c r="K820" s="1">
        <v>0</v>
      </c>
      <c r="L820" s="1">
        <v>14584</v>
      </c>
      <c r="M820" s="1">
        <v>13.931006999999999</v>
      </c>
      <c r="N820" s="1">
        <v>101.35556</v>
      </c>
      <c r="O820" s="1">
        <v>4.92</v>
      </c>
      <c r="P820" s="1">
        <v>4.8600000000000003</v>
      </c>
      <c r="Q820" s="1">
        <v>0.84</v>
      </c>
      <c r="R820" s="1">
        <v>0.83</v>
      </c>
      <c r="S820" s="1">
        <v>18.790001</v>
      </c>
      <c r="T820" s="1">
        <v>6.35</v>
      </c>
      <c r="U820" s="1">
        <v>43.5</v>
      </c>
      <c r="V820" s="1">
        <v>0</v>
      </c>
      <c r="W820" s="1">
        <v>0</v>
      </c>
      <c r="X820" s="1">
        <v>26372.870730999999</v>
      </c>
      <c r="Y820" s="1">
        <v>34486344.793300003</v>
      </c>
      <c r="Z820" t="str">
        <f>VLOOKUP(G820,'Code Pro'!$A$2:$B$9,2,FALSE)</f>
        <v>จ.ปราจีนบุรี</v>
      </c>
      <c r="AA820" s="8">
        <f t="shared" si="109"/>
        <v>169672816.38303602</v>
      </c>
      <c r="AB820" s="8">
        <f t="shared" si="110"/>
        <v>167603635.69543803</v>
      </c>
      <c r="AC820" s="8">
        <f t="shared" si="111"/>
        <v>28968529.626372002</v>
      </c>
      <c r="AD820" s="8">
        <f t="shared" si="112"/>
        <v>28623666.178439002</v>
      </c>
      <c r="AE820" s="8">
        <f t="shared" si="113"/>
        <v>647998453.15245187</v>
      </c>
      <c r="AF820" s="8">
        <f t="shared" si="114"/>
        <v>218988289.437455</v>
      </c>
      <c r="AG820" s="8">
        <f t="shared" si="115"/>
        <v>1500155998.5085502</v>
      </c>
      <c r="AH820" s="8">
        <f t="shared" si="116"/>
        <v>0</v>
      </c>
      <c r="AI820" s="8">
        <f t="shared" si="117"/>
        <v>0</v>
      </c>
    </row>
    <row r="821" spans="1:35" x14ac:dyDescent="0.55000000000000004">
      <c r="A821" s="1">
        <v>819</v>
      </c>
      <c r="B821" s="1" t="s">
        <v>20</v>
      </c>
      <c r="C821" s="1">
        <v>55</v>
      </c>
      <c r="D821" s="1">
        <v>9</v>
      </c>
      <c r="E821" s="1" t="s">
        <v>127</v>
      </c>
      <c r="F821" s="1" t="s">
        <v>128</v>
      </c>
      <c r="G821" s="1">
        <v>25</v>
      </c>
      <c r="H821" s="1">
        <v>2</v>
      </c>
      <c r="I821" s="1">
        <v>25090000</v>
      </c>
      <c r="J821" s="1">
        <v>899</v>
      </c>
      <c r="K821" s="1">
        <v>0</v>
      </c>
      <c r="L821" s="1">
        <v>14585</v>
      </c>
      <c r="M821" s="1">
        <v>13.931006999999999</v>
      </c>
      <c r="N821" s="1">
        <v>101.4387</v>
      </c>
      <c r="O821" s="1">
        <v>0.02</v>
      </c>
      <c r="P821" s="1">
        <v>1.22</v>
      </c>
      <c r="Q821" s="1">
        <v>7.64</v>
      </c>
      <c r="R821" s="1">
        <v>3.45</v>
      </c>
      <c r="S821" s="1">
        <v>9.74</v>
      </c>
      <c r="T821" s="1">
        <v>10.75</v>
      </c>
      <c r="U821" s="1">
        <v>28.040001</v>
      </c>
      <c r="V821" s="1">
        <v>1.36</v>
      </c>
      <c r="W821" s="1">
        <v>0</v>
      </c>
      <c r="X821" s="1">
        <v>23300.984548</v>
      </c>
      <c r="Y821" s="1">
        <v>25030184.873399999</v>
      </c>
      <c r="Z821" t="str">
        <f>VLOOKUP(G821,'Code Pro'!$A$2:$B$9,2,FALSE)</f>
        <v>จ.ปราจีนบุรี</v>
      </c>
      <c r="AA821" s="8">
        <f t="shared" si="109"/>
        <v>500603.697468</v>
      </c>
      <c r="AB821" s="8">
        <f t="shared" si="110"/>
        <v>30536825.545547999</v>
      </c>
      <c r="AC821" s="8">
        <f t="shared" si="111"/>
        <v>191230612.43277597</v>
      </c>
      <c r="AD821" s="8">
        <f t="shared" si="112"/>
        <v>86354137.813230008</v>
      </c>
      <c r="AE821" s="8">
        <f t="shared" si="113"/>
        <v>243794000.66691598</v>
      </c>
      <c r="AF821" s="8">
        <f t="shared" si="114"/>
        <v>269074487.38905001</v>
      </c>
      <c r="AG821" s="8">
        <f t="shared" si="115"/>
        <v>701846408.88032091</v>
      </c>
      <c r="AH821" s="8">
        <f t="shared" si="116"/>
        <v>34041051.427823998</v>
      </c>
      <c r="AI821" s="8">
        <f t="shared" si="117"/>
        <v>0</v>
      </c>
    </row>
    <row r="822" spans="1:35" x14ac:dyDescent="0.55000000000000004">
      <c r="A822" s="1">
        <v>820</v>
      </c>
      <c r="B822" s="1" t="s">
        <v>20</v>
      </c>
      <c r="C822" s="1">
        <v>56</v>
      </c>
      <c r="D822" s="1">
        <v>1</v>
      </c>
      <c r="E822" s="1" t="s">
        <v>129</v>
      </c>
      <c r="F822" s="1" t="s">
        <v>130</v>
      </c>
      <c r="G822" s="1">
        <v>26</v>
      </c>
      <c r="H822" s="1">
        <v>2</v>
      </c>
      <c r="I822" s="1">
        <v>26010000</v>
      </c>
      <c r="J822" s="1">
        <v>845</v>
      </c>
      <c r="K822" s="1">
        <v>0</v>
      </c>
      <c r="L822" s="1">
        <v>14701</v>
      </c>
      <c r="M822" s="1">
        <v>14.011680999999999</v>
      </c>
      <c r="N822" s="1">
        <v>101.10615</v>
      </c>
      <c r="O822" s="1">
        <v>0.08</v>
      </c>
      <c r="P822" s="1">
        <v>0.31</v>
      </c>
      <c r="Q822" s="1">
        <v>22.43</v>
      </c>
      <c r="R822" s="1">
        <v>2.87</v>
      </c>
      <c r="S822" s="1">
        <v>0</v>
      </c>
      <c r="T822" s="1">
        <v>11.88</v>
      </c>
      <c r="U822" s="1">
        <v>11.18</v>
      </c>
      <c r="V822" s="1">
        <v>0</v>
      </c>
      <c r="W822" s="1">
        <v>0</v>
      </c>
      <c r="X822" s="1">
        <v>11561.904369</v>
      </c>
      <c r="Y822" s="1">
        <v>5469096.8871999998</v>
      </c>
      <c r="Z822" t="str">
        <f>VLOOKUP(G822,'Code Pro'!$A$2:$B$9,2,FALSE)</f>
        <v>จ.นครนายก</v>
      </c>
      <c r="AA822" s="8">
        <f t="shared" si="109"/>
        <v>437527.75097599998</v>
      </c>
      <c r="AB822" s="8">
        <f t="shared" si="110"/>
        <v>1695420.0350319999</v>
      </c>
      <c r="AC822" s="8">
        <f t="shared" si="111"/>
        <v>122671843.179896</v>
      </c>
      <c r="AD822" s="8">
        <f t="shared" si="112"/>
        <v>15696308.066264</v>
      </c>
      <c r="AE822" s="8">
        <f t="shared" si="113"/>
        <v>0</v>
      </c>
      <c r="AF822" s="8">
        <f t="shared" si="114"/>
        <v>64972871.019936003</v>
      </c>
      <c r="AG822" s="8">
        <f t="shared" si="115"/>
        <v>61144503.198895998</v>
      </c>
      <c r="AH822" s="8">
        <f t="shared" si="116"/>
        <v>0</v>
      </c>
      <c r="AI822" s="8">
        <f t="shared" si="117"/>
        <v>0</v>
      </c>
    </row>
    <row r="823" spans="1:35" x14ac:dyDescent="0.55000000000000004">
      <c r="A823" s="1">
        <v>821</v>
      </c>
      <c r="B823" s="1" t="s">
        <v>20</v>
      </c>
      <c r="C823" s="1">
        <v>56</v>
      </c>
      <c r="D823" s="1">
        <v>1</v>
      </c>
      <c r="E823" s="1" t="s">
        <v>129</v>
      </c>
      <c r="F823" s="1" t="s">
        <v>130</v>
      </c>
      <c r="G823" s="1">
        <v>26</v>
      </c>
      <c r="H823" s="1">
        <v>2</v>
      </c>
      <c r="I823" s="1">
        <v>26010000</v>
      </c>
      <c r="J823" s="1">
        <v>848</v>
      </c>
      <c r="K823" s="1">
        <v>0</v>
      </c>
      <c r="L823" s="1">
        <v>14941</v>
      </c>
      <c r="M823" s="1">
        <v>14.172943</v>
      </c>
      <c r="N823" s="1">
        <v>101.10615</v>
      </c>
      <c r="O823" s="1">
        <v>2.93</v>
      </c>
      <c r="P823" s="1">
        <v>0.04</v>
      </c>
      <c r="Q823" s="1">
        <v>0.44</v>
      </c>
      <c r="R823" s="1">
        <v>0.33</v>
      </c>
      <c r="S823" s="1">
        <v>1.77</v>
      </c>
      <c r="T823" s="1">
        <v>2.4900000000000002</v>
      </c>
      <c r="U823" s="1">
        <v>40.279998999999997</v>
      </c>
      <c r="V823" s="1">
        <v>0.06</v>
      </c>
      <c r="W823" s="1">
        <v>0</v>
      </c>
      <c r="X823" s="1">
        <v>33814.534764999997</v>
      </c>
      <c r="Y823" s="1">
        <v>47965481.813299999</v>
      </c>
      <c r="Z823" t="str">
        <f>VLOOKUP(G823,'Code Pro'!$A$2:$B$9,2,FALSE)</f>
        <v>จ.นครนายก</v>
      </c>
      <c r="AA823" s="8">
        <f t="shared" si="109"/>
        <v>140538861.71296901</v>
      </c>
      <c r="AB823" s="8">
        <f t="shared" si="110"/>
        <v>1918619.272532</v>
      </c>
      <c r="AC823" s="8">
        <f t="shared" si="111"/>
        <v>21104811.997852001</v>
      </c>
      <c r="AD823" s="8">
        <f t="shared" si="112"/>
        <v>15828608.998389</v>
      </c>
      <c r="AE823" s="8">
        <f t="shared" si="113"/>
        <v>84898902.809541002</v>
      </c>
      <c r="AF823" s="8">
        <f t="shared" si="114"/>
        <v>119434049.71511701</v>
      </c>
      <c r="AG823" s="8">
        <f t="shared" si="115"/>
        <v>1932049559.474242</v>
      </c>
      <c r="AH823" s="8">
        <f t="shared" si="116"/>
        <v>2877928.9087979998</v>
      </c>
      <c r="AI823" s="8">
        <f t="shared" si="117"/>
        <v>0</v>
      </c>
    </row>
    <row r="824" spans="1:35" x14ac:dyDescent="0.55000000000000004">
      <c r="A824" s="1">
        <v>822</v>
      </c>
      <c r="B824" s="1" t="s">
        <v>20</v>
      </c>
      <c r="C824" s="1">
        <v>56</v>
      </c>
      <c r="D824" s="1">
        <v>1</v>
      </c>
      <c r="E824" s="1" t="s">
        <v>129</v>
      </c>
      <c r="F824" s="1" t="s">
        <v>130</v>
      </c>
      <c r="G824" s="1">
        <v>26</v>
      </c>
      <c r="H824" s="1">
        <v>2</v>
      </c>
      <c r="I824" s="1">
        <v>26010000</v>
      </c>
      <c r="J824" s="1">
        <v>850</v>
      </c>
      <c r="K824" s="1">
        <v>0</v>
      </c>
      <c r="L824" s="1">
        <v>14821</v>
      </c>
      <c r="M824" s="1">
        <v>14.092331</v>
      </c>
      <c r="N824" s="1">
        <v>101.10615</v>
      </c>
      <c r="O824" s="1">
        <v>1.33</v>
      </c>
      <c r="P824" s="1">
        <v>0.89</v>
      </c>
      <c r="Q824" s="1">
        <v>0.79</v>
      </c>
      <c r="R824" s="1">
        <v>0.77</v>
      </c>
      <c r="S824" s="1">
        <v>0</v>
      </c>
      <c r="T824" s="1">
        <v>6.27</v>
      </c>
      <c r="U824" s="1">
        <v>15.94</v>
      </c>
      <c r="V824" s="1">
        <v>0</v>
      </c>
      <c r="W824" s="1">
        <v>0</v>
      </c>
      <c r="X824" s="1">
        <v>30505.115281999999</v>
      </c>
      <c r="Y824" s="1">
        <v>43612893.826099999</v>
      </c>
      <c r="Z824" t="str">
        <f>VLOOKUP(G824,'Code Pro'!$A$2:$B$9,2,FALSE)</f>
        <v>จ.นครนายก</v>
      </c>
      <c r="AA824" s="8">
        <f t="shared" si="109"/>
        <v>58005148.788713001</v>
      </c>
      <c r="AB824" s="8">
        <f t="shared" si="110"/>
        <v>38815475.505228996</v>
      </c>
      <c r="AC824" s="8">
        <f t="shared" si="111"/>
        <v>34454186.122619003</v>
      </c>
      <c r="AD824" s="8">
        <f t="shared" si="112"/>
        <v>33581928.246096998</v>
      </c>
      <c r="AE824" s="8">
        <f t="shared" si="113"/>
        <v>0</v>
      </c>
      <c r="AF824" s="8">
        <f t="shared" si="114"/>
        <v>273452844.28964698</v>
      </c>
      <c r="AG824" s="8">
        <f t="shared" si="115"/>
        <v>695189527.58803391</v>
      </c>
      <c r="AH824" s="8">
        <f t="shared" si="116"/>
        <v>0</v>
      </c>
      <c r="AI824" s="8">
        <f t="shared" si="117"/>
        <v>0</v>
      </c>
    </row>
    <row r="825" spans="1:35" x14ac:dyDescent="0.55000000000000004">
      <c r="A825" s="1">
        <v>823</v>
      </c>
      <c r="B825" s="1" t="s">
        <v>20</v>
      </c>
      <c r="C825" s="1">
        <v>56</v>
      </c>
      <c r="D825" s="1">
        <v>1</v>
      </c>
      <c r="E825" s="1" t="s">
        <v>129</v>
      </c>
      <c r="F825" s="1" t="s">
        <v>130</v>
      </c>
      <c r="G825" s="1">
        <v>26</v>
      </c>
      <c r="H825" s="1">
        <v>2</v>
      </c>
      <c r="I825" s="1">
        <v>26010000</v>
      </c>
      <c r="J825" s="1">
        <v>851</v>
      </c>
      <c r="K825" s="1">
        <v>0</v>
      </c>
      <c r="L825" s="1">
        <v>14702</v>
      </c>
      <c r="M825" s="1">
        <v>14.011680999999999</v>
      </c>
      <c r="N825" s="1">
        <v>101.189285</v>
      </c>
      <c r="O825" s="1">
        <v>0.78</v>
      </c>
      <c r="P825" s="1">
        <v>0.43</v>
      </c>
      <c r="Q825" s="1">
        <v>39.43</v>
      </c>
      <c r="R825" s="1">
        <v>0.74</v>
      </c>
      <c r="S825" s="1">
        <v>0.24</v>
      </c>
      <c r="T825" s="1">
        <v>12.11</v>
      </c>
      <c r="U825" s="1">
        <v>11.77</v>
      </c>
      <c r="V825" s="1">
        <v>0</v>
      </c>
      <c r="W825" s="1">
        <v>0</v>
      </c>
      <c r="X825" s="1">
        <v>21881.591389000001</v>
      </c>
      <c r="Y825" s="1">
        <v>23894216.989</v>
      </c>
      <c r="Z825" t="str">
        <f>VLOOKUP(G825,'Code Pro'!$A$2:$B$9,2,FALSE)</f>
        <v>จ.นครนายก</v>
      </c>
      <c r="AA825" s="8">
        <f t="shared" si="109"/>
        <v>18637489.251420002</v>
      </c>
      <c r="AB825" s="8">
        <f t="shared" si="110"/>
        <v>10274513.305269999</v>
      </c>
      <c r="AC825" s="8">
        <f t="shared" si="111"/>
        <v>942148975.87626994</v>
      </c>
      <c r="AD825" s="8">
        <f t="shared" si="112"/>
        <v>17681720.57186</v>
      </c>
      <c r="AE825" s="8">
        <f t="shared" si="113"/>
        <v>5734612.0773599995</v>
      </c>
      <c r="AF825" s="8">
        <f t="shared" si="114"/>
        <v>289358967.73679</v>
      </c>
      <c r="AG825" s="8">
        <f t="shared" si="115"/>
        <v>281234933.96052998</v>
      </c>
      <c r="AH825" s="8">
        <f t="shared" si="116"/>
        <v>0</v>
      </c>
      <c r="AI825" s="8">
        <f t="shared" si="117"/>
        <v>0</v>
      </c>
    </row>
    <row r="826" spans="1:35" x14ac:dyDescent="0.55000000000000004">
      <c r="A826" s="1">
        <v>824</v>
      </c>
      <c r="B826" s="1" t="s">
        <v>20</v>
      </c>
      <c r="C826" s="1">
        <v>56</v>
      </c>
      <c r="D826" s="1">
        <v>1</v>
      </c>
      <c r="E826" s="1" t="s">
        <v>129</v>
      </c>
      <c r="F826" s="1" t="s">
        <v>130</v>
      </c>
      <c r="G826" s="1">
        <v>26</v>
      </c>
      <c r="H826" s="1">
        <v>2</v>
      </c>
      <c r="I826" s="1">
        <v>26010000</v>
      </c>
      <c r="J826" s="1">
        <v>852</v>
      </c>
      <c r="K826" s="1">
        <v>0</v>
      </c>
      <c r="L826" s="1">
        <v>15061</v>
      </c>
      <c r="M826" s="1">
        <v>14.253532</v>
      </c>
      <c r="N826" s="1">
        <v>101.10615</v>
      </c>
      <c r="O826" s="1">
        <v>7.43</v>
      </c>
      <c r="P826" s="1">
        <v>0</v>
      </c>
      <c r="Q826" s="1">
        <v>0.23</v>
      </c>
      <c r="R826" s="1">
        <v>1.48</v>
      </c>
      <c r="S826" s="1">
        <v>0.03</v>
      </c>
      <c r="T826" s="1">
        <v>7.34</v>
      </c>
      <c r="U826" s="1">
        <v>22.290001</v>
      </c>
      <c r="V826" s="1">
        <v>0.01</v>
      </c>
      <c r="W826" s="1">
        <v>0.01</v>
      </c>
      <c r="X826" s="1">
        <v>23942.580762000001</v>
      </c>
      <c r="Y826" s="1">
        <v>16431003.554300001</v>
      </c>
      <c r="Z826" t="str">
        <f>VLOOKUP(G826,'Code Pro'!$A$2:$B$9,2,FALSE)</f>
        <v>จ.นครนายก</v>
      </c>
      <c r="AA826" s="8">
        <f t="shared" si="109"/>
        <v>122082356.40844901</v>
      </c>
      <c r="AB826" s="8">
        <f t="shared" si="110"/>
        <v>0</v>
      </c>
      <c r="AC826" s="8">
        <f t="shared" si="111"/>
        <v>3779130.8174890005</v>
      </c>
      <c r="AD826" s="8">
        <f t="shared" si="112"/>
        <v>24317885.260364</v>
      </c>
      <c r="AE826" s="8">
        <f t="shared" si="113"/>
        <v>492930.10662899999</v>
      </c>
      <c r="AF826" s="8">
        <f t="shared" si="114"/>
        <v>120603566.088562</v>
      </c>
      <c r="AG826" s="8">
        <f t="shared" si="115"/>
        <v>366247085.65635055</v>
      </c>
      <c r="AH826" s="8">
        <f t="shared" si="116"/>
        <v>164310.03554300001</v>
      </c>
      <c r="AI826" s="8">
        <f t="shared" si="117"/>
        <v>164310.03554300001</v>
      </c>
    </row>
    <row r="827" spans="1:35" x14ac:dyDescent="0.55000000000000004">
      <c r="A827" s="1">
        <v>825</v>
      </c>
      <c r="B827" s="1" t="s">
        <v>20</v>
      </c>
      <c r="C827" s="1">
        <v>56</v>
      </c>
      <c r="D827" s="1">
        <v>1</v>
      </c>
      <c r="E827" s="1" t="s">
        <v>129</v>
      </c>
      <c r="F827" s="1" t="s">
        <v>130</v>
      </c>
      <c r="G827" s="1">
        <v>26</v>
      </c>
      <c r="H827" s="1">
        <v>2</v>
      </c>
      <c r="I827" s="1">
        <v>26010000</v>
      </c>
      <c r="J827" s="1">
        <v>882</v>
      </c>
      <c r="K827" s="1">
        <v>0</v>
      </c>
      <c r="L827" s="1">
        <v>15181</v>
      </c>
      <c r="M827" s="1">
        <v>14.334099</v>
      </c>
      <c r="N827" s="1">
        <v>101.10615</v>
      </c>
      <c r="O827" s="1">
        <v>6.78</v>
      </c>
      <c r="P827" s="1">
        <v>0</v>
      </c>
      <c r="Q827" s="1">
        <v>0.56999999999999995</v>
      </c>
      <c r="R827" s="1">
        <v>0.27</v>
      </c>
      <c r="S827" s="1">
        <v>0</v>
      </c>
      <c r="T827" s="1">
        <v>17.040001</v>
      </c>
      <c r="U827" s="1">
        <v>16.129999000000002</v>
      </c>
      <c r="V827" s="1">
        <v>1.29</v>
      </c>
      <c r="W827" s="1">
        <v>3.56</v>
      </c>
      <c r="X827" s="1">
        <v>7670.2784579999998</v>
      </c>
      <c r="Y827" s="1">
        <v>1151753.1000600001</v>
      </c>
      <c r="Z827" t="str">
        <f>VLOOKUP(G827,'Code Pro'!$A$2:$B$9,2,FALSE)</f>
        <v>จ.นครนายก</v>
      </c>
      <c r="AA827" s="8">
        <f t="shared" si="109"/>
        <v>7808886.0184068009</v>
      </c>
      <c r="AB827" s="8">
        <f t="shared" si="110"/>
        <v>0</v>
      </c>
      <c r="AC827" s="8">
        <f t="shared" si="111"/>
        <v>656499.26703420002</v>
      </c>
      <c r="AD827" s="8">
        <f t="shared" si="112"/>
        <v>310973.33701620006</v>
      </c>
      <c r="AE827" s="8">
        <f t="shared" si="113"/>
        <v>0</v>
      </c>
      <c r="AF827" s="8">
        <f t="shared" si="114"/>
        <v>19625873.976775501</v>
      </c>
      <c r="AG827" s="8">
        <f t="shared" si="115"/>
        <v>18577776.352214701</v>
      </c>
      <c r="AH827" s="8">
        <f t="shared" si="116"/>
        <v>1485761.4990774002</v>
      </c>
      <c r="AI827" s="8">
        <f t="shared" si="117"/>
        <v>4100241.0362136005</v>
      </c>
    </row>
    <row r="828" spans="1:35" x14ac:dyDescent="0.55000000000000004">
      <c r="A828" s="1">
        <v>826</v>
      </c>
      <c r="B828" s="1" t="s">
        <v>20</v>
      </c>
      <c r="C828" s="1">
        <v>56</v>
      </c>
      <c r="D828" s="1">
        <v>1</v>
      </c>
      <c r="E828" s="1" t="s">
        <v>129</v>
      </c>
      <c r="F828" s="1" t="s">
        <v>130</v>
      </c>
      <c r="G828" s="1">
        <v>26</v>
      </c>
      <c r="H828" s="1">
        <v>2</v>
      </c>
      <c r="I828" s="1">
        <v>26010000</v>
      </c>
      <c r="J828" s="1">
        <v>891</v>
      </c>
      <c r="K828" s="1">
        <v>0</v>
      </c>
      <c r="L828" s="1">
        <v>14822</v>
      </c>
      <c r="M828" s="1">
        <v>14.092331</v>
      </c>
      <c r="N828" s="1">
        <v>101.189285</v>
      </c>
      <c r="O828" s="1">
        <v>2</v>
      </c>
      <c r="P828" s="1">
        <v>7.0000000000000007E-2</v>
      </c>
      <c r="Q828" s="1">
        <v>6.34</v>
      </c>
      <c r="R828" s="1">
        <v>1.91</v>
      </c>
      <c r="S828" s="1">
        <v>0.87</v>
      </c>
      <c r="T828" s="1">
        <v>2.95</v>
      </c>
      <c r="U828" s="1">
        <v>36.040000999999997</v>
      </c>
      <c r="V828" s="1">
        <v>0</v>
      </c>
      <c r="W828" s="1">
        <v>0</v>
      </c>
      <c r="X828" s="1">
        <v>33373.391737999998</v>
      </c>
      <c r="Y828" s="1">
        <v>42916982.737099998</v>
      </c>
      <c r="Z828" t="str">
        <f>VLOOKUP(G828,'Code Pro'!$A$2:$B$9,2,FALSE)</f>
        <v>จ.นครนายก</v>
      </c>
      <c r="AA828" s="8">
        <f t="shared" si="109"/>
        <v>85833965.474199995</v>
      </c>
      <c r="AB828" s="8">
        <f t="shared" si="110"/>
        <v>3004188.7915970003</v>
      </c>
      <c r="AC828" s="8">
        <f t="shared" si="111"/>
        <v>272093670.55321395</v>
      </c>
      <c r="AD828" s="8">
        <f t="shared" si="112"/>
        <v>81971437.027860999</v>
      </c>
      <c r="AE828" s="8">
        <f t="shared" si="113"/>
        <v>37337774.981276996</v>
      </c>
      <c r="AF828" s="8">
        <f t="shared" si="114"/>
        <v>126605099.07444499</v>
      </c>
      <c r="AG828" s="8">
        <f t="shared" si="115"/>
        <v>1546728100.7620666</v>
      </c>
      <c r="AH828" s="8">
        <f t="shared" si="116"/>
        <v>0</v>
      </c>
      <c r="AI828" s="8">
        <f t="shared" si="117"/>
        <v>0</v>
      </c>
    </row>
    <row r="829" spans="1:35" x14ac:dyDescent="0.55000000000000004">
      <c r="A829" s="1">
        <v>827</v>
      </c>
      <c r="B829" s="1" t="s">
        <v>20</v>
      </c>
      <c r="C829" s="1">
        <v>56</v>
      </c>
      <c r="D829" s="1">
        <v>1</v>
      </c>
      <c r="E829" s="1" t="s">
        <v>129</v>
      </c>
      <c r="F829" s="1" t="s">
        <v>130</v>
      </c>
      <c r="G829" s="1">
        <v>26</v>
      </c>
      <c r="H829" s="1">
        <v>2</v>
      </c>
      <c r="I829" s="1">
        <v>26010000</v>
      </c>
      <c r="J829" s="1">
        <v>894</v>
      </c>
      <c r="K829" s="1">
        <v>0</v>
      </c>
      <c r="L829" s="1">
        <v>14943</v>
      </c>
      <c r="M829" s="1">
        <v>14.172943</v>
      </c>
      <c r="N829" s="1">
        <v>101.27242</v>
      </c>
      <c r="O829" s="1">
        <v>1.44</v>
      </c>
      <c r="P829" s="1">
        <v>0</v>
      </c>
      <c r="Q829" s="1">
        <v>0.2</v>
      </c>
      <c r="R829" s="1">
        <v>5.63</v>
      </c>
      <c r="S829" s="1">
        <v>1.37</v>
      </c>
      <c r="T829" s="1">
        <v>12.46</v>
      </c>
      <c r="U829" s="1">
        <v>83.419998000000007</v>
      </c>
      <c r="V829" s="1">
        <v>0.57999999999999996</v>
      </c>
      <c r="W829" s="1">
        <v>0</v>
      </c>
      <c r="X829" s="1">
        <v>18702.778437000001</v>
      </c>
      <c r="Y829" s="1">
        <v>13152832.657400001</v>
      </c>
      <c r="Z829" t="str">
        <f>VLOOKUP(G829,'Code Pro'!$A$2:$B$9,2,FALSE)</f>
        <v>จ.นครนายก</v>
      </c>
      <c r="AA829" s="8">
        <f t="shared" si="109"/>
        <v>18940079.026656002</v>
      </c>
      <c r="AB829" s="8">
        <f t="shared" si="110"/>
        <v>0</v>
      </c>
      <c r="AC829" s="8">
        <f t="shared" si="111"/>
        <v>2630566.5314800004</v>
      </c>
      <c r="AD829" s="8">
        <f t="shared" si="112"/>
        <v>74050447.861162007</v>
      </c>
      <c r="AE829" s="8">
        <f t="shared" si="113"/>
        <v>18019380.740638003</v>
      </c>
      <c r="AF829" s="8">
        <f t="shared" si="114"/>
        <v>163884294.91120401</v>
      </c>
      <c r="AG829" s="8">
        <f t="shared" si="115"/>
        <v>1097209273.9746428</v>
      </c>
      <c r="AH829" s="8">
        <f t="shared" si="116"/>
        <v>7628642.941292</v>
      </c>
      <c r="AI829" s="8">
        <f t="shared" si="117"/>
        <v>0</v>
      </c>
    </row>
    <row r="830" spans="1:35" x14ac:dyDescent="0.55000000000000004">
      <c r="A830" s="1">
        <v>828</v>
      </c>
      <c r="B830" s="1" t="s">
        <v>20</v>
      </c>
      <c r="C830" s="1">
        <v>56</v>
      </c>
      <c r="D830" s="1">
        <v>1</v>
      </c>
      <c r="E830" s="1" t="s">
        <v>129</v>
      </c>
      <c r="F830" s="1" t="s">
        <v>130</v>
      </c>
      <c r="G830" s="1">
        <v>26</v>
      </c>
      <c r="H830" s="1">
        <v>2</v>
      </c>
      <c r="I830" s="1">
        <v>26010000</v>
      </c>
      <c r="J830" s="1">
        <v>895</v>
      </c>
      <c r="K830" s="1">
        <v>0</v>
      </c>
      <c r="L830" s="1">
        <v>14942</v>
      </c>
      <c r="M830" s="1">
        <v>14.172943</v>
      </c>
      <c r="N830" s="1">
        <v>101.189285</v>
      </c>
      <c r="O830" s="1">
        <v>10.01</v>
      </c>
      <c r="P830" s="1">
        <v>0.03</v>
      </c>
      <c r="Q830" s="1">
        <v>0.83</v>
      </c>
      <c r="R830" s="1">
        <v>0.78</v>
      </c>
      <c r="S830" s="1">
        <v>0.01</v>
      </c>
      <c r="T830" s="1">
        <v>2.98</v>
      </c>
      <c r="U830" s="1">
        <v>71.010002</v>
      </c>
      <c r="V830" s="1">
        <v>3.04</v>
      </c>
      <c r="W830" s="1">
        <v>0.09</v>
      </c>
      <c r="X830" s="1">
        <v>37155.074930000002</v>
      </c>
      <c r="Y830" s="1">
        <v>70696564.346100003</v>
      </c>
      <c r="Z830" t="str">
        <f>VLOOKUP(G830,'Code Pro'!$A$2:$B$9,2,FALSE)</f>
        <v>จ.นครนายก</v>
      </c>
      <c r="AA830" s="8">
        <f t="shared" si="109"/>
        <v>707672609.10446095</v>
      </c>
      <c r="AB830" s="8">
        <f t="shared" si="110"/>
        <v>2120896.9303830001</v>
      </c>
      <c r="AC830" s="8">
        <f t="shared" si="111"/>
        <v>58678148.407262996</v>
      </c>
      <c r="AD830" s="8">
        <f t="shared" si="112"/>
        <v>55143320.189958006</v>
      </c>
      <c r="AE830" s="8">
        <f t="shared" si="113"/>
        <v>706965.64346100006</v>
      </c>
      <c r="AF830" s="8">
        <f t="shared" si="114"/>
        <v>210675761.751378</v>
      </c>
      <c r="AG830" s="8">
        <f t="shared" si="115"/>
        <v>5020163175.6096897</v>
      </c>
      <c r="AH830" s="8">
        <f t="shared" si="116"/>
        <v>214917555.61214402</v>
      </c>
      <c r="AI830" s="8">
        <f t="shared" si="117"/>
        <v>6362690.7911489997</v>
      </c>
    </row>
    <row r="831" spans="1:35" x14ac:dyDescent="0.55000000000000004">
      <c r="A831" s="1">
        <v>829</v>
      </c>
      <c r="B831" s="1" t="s">
        <v>20</v>
      </c>
      <c r="C831" s="1">
        <v>56</v>
      </c>
      <c r="D831" s="1">
        <v>1</v>
      </c>
      <c r="E831" s="1" t="s">
        <v>129</v>
      </c>
      <c r="F831" s="1" t="s">
        <v>130</v>
      </c>
      <c r="G831" s="1">
        <v>26</v>
      </c>
      <c r="H831" s="1">
        <v>2</v>
      </c>
      <c r="I831" s="1">
        <v>26010000</v>
      </c>
      <c r="J831" s="1">
        <v>897</v>
      </c>
      <c r="K831" s="1">
        <v>0</v>
      </c>
      <c r="L831" s="1">
        <v>15063</v>
      </c>
      <c r="M831" s="1">
        <v>14.253532</v>
      </c>
      <c r="N831" s="1">
        <v>101.27242</v>
      </c>
      <c r="O831" s="1">
        <v>0.92</v>
      </c>
      <c r="P831" s="1">
        <v>0.05</v>
      </c>
      <c r="Q831" s="1">
        <v>1.6</v>
      </c>
      <c r="R831" s="1">
        <v>1.67</v>
      </c>
      <c r="S831" s="1">
        <v>1.53</v>
      </c>
      <c r="T831" s="1">
        <v>42.110000999999997</v>
      </c>
      <c r="U831" s="1">
        <v>41.540000999999997</v>
      </c>
      <c r="V831" s="1">
        <v>0.03</v>
      </c>
      <c r="W831" s="1">
        <v>0</v>
      </c>
      <c r="X831" s="1">
        <v>34564.269368000001</v>
      </c>
      <c r="Y831" s="1">
        <v>74873444.333900005</v>
      </c>
      <c r="Z831" t="str">
        <f>VLOOKUP(G831,'Code Pro'!$A$2:$B$9,2,FALSE)</f>
        <v>จ.นครนายก</v>
      </c>
      <c r="AA831" s="8">
        <f t="shared" si="109"/>
        <v>68883568.787188008</v>
      </c>
      <c r="AB831" s="8">
        <f t="shared" si="110"/>
        <v>3743672.2166950004</v>
      </c>
      <c r="AC831" s="8">
        <f t="shared" si="111"/>
        <v>119797510.93424001</v>
      </c>
      <c r="AD831" s="8">
        <f t="shared" si="112"/>
        <v>125038652.037613</v>
      </c>
      <c r="AE831" s="8">
        <f t="shared" si="113"/>
        <v>114556369.83086701</v>
      </c>
      <c r="AF831" s="8">
        <f t="shared" si="114"/>
        <v>3152920815.7739735</v>
      </c>
      <c r="AG831" s="8">
        <f t="shared" si="115"/>
        <v>3110242952.5036502</v>
      </c>
      <c r="AH831" s="8">
        <f t="shared" si="116"/>
        <v>2246203.330017</v>
      </c>
      <c r="AI831" s="8">
        <f t="shared" si="117"/>
        <v>0</v>
      </c>
    </row>
    <row r="832" spans="1:35" x14ac:dyDescent="0.55000000000000004">
      <c r="A832" s="1">
        <v>830</v>
      </c>
      <c r="B832" s="1" t="s">
        <v>20</v>
      </c>
      <c r="C832" s="1">
        <v>56</v>
      </c>
      <c r="D832" s="1">
        <v>1</v>
      </c>
      <c r="E832" s="1" t="s">
        <v>129</v>
      </c>
      <c r="F832" s="1" t="s">
        <v>130</v>
      </c>
      <c r="G832" s="1">
        <v>26</v>
      </c>
      <c r="H832" s="1">
        <v>2</v>
      </c>
      <c r="I832" s="1">
        <v>26010000</v>
      </c>
      <c r="J832" s="1">
        <v>898</v>
      </c>
      <c r="K832" s="1">
        <v>0</v>
      </c>
      <c r="L832" s="1">
        <v>15062</v>
      </c>
      <c r="M832" s="1">
        <v>14.253532</v>
      </c>
      <c r="N832" s="1">
        <v>101.189285</v>
      </c>
      <c r="O832" s="1">
        <v>10.02</v>
      </c>
      <c r="P832" s="1">
        <v>0.08</v>
      </c>
      <c r="Q832" s="1">
        <v>0.34</v>
      </c>
      <c r="R832" s="1">
        <v>1.96</v>
      </c>
      <c r="S832" s="1">
        <v>0.66</v>
      </c>
      <c r="T832" s="1">
        <v>19.350000000000001</v>
      </c>
      <c r="U832" s="1">
        <v>30.82</v>
      </c>
      <c r="V832" s="1">
        <v>0.05</v>
      </c>
      <c r="W832" s="1">
        <v>0.1</v>
      </c>
      <c r="X832" s="1">
        <v>35783.888311000002</v>
      </c>
      <c r="Y832" s="1">
        <v>80029625.373199999</v>
      </c>
      <c r="Z832" t="str">
        <f>VLOOKUP(G832,'Code Pro'!$A$2:$B$9,2,FALSE)</f>
        <v>จ.นครนายก</v>
      </c>
      <c r="AA832" s="8">
        <f t="shared" si="109"/>
        <v>801896846.23946393</v>
      </c>
      <c r="AB832" s="8">
        <f t="shared" si="110"/>
        <v>6402370.0298560001</v>
      </c>
      <c r="AC832" s="8">
        <f t="shared" si="111"/>
        <v>27210072.626888003</v>
      </c>
      <c r="AD832" s="8">
        <f t="shared" si="112"/>
        <v>156858065.73147199</v>
      </c>
      <c r="AE832" s="8">
        <f t="shared" si="113"/>
        <v>52819552.746312</v>
      </c>
      <c r="AF832" s="8">
        <f t="shared" si="114"/>
        <v>1548573250.97142</v>
      </c>
      <c r="AG832" s="8">
        <f t="shared" si="115"/>
        <v>2466513054.0020242</v>
      </c>
      <c r="AH832" s="8">
        <f t="shared" si="116"/>
        <v>4001481.2686600001</v>
      </c>
      <c r="AI832" s="8">
        <f t="shared" si="117"/>
        <v>8002962.5373200001</v>
      </c>
    </row>
    <row r="833" spans="1:35" x14ac:dyDescent="0.55000000000000004">
      <c r="A833" s="1">
        <v>831</v>
      </c>
      <c r="B833" s="1" t="s">
        <v>20</v>
      </c>
      <c r="C833" s="1">
        <v>56</v>
      </c>
      <c r="D833" s="1">
        <v>1</v>
      </c>
      <c r="E833" s="1" t="s">
        <v>129</v>
      </c>
      <c r="F833" s="1" t="s">
        <v>130</v>
      </c>
      <c r="G833" s="1">
        <v>26</v>
      </c>
      <c r="H833" s="1">
        <v>2</v>
      </c>
      <c r="I833" s="1">
        <v>26010000</v>
      </c>
      <c r="J833" s="1">
        <v>908</v>
      </c>
      <c r="K833" s="1">
        <v>0</v>
      </c>
      <c r="L833" s="1">
        <v>15064</v>
      </c>
      <c r="M833" s="1">
        <v>14.253532</v>
      </c>
      <c r="N833" s="1">
        <v>101.35556</v>
      </c>
      <c r="O833" s="1">
        <v>0.51</v>
      </c>
      <c r="P833" s="1">
        <v>2.38</v>
      </c>
      <c r="Q833" s="1">
        <v>1.99</v>
      </c>
      <c r="R833" s="1">
        <v>1.2</v>
      </c>
      <c r="S833" s="1">
        <v>0.44</v>
      </c>
      <c r="T833" s="1">
        <v>77.680000000000007</v>
      </c>
      <c r="U833" s="1">
        <v>12.14</v>
      </c>
      <c r="V833" s="1">
        <v>0</v>
      </c>
      <c r="W833" s="1">
        <v>0</v>
      </c>
      <c r="X833" s="1">
        <v>15520.889185</v>
      </c>
      <c r="Y833" s="1">
        <v>11549319.703600001</v>
      </c>
      <c r="Z833" t="str">
        <f>VLOOKUP(G833,'Code Pro'!$A$2:$B$9,2,FALSE)</f>
        <v>จ.นครนายก</v>
      </c>
      <c r="AA833" s="8">
        <f t="shared" si="109"/>
        <v>5890153.0488360003</v>
      </c>
      <c r="AB833" s="8">
        <f t="shared" si="110"/>
        <v>27487380.894568</v>
      </c>
      <c r="AC833" s="8">
        <f t="shared" si="111"/>
        <v>22983146.210163999</v>
      </c>
      <c r="AD833" s="8">
        <f t="shared" si="112"/>
        <v>13859183.64432</v>
      </c>
      <c r="AE833" s="8">
        <f t="shared" si="113"/>
        <v>5081700.6695840005</v>
      </c>
      <c r="AF833" s="8">
        <f t="shared" si="114"/>
        <v>897151154.57564807</v>
      </c>
      <c r="AG833" s="8">
        <f t="shared" si="115"/>
        <v>140208741.20170403</v>
      </c>
      <c r="AH833" s="8">
        <f t="shared" si="116"/>
        <v>0</v>
      </c>
      <c r="AI833" s="8">
        <f t="shared" si="117"/>
        <v>0</v>
      </c>
    </row>
    <row r="834" spans="1:35" x14ac:dyDescent="0.55000000000000004">
      <c r="A834" s="1">
        <v>832</v>
      </c>
      <c r="B834" s="1" t="s">
        <v>20</v>
      </c>
      <c r="C834" s="1">
        <v>56</v>
      </c>
      <c r="D834" s="1">
        <v>1</v>
      </c>
      <c r="E834" s="1" t="s">
        <v>129</v>
      </c>
      <c r="F834" s="1" t="s">
        <v>130</v>
      </c>
      <c r="G834" s="1">
        <v>26</v>
      </c>
      <c r="H834" s="1">
        <v>2</v>
      </c>
      <c r="I834" s="1">
        <v>26010000</v>
      </c>
      <c r="J834" s="1">
        <v>931</v>
      </c>
      <c r="K834" s="1">
        <v>0</v>
      </c>
      <c r="L834" s="1">
        <v>15183</v>
      </c>
      <c r="M834" s="1">
        <v>14.334099</v>
      </c>
      <c r="N834" s="1">
        <v>101.27242</v>
      </c>
      <c r="O834" s="1">
        <v>19.34</v>
      </c>
      <c r="P834" s="1">
        <v>0.03</v>
      </c>
      <c r="Q834" s="1">
        <v>1.17</v>
      </c>
      <c r="R834" s="1">
        <v>0.74</v>
      </c>
      <c r="S834" s="1">
        <v>17.719999000000001</v>
      </c>
      <c r="T834" s="1">
        <v>23.299999</v>
      </c>
      <c r="U834" s="1">
        <v>37.540000999999997</v>
      </c>
      <c r="V834" s="1">
        <v>0</v>
      </c>
      <c r="W834" s="1">
        <v>0</v>
      </c>
      <c r="X834" s="1">
        <v>35866.650018</v>
      </c>
      <c r="Y834" s="1">
        <v>79931589.362399995</v>
      </c>
      <c r="Z834" t="str">
        <f>VLOOKUP(G834,'Code Pro'!$A$2:$B$9,2,FALSE)</f>
        <v>จ.นครนายก</v>
      </c>
      <c r="AA834" s="8">
        <f t="shared" si="109"/>
        <v>1545876938.268816</v>
      </c>
      <c r="AB834" s="8">
        <f t="shared" si="110"/>
        <v>2397947.6808719998</v>
      </c>
      <c r="AC834" s="8">
        <f t="shared" si="111"/>
        <v>93519959.554007992</v>
      </c>
      <c r="AD834" s="8">
        <f t="shared" si="112"/>
        <v>59149376.128175996</v>
      </c>
      <c r="AE834" s="8">
        <f t="shared" si="113"/>
        <v>1416387683.5701387</v>
      </c>
      <c r="AF834" s="8">
        <f t="shared" si="114"/>
        <v>1862405952.2123306</v>
      </c>
      <c r="AG834" s="8">
        <f t="shared" si="115"/>
        <v>3000631944.5960851</v>
      </c>
      <c r="AH834" s="8">
        <f t="shared" si="116"/>
        <v>0</v>
      </c>
      <c r="AI834" s="8">
        <f t="shared" si="117"/>
        <v>0</v>
      </c>
    </row>
    <row r="835" spans="1:35" x14ac:dyDescent="0.55000000000000004">
      <c r="A835" s="1">
        <v>833</v>
      </c>
      <c r="B835" s="1" t="s">
        <v>20</v>
      </c>
      <c r="C835" s="1">
        <v>56</v>
      </c>
      <c r="D835" s="1">
        <v>1</v>
      </c>
      <c r="E835" s="1" t="s">
        <v>129</v>
      </c>
      <c r="F835" s="1" t="s">
        <v>130</v>
      </c>
      <c r="G835" s="1">
        <v>26</v>
      </c>
      <c r="H835" s="1">
        <v>2</v>
      </c>
      <c r="I835" s="1">
        <v>26010000</v>
      </c>
      <c r="J835" s="1">
        <v>932</v>
      </c>
      <c r="K835" s="1">
        <v>0</v>
      </c>
      <c r="L835" s="1">
        <v>15302</v>
      </c>
      <c r="M835" s="1">
        <v>14.414635000000001</v>
      </c>
      <c r="N835" s="1">
        <v>101.189285</v>
      </c>
      <c r="O835" s="1">
        <v>2.1800000000000002</v>
      </c>
      <c r="P835" s="1">
        <v>2.68</v>
      </c>
      <c r="Q835" s="1">
        <v>0.39</v>
      </c>
      <c r="R835" s="1">
        <v>0.01</v>
      </c>
      <c r="S835" s="1">
        <v>0.32</v>
      </c>
      <c r="T835" s="1">
        <v>48.48</v>
      </c>
      <c r="U835" s="1">
        <v>38.150002000000001</v>
      </c>
      <c r="V835" s="1">
        <v>0.01</v>
      </c>
      <c r="W835" s="1">
        <v>0</v>
      </c>
      <c r="X835" s="1">
        <v>23703.806756999998</v>
      </c>
      <c r="Y835" s="1">
        <v>17444045.883400001</v>
      </c>
      <c r="Z835" t="str">
        <f>VLOOKUP(G835,'Code Pro'!$A$2:$B$9,2,FALSE)</f>
        <v>จ.นครนายก</v>
      </c>
      <c r="AA835" s="8">
        <f t="shared" ref="AA835:AA898" si="118">+O835*$Y835</f>
        <v>38028020.025812007</v>
      </c>
      <c r="AB835" s="8">
        <f t="shared" ref="AB835:AB898" si="119">+P835*$Y835</f>
        <v>46750042.967512004</v>
      </c>
      <c r="AC835" s="8">
        <f t="shared" ref="AC835:AC898" si="120">+Q835*$Y835</f>
        <v>6803177.8945260001</v>
      </c>
      <c r="AD835" s="8">
        <f t="shared" ref="AD835:AD898" si="121">+R835*$Y835</f>
        <v>174440.45883400002</v>
      </c>
      <c r="AE835" s="8">
        <f t="shared" ref="AE835:AE898" si="122">+S835*$Y835</f>
        <v>5582094.6826880006</v>
      </c>
      <c r="AF835" s="8">
        <f t="shared" ref="AF835:AF898" si="123">+T835*$Y835</f>
        <v>845687344.42723203</v>
      </c>
      <c r="AG835" s="8">
        <f t="shared" ref="AG835:AG898" si="124">+U835*$Y835</f>
        <v>665490385.33980179</v>
      </c>
      <c r="AH835" s="8">
        <f t="shared" ref="AH835:AH898" si="125">+V835*$Y835</f>
        <v>174440.45883400002</v>
      </c>
      <c r="AI835" s="8">
        <f t="shared" ref="AI835:AI898" si="126">+W835*$Y835</f>
        <v>0</v>
      </c>
    </row>
    <row r="836" spans="1:35" x14ac:dyDescent="0.55000000000000004">
      <c r="A836" s="1">
        <v>834</v>
      </c>
      <c r="B836" s="1" t="s">
        <v>20</v>
      </c>
      <c r="C836" s="1">
        <v>56</v>
      </c>
      <c r="D836" s="1">
        <v>1</v>
      </c>
      <c r="E836" s="1" t="s">
        <v>129</v>
      </c>
      <c r="F836" s="1" t="s">
        <v>130</v>
      </c>
      <c r="G836" s="1">
        <v>26</v>
      </c>
      <c r="H836" s="1">
        <v>2</v>
      </c>
      <c r="I836" s="1">
        <v>26010000</v>
      </c>
      <c r="J836" s="1">
        <v>933</v>
      </c>
      <c r="K836" s="1">
        <v>0</v>
      </c>
      <c r="L836" s="1">
        <v>15423</v>
      </c>
      <c r="M836" s="1">
        <v>14.495139999999999</v>
      </c>
      <c r="N836" s="1">
        <v>101.27242</v>
      </c>
      <c r="O836" s="1">
        <v>18.91</v>
      </c>
      <c r="P836" s="1">
        <v>34.909999999999997</v>
      </c>
      <c r="Q836" s="1">
        <v>0.03</v>
      </c>
      <c r="R836" s="1">
        <v>1.2</v>
      </c>
      <c r="S836" s="1">
        <v>0.01</v>
      </c>
      <c r="T836" s="1">
        <v>8.2899999999999991</v>
      </c>
      <c r="U836" s="1">
        <v>2.74</v>
      </c>
      <c r="V836" s="1">
        <v>0.16</v>
      </c>
      <c r="W836" s="1">
        <v>0</v>
      </c>
      <c r="X836" s="1">
        <v>30493.630601000001</v>
      </c>
      <c r="Y836" s="1">
        <v>37353230.766199999</v>
      </c>
      <c r="Z836" t="str">
        <f>VLOOKUP(G836,'Code Pro'!$A$2:$B$9,2,FALSE)</f>
        <v>จ.นครนายก</v>
      </c>
      <c r="AA836" s="8">
        <f t="shared" si="118"/>
        <v>706349593.78884196</v>
      </c>
      <c r="AB836" s="8">
        <f t="shared" si="119"/>
        <v>1304001286.0480418</v>
      </c>
      <c r="AC836" s="8">
        <f t="shared" si="120"/>
        <v>1120596.9229859998</v>
      </c>
      <c r="AD836" s="8">
        <f t="shared" si="121"/>
        <v>44823876.919439994</v>
      </c>
      <c r="AE836" s="8">
        <f t="shared" si="122"/>
        <v>373532.30766200001</v>
      </c>
      <c r="AF836" s="8">
        <f t="shared" si="123"/>
        <v>309658283.05179793</v>
      </c>
      <c r="AG836" s="8">
        <f t="shared" si="124"/>
        <v>102347852.29938801</v>
      </c>
      <c r="AH836" s="8">
        <f t="shared" si="125"/>
        <v>5976516.9225920001</v>
      </c>
      <c r="AI836" s="8">
        <f t="shared" si="126"/>
        <v>0</v>
      </c>
    </row>
    <row r="837" spans="1:35" x14ac:dyDescent="0.55000000000000004">
      <c r="A837" s="1">
        <v>835</v>
      </c>
      <c r="B837" s="1" t="s">
        <v>20</v>
      </c>
      <c r="C837" s="1">
        <v>56</v>
      </c>
      <c r="D837" s="1">
        <v>1</v>
      </c>
      <c r="E837" s="1" t="s">
        <v>129</v>
      </c>
      <c r="F837" s="1" t="s">
        <v>130</v>
      </c>
      <c r="G837" s="1">
        <v>26</v>
      </c>
      <c r="H837" s="1">
        <v>2</v>
      </c>
      <c r="I837" s="1">
        <v>26010000</v>
      </c>
      <c r="J837" s="1">
        <v>934</v>
      </c>
      <c r="K837" s="1">
        <v>0</v>
      </c>
      <c r="L837" s="1">
        <v>15422</v>
      </c>
      <c r="M837" s="1">
        <v>14.495139999999999</v>
      </c>
      <c r="N837" s="1">
        <v>101.189285</v>
      </c>
      <c r="O837" s="1">
        <v>0.65</v>
      </c>
      <c r="P837" s="1">
        <v>12.32</v>
      </c>
      <c r="Q837" s="1">
        <v>7.0000000000000007E-2</v>
      </c>
      <c r="R837" s="1">
        <v>0</v>
      </c>
      <c r="S837" s="1">
        <v>0</v>
      </c>
      <c r="T837" s="1">
        <v>20.530000999999999</v>
      </c>
      <c r="U837" s="1">
        <v>1.36</v>
      </c>
      <c r="V837" s="1">
        <v>0</v>
      </c>
      <c r="W837" s="1">
        <v>0</v>
      </c>
      <c r="X837" s="1">
        <v>3613.196821</v>
      </c>
      <c r="Y837" s="1">
        <v>710500.19424099999</v>
      </c>
      <c r="Z837" t="str">
        <f>VLOOKUP(G837,'Code Pro'!$A$2:$B$9,2,FALSE)</f>
        <v>จ.นครนายก</v>
      </c>
      <c r="AA837" s="8">
        <f t="shared" si="118"/>
        <v>461825.12625665002</v>
      </c>
      <c r="AB837" s="8">
        <f t="shared" si="119"/>
        <v>8753362.3930491209</v>
      </c>
      <c r="AC837" s="8">
        <f t="shared" si="120"/>
        <v>49735.013596870005</v>
      </c>
      <c r="AD837" s="8">
        <f t="shared" si="121"/>
        <v>0</v>
      </c>
      <c r="AE837" s="8">
        <f t="shared" si="122"/>
        <v>0</v>
      </c>
      <c r="AF837" s="8">
        <f t="shared" si="123"/>
        <v>14586569.698267924</v>
      </c>
      <c r="AG837" s="8">
        <f t="shared" si="124"/>
        <v>966280.26416776003</v>
      </c>
      <c r="AH837" s="8">
        <f t="shared" si="125"/>
        <v>0</v>
      </c>
      <c r="AI837" s="8">
        <f t="shared" si="126"/>
        <v>0</v>
      </c>
    </row>
    <row r="838" spans="1:35" x14ac:dyDescent="0.55000000000000004">
      <c r="A838" s="1">
        <v>836</v>
      </c>
      <c r="B838" s="1" t="s">
        <v>20</v>
      </c>
      <c r="C838" s="1">
        <v>56</v>
      </c>
      <c r="D838" s="1">
        <v>1</v>
      </c>
      <c r="E838" s="1" t="s">
        <v>129</v>
      </c>
      <c r="F838" s="1" t="s">
        <v>130</v>
      </c>
      <c r="G838" s="1">
        <v>26</v>
      </c>
      <c r="H838" s="1">
        <v>2</v>
      </c>
      <c r="I838" s="1">
        <v>26010000</v>
      </c>
      <c r="J838" s="1">
        <v>935</v>
      </c>
      <c r="K838" s="1">
        <v>0</v>
      </c>
      <c r="L838" s="1">
        <v>15303</v>
      </c>
      <c r="M838" s="1">
        <v>14.414635000000001</v>
      </c>
      <c r="N838" s="1">
        <v>101.27242</v>
      </c>
      <c r="O838" s="1">
        <v>3.15</v>
      </c>
      <c r="P838" s="1">
        <v>4.17</v>
      </c>
      <c r="Q838" s="1">
        <v>0.3</v>
      </c>
      <c r="R838" s="1">
        <v>0.1</v>
      </c>
      <c r="S838" s="1">
        <v>0.88</v>
      </c>
      <c r="T838" s="1">
        <v>95.050003000000004</v>
      </c>
      <c r="U838" s="1">
        <v>35.360000999999997</v>
      </c>
      <c r="V838" s="1">
        <v>0.02</v>
      </c>
      <c r="W838" s="1">
        <v>0</v>
      </c>
      <c r="X838" s="1">
        <v>35698.316406999998</v>
      </c>
      <c r="Y838" s="1">
        <v>79886160.782600001</v>
      </c>
      <c r="Z838" t="str">
        <f>VLOOKUP(G838,'Code Pro'!$A$2:$B$9,2,FALSE)</f>
        <v>จ.นครนายก</v>
      </c>
      <c r="AA838" s="8">
        <f t="shared" si="118"/>
        <v>251641406.46518999</v>
      </c>
      <c r="AB838" s="8">
        <f t="shared" si="119"/>
        <v>333125290.46344197</v>
      </c>
      <c r="AC838" s="8">
        <f t="shared" si="120"/>
        <v>23965848.234779999</v>
      </c>
      <c r="AD838" s="8">
        <f t="shared" si="121"/>
        <v>7988616.0782600008</v>
      </c>
      <c r="AE838" s="8">
        <f t="shared" si="122"/>
        <v>70299821.488688007</v>
      </c>
      <c r="AF838" s="8">
        <f t="shared" si="123"/>
        <v>7593179822.0446129</v>
      </c>
      <c r="AG838" s="8">
        <f t="shared" si="124"/>
        <v>2824774725.1588964</v>
      </c>
      <c r="AH838" s="8">
        <f t="shared" si="125"/>
        <v>1597723.2156520002</v>
      </c>
      <c r="AI838" s="8">
        <f t="shared" si="126"/>
        <v>0</v>
      </c>
    </row>
    <row r="839" spans="1:35" x14ac:dyDescent="0.55000000000000004">
      <c r="A839" s="1">
        <v>837</v>
      </c>
      <c r="B839" s="1" t="s">
        <v>20</v>
      </c>
      <c r="C839" s="1">
        <v>56</v>
      </c>
      <c r="D839" s="1">
        <v>1</v>
      </c>
      <c r="E839" s="1" t="s">
        <v>129</v>
      </c>
      <c r="F839" s="1" t="s">
        <v>130</v>
      </c>
      <c r="G839" s="1">
        <v>26</v>
      </c>
      <c r="H839" s="1">
        <v>2</v>
      </c>
      <c r="I839" s="1">
        <v>26010000</v>
      </c>
      <c r="J839" s="1">
        <v>940</v>
      </c>
      <c r="K839" s="1">
        <v>0</v>
      </c>
      <c r="L839" s="1">
        <v>15184</v>
      </c>
      <c r="M839" s="1">
        <v>14.334099</v>
      </c>
      <c r="N839" s="1">
        <v>101.35556</v>
      </c>
      <c r="O839" s="1">
        <v>2.5</v>
      </c>
      <c r="P839" s="1">
        <v>0.24</v>
      </c>
      <c r="Q839" s="1">
        <v>5.97</v>
      </c>
      <c r="R839" s="1">
        <v>4.8099999999999996</v>
      </c>
      <c r="S839" s="1">
        <v>0.6</v>
      </c>
      <c r="T839" s="1">
        <v>67.110000999999997</v>
      </c>
      <c r="U839" s="1">
        <v>34.959999000000003</v>
      </c>
      <c r="V839" s="1">
        <v>0</v>
      </c>
      <c r="W839" s="1">
        <v>0</v>
      </c>
      <c r="X839" s="1">
        <v>38644.106146999999</v>
      </c>
      <c r="Y839" s="1">
        <v>24121067.215100002</v>
      </c>
      <c r="Z839" t="str">
        <f>VLOOKUP(G839,'Code Pro'!$A$2:$B$9,2,FALSE)</f>
        <v>จ.นครนายก</v>
      </c>
      <c r="AA839" s="8">
        <f t="shared" si="118"/>
        <v>60302668.037750006</v>
      </c>
      <c r="AB839" s="8">
        <f t="shared" si="119"/>
        <v>5789056.1316240001</v>
      </c>
      <c r="AC839" s="8">
        <f t="shared" si="120"/>
        <v>144002771.274147</v>
      </c>
      <c r="AD839" s="8">
        <f t="shared" si="121"/>
        <v>116022333.30463099</v>
      </c>
      <c r="AE839" s="8">
        <f t="shared" si="122"/>
        <v>14472640.329060001</v>
      </c>
      <c r="AF839" s="8">
        <f t="shared" si="123"/>
        <v>1618764844.9264283</v>
      </c>
      <c r="AG839" s="8">
        <f t="shared" si="124"/>
        <v>843272485.71882892</v>
      </c>
      <c r="AH839" s="8">
        <f t="shared" si="125"/>
        <v>0</v>
      </c>
      <c r="AI839" s="8">
        <f t="shared" si="126"/>
        <v>0</v>
      </c>
    </row>
    <row r="840" spans="1:35" x14ac:dyDescent="0.55000000000000004">
      <c r="A840" s="1">
        <v>838</v>
      </c>
      <c r="B840" s="1" t="s">
        <v>20</v>
      </c>
      <c r="C840" s="1">
        <v>56</v>
      </c>
      <c r="D840" s="1">
        <v>1</v>
      </c>
      <c r="E840" s="1" t="s">
        <v>129</v>
      </c>
      <c r="F840" s="1" t="s">
        <v>130</v>
      </c>
      <c r="G840" s="1">
        <v>26</v>
      </c>
      <c r="H840" s="1">
        <v>2</v>
      </c>
      <c r="I840" s="1">
        <v>26010000</v>
      </c>
      <c r="J840" s="1">
        <v>941</v>
      </c>
      <c r="K840" s="1">
        <v>0</v>
      </c>
      <c r="L840" s="1">
        <v>15304</v>
      </c>
      <c r="M840" s="1">
        <v>14.414635000000001</v>
      </c>
      <c r="N840" s="1">
        <v>101.35556</v>
      </c>
      <c r="O840" s="1">
        <v>7.89</v>
      </c>
      <c r="P840" s="1">
        <v>15.73</v>
      </c>
      <c r="Q840" s="1">
        <v>0.6</v>
      </c>
      <c r="R840" s="1">
        <v>0.52</v>
      </c>
      <c r="S840" s="1">
        <v>0.33</v>
      </c>
      <c r="T840" s="1">
        <v>81.110000999999997</v>
      </c>
      <c r="U840" s="1">
        <v>30.33</v>
      </c>
      <c r="V840" s="1">
        <v>0.04</v>
      </c>
      <c r="W840" s="1">
        <v>0</v>
      </c>
      <c r="X840" s="1">
        <v>35842.127583000001</v>
      </c>
      <c r="Y840" s="1">
        <v>69555286.837699994</v>
      </c>
      <c r="Z840" t="str">
        <f>VLOOKUP(G840,'Code Pro'!$A$2:$B$9,2,FALSE)</f>
        <v>จ.นครนายก</v>
      </c>
      <c r="AA840" s="8">
        <f t="shared" si="118"/>
        <v>548791213.14945292</v>
      </c>
      <c r="AB840" s="8">
        <f t="shared" si="119"/>
        <v>1094104661.957021</v>
      </c>
      <c r="AC840" s="8">
        <f t="shared" si="120"/>
        <v>41733172.102619998</v>
      </c>
      <c r="AD840" s="8">
        <f t="shared" si="121"/>
        <v>36168749.155603997</v>
      </c>
      <c r="AE840" s="8">
        <f t="shared" si="122"/>
        <v>22953244.656440999</v>
      </c>
      <c r="AF840" s="8">
        <f t="shared" si="123"/>
        <v>5641629384.961133</v>
      </c>
      <c r="AG840" s="8">
        <f t="shared" si="124"/>
        <v>2109611849.7874408</v>
      </c>
      <c r="AH840" s="8">
        <f t="shared" si="125"/>
        <v>2782211.4735079999</v>
      </c>
      <c r="AI840" s="8">
        <f t="shared" si="126"/>
        <v>0</v>
      </c>
    </row>
    <row r="841" spans="1:35" x14ac:dyDescent="0.55000000000000004">
      <c r="A841" s="1">
        <v>839</v>
      </c>
      <c r="B841" s="1" t="s">
        <v>20</v>
      </c>
      <c r="C841" s="1">
        <v>56</v>
      </c>
      <c r="D841" s="1">
        <v>1</v>
      </c>
      <c r="E841" s="1" t="s">
        <v>129</v>
      </c>
      <c r="F841" s="1" t="s">
        <v>130</v>
      </c>
      <c r="G841" s="1">
        <v>26</v>
      </c>
      <c r="H841" s="1">
        <v>2</v>
      </c>
      <c r="I841" s="1">
        <v>26010000</v>
      </c>
      <c r="J841" s="1">
        <v>942</v>
      </c>
      <c r="K841" s="1">
        <v>0</v>
      </c>
      <c r="L841" s="1">
        <v>15185</v>
      </c>
      <c r="M841" s="1">
        <v>14.334099</v>
      </c>
      <c r="N841" s="1">
        <v>101.4387</v>
      </c>
      <c r="O841" s="1">
        <v>4.93</v>
      </c>
      <c r="P841" s="1">
        <v>4.78</v>
      </c>
      <c r="Q841" s="1">
        <v>1.19</v>
      </c>
      <c r="R841" s="1">
        <v>0.76</v>
      </c>
      <c r="S841" s="1">
        <v>7.0000000000000007E-2</v>
      </c>
      <c r="T841" s="1">
        <v>69.760002</v>
      </c>
      <c r="U841" s="1">
        <v>12.2</v>
      </c>
      <c r="V841" s="1">
        <v>0</v>
      </c>
      <c r="W841" s="1">
        <v>0</v>
      </c>
      <c r="X841" s="1">
        <v>5022.2383300000001</v>
      </c>
      <c r="Y841" s="1">
        <v>1030570.91187</v>
      </c>
      <c r="Z841" t="str">
        <f>VLOOKUP(G841,'Code Pro'!$A$2:$B$9,2,FALSE)</f>
        <v>จ.นครนายก</v>
      </c>
      <c r="AA841" s="8">
        <f t="shared" si="118"/>
        <v>5080714.5955190994</v>
      </c>
      <c r="AB841" s="8">
        <f t="shared" si="119"/>
        <v>4926128.9587385999</v>
      </c>
      <c r="AC841" s="8">
        <f t="shared" si="120"/>
        <v>1226379.3851252999</v>
      </c>
      <c r="AD841" s="8">
        <f t="shared" si="121"/>
        <v>783233.89302119997</v>
      </c>
      <c r="AE841" s="8">
        <f t="shared" si="122"/>
        <v>72139.9638309</v>
      </c>
      <c r="AF841" s="8">
        <f t="shared" si="123"/>
        <v>71892628.873193026</v>
      </c>
      <c r="AG841" s="8">
        <f t="shared" si="124"/>
        <v>12572965.124813998</v>
      </c>
      <c r="AH841" s="8">
        <f t="shared" si="125"/>
        <v>0</v>
      </c>
      <c r="AI841" s="8">
        <f t="shared" si="126"/>
        <v>0</v>
      </c>
    </row>
    <row r="842" spans="1:35" x14ac:dyDescent="0.55000000000000004">
      <c r="A842" s="1">
        <v>840</v>
      </c>
      <c r="B842" s="1" t="s">
        <v>20</v>
      </c>
      <c r="C842" s="1">
        <v>56</v>
      </c>
      <c r="D842" s="1">
        <v>1</v>
      </c>
      <c r="E842" s="1" t="s">
        <v>129</v>
      </c>
      <c r="F842" s="1" t="s">
        <v>130</v>
      </c>
      <c r="G842" s="1">
        <v>26</v>
      </c>
      <c r="H842" s="1">
        <v>2</v>
      </c>
      <c r="I842" s="1">
        <v>26010000</v>
      </c>
      <c r="J842" s="1">
        <v>943</v>
      </c>
      <c r="K842" s="1">
        <v>0</v>
      </c>
      <c r="L842" s="1">
        <v>15305</v>
      </c>
      <c r="M842" s="1">
        <v>14.414635000000001</v>
      </c>
      <c r="N842" s="1">
        <v>101.4387</v>
      </c>
      <c r="O842" s="1">
        <v>61.259998000000003</v>
      </c>
      <c r="P842" s="1">
        <v>16.639999</v>
      </c>
      <c r="Q842" s="1">
        <v>0.26</v>
      </c>
      <c r="R842" s="1">
        <v>0.11</v>
      </c>
      <c r="S842" s="1">
        <v>0.98</v>
      </c>
      <c r="T842" s="1">
        <v>10.87</v>
      </c>
      <c r="U842" s="1">
        <v>14.23</v>
      </c>
      <c r="V842" s="1">
        <v>0</v>
      </c>
      <c r="W842" s="1">
        <v>0</v>
      </c>
      <c r="X842" s="1">
        <v>11008.494188999999</v>
      </c>
      <c r="Y842" s="1">
        <v>6625180.0224000001</v>
      </c>
      <c r="Z842" t="str">
        <f>VLOOKUP(G842,'Code Pro'!$A$2:$B$9,2,FALSE)</f>
        <v>จ.นครนายก</v>
      </c>
      <c r="AA842" s="8">
        <f t="shared" si="118"/>
        <v>405858514.92186397</v>
      </c>
      <c r="AB842" s="8">
        <f t="shared" si="119"/>
        <v>110242988.94755597</v>
      </c>
      <c r="AC842" s="8">
        <f t="shared" si="120"/>
        <v>1722546.8058240002</v>
      </c>
      <c r="AD842" s="8">
        <f t="shared" si="121"/>
        <v>728769.80246400007</v>
      </c>
      <c r="AE842" s="8">
        <f t="shared" si="122"/>
        <v>6492676.4219519999</v>
      </c>
      <c r="AF842" s="8">
        <f t="shared" si="123"/>
        <v>72015706.843487993</v>
      </c>
      <c r="AG842" s="8">
        <f t="shared" si="124"/>
        <v>94276311.718752012</v>
      </c>
      <c r="AH842" s="8">
        <f t="shared" si="125"/>
        <v>0</v>
      </c>
      <c r="AI842" s="8">
        <f t="shared" si="126"/>
        <v>0</v>
      </c>
    </row>
    <row r="843" spans="1:35" x14ac:dyDescent="0.55000000000000004">
      <c r="A843" s="1">
        <v>841</v>
      </c>
      <c r="B843" s="1" t="s">
        <v>20</v>
      </c>
      <c r="C843" s="1">
        <v>56</v>
      </c>
      <c r="D843" s="1">
        <v>1</v>
      </c>
      <c r="E843" s="1" t="s">
        <v>129</v>
      </c>
      <c r="F843" s="1" t="s">
        <v>130</v>
      </c>
      <c r="G843" s="1">
        <v>26</v>
      </c>
      <c r="H843" s="1">
        <v>2</v>
      </c>
      <c r="I843" s="1">
        <v>26010000</v>
      </c>
      <c r="J843" s="1">
        <v>945</v>
      </c>
      <c r="K843" s="1">
        <v>0</v>
      </c>
      <c r="L843" s="1">
        <v>15424</v>
      </c>
      <c r="M843" s="1">
        <v>14.495139999999999</v>
      </c>
      <c r="N843" s="1">
        <v>101.35556</v>
      </c>
      <c r="O843" s="1">
        <v>18.530000999999999</v>
      </c>
      <c r="P843" s="1">
        <v>30.34</v>
      </c>
      <c r="Q843" s="1">
        <v>0.01</v>
      </c>
      <c r="R843" s="1">
        <v>0.01</v>
      </c>
      <c r="S843" s="1">
        <v>0</v>
      </c>
      <c r="T843" s="1">
        <v>4.9800000000000004</v>
      </c>
      <c r="U843" s="1">
        <v>8.9700000000000006</v>
      </c>
      <c r="V843" s="1">
        <v>0</v>
      </c>
      <c r="W843" s="1">
        <v>0</v>
      </c>
      <c r="X843" s="1">
        <v>9457.6171329999997</v>
      </c>
      <c r="Y843" s="1">
        <v>3733250.9636599999</v>
      </c>
      <c r="Z843" t="str">
        <f>VLOOKUP(G843,'Code Pro'!$A$2:$B$9,2,FALSE)</f>
        <v>จ.นครนายก</v>
      </c>
      <c r="AA843" s="8">
        <f t="shared" si="118"/>
        <v>69177144.089870751</v>
      </c>
      <c r="AB843" s="8">
        <f t="shared" si="119"/>
        <v>113266834.2374444</v>
      </c>
      <c r="AC843" s="8">
        <f t="shared" si="120"/>
        <v>37332.5096366</v>
      </c>
      <c r="AD843" s="8">
        <f t="shared" si="121"/>
        <v>37332.5096366</v>
      </c>
      <c r="AE843" s="8">
        <f t="shared" si="122"/>
        <v>0</v>
      </c>
      <c r="AF843" s="8">
        <f t="shared" si="123"/>
        <v>18591589.799026802</v>
      </c>
      <c r="AG843" s="8">
        <f t="shared" si="124"/>
        <v>33487261.144030202</v>
      </c>
      <c r="AH843" s="8">
        <f t="shared" si="125"/>
        <v>0</v>
      </c>
      <c r="AI843" s="8">
        <f t="shared" si="126"/>
        <v>0</v>
      </c>
    </row>
    <row r="844" spans="1:35" x14ac:dyDescent="0.55000000000000004">
      <c r="A844" s="1">
        <v>842</v>
      </c>
      <c r="B844" s="1" t="s">
        <v>20</v>
      </c>
      <c r="C844" s="1">
        <v>56</v>
      </c>
      <c r="D844" s="1">
        <v>1</v>
      </c>
      <c r="E844" s="1" t="s">
        <v>129</v>
      </c>
      <c r="F844" s="1" t="s">
        <v>130</v>
      </c>
      <c r="G844" s="1">
        <v>26</v>
      </c>
      <c r="H844" s="1">
        <v>2</v>
      </c>
      <c r="I844" s="1">
        <v>26010000</v>
      </c>
      <c r="J844" s="1">
        <v>952</v>
      </c>
      <c r="K844" s="1">
        <v>0</v>
      </c>
      <c r="L844" s="1">
        <v>15182</v>
      </c>
      <c r="M844" s="1">
        <v>14.334099</v>
      </c>
      <c r="N844" s="1">
        <v>101.189285</v>
      </c>
      <c r="O844" s="1">
        <v>9.5</v>
      </c>
      <c r="P844" s="1">
        <v>0</v>
      </c>
      <c r="Q844" s="1">
        <v>0.53</v>
      </c>
      <c r="R844" s="1">
        <v>2.02</v>
      </c>
      <c r="S844" s="1">
        <v>0.21</v>
      </c>
      <c r="T844" s="1">
        <v>31.41</v>
      </c>
      <c r="U844" s="1">
        <v>20.379999000000002</v>
      </c>
      <c r="V844" s="1">
        <v>0</v>
      </c>
      <c r="W844" s="1">
        <v>0</v>
      </c>
      <c r="X844" s="1">
        <v>34999.795616000003</v>
      </c>
      <c r="Y844" s="1">
        <v>64990496.651500002</v>
      </c>
      <c r="Z844" t="str">
        <f>VLOOKUP(G844,'Code Pro'!$A$2:$B$9,2,FALSE)</f>
        <v>จ.นครนายก</v>
      </c>
      <c r="AA844" s="8">
        <f t="shared" si="118"/>
        <v>617409718.18924999</v>
      </c>
      <c r="AB844" s="8">
        <f t="shared" si="119"/>
        <v>0</v>
      </c>
      <c r="AC844" s="8">
        <f t="shared" si="120"/>
        <v>34444963.225295</v>
      </c>
      <c r="AD844" s="8">
        <f t="shared" si="121"/>
        <v>131280803.23603</v>
      </c>
      <c r="AE844" s="8">
        <f t="shared" si="122"/>
        <v>13648004.296815</v>
      </c>
      <c r="AF844" s="8">
        <f t="shared" si="123"/>
        <v>2041351499.8236151</v>
      </c>
      <c r="AG844" s="8">
        <f t="shared" si="124"/>
        <v>1324506256.7670734</v>
      </c>
      <c r="AH844" s="8">
        <f t="shared" si="125"/>
        <v>0</v>
      </c>
      <c r="AI844" s="8">
        <f t="shared" si="126"/>
        <v>0</v>
      </c>
    </row>
    <row r="845" spans="1:35" x14ac:dyDescent="0.55000000000000004">
      <c r="A845" s="1">
        <v>843</v>
      </c>
      <c r="B845" s="1" t="s">
        <v>20</v>
      </c>
      <c r="C845" s="1">
        <v>57</v>
      </c>
      <c r="D845" s="1">
        <v>2</v>
      </c>
      <c r="E845" s="1" t="s">
        <v>131</v>
      </c>
      <c r="F845" s="1" t="s">
        <v>132</v>
      </c>
      <c r="G845" s="1">
        <v>26</v>
      </c>
      <c r="H845" s="1">
        <v>2</v>
      </c>
      <c r="I845" s="1">
        <v>26020000</v>
      </c>
      <c r="J845" s="1">
        <v>851</v>
      </c>
      <c r="K845" s="1">
        <v>0</v>
      </c>
      <c r="L845" s="1">
        <v>14702</v>
      </c>
      <c r="M845" s="1">
        <v>14.011680999999999</v>
      </c>
      <c r="N845" s="1">
        <v>101.189285</v>
      </c>
      <c r="O845" s="1">
        <v>0.78</v>
      </c>
      <c r="P845" s="1">
        <v>0.43</v>
      </c>
      <c r="Q845" s="1">
        <v>39.43</v>
      </c>
      <c r="R845" s="1">
        <v>0.74</v>
      </c>
      <c r="S845" s="1">
        <v>0.24</v>
      </c>
      <c r="T845" s="1">
        <v>12.11</v>
      </c>
      <c r="U845" s="1">
        <v>11.77</v>
      </c>
      <c r="V845" s="1">
        <v>0</v>
      </c>
      <c r="W845" s="1">
        <v>0</v>
      </c>
      <c r="X845" s="1">
        <v>4658.8830170000001</v>
      </c>
      <c r="Y845" s="1">
        <v>934295.34292900003</v>
      </c>
      <c r="Z845" t="str">
        <f>VLOOKUP(G845,'Code Pro'!$A$2:$B$9,2,FALSE)</f>
        <v>จ.นครนายก</v>
      </c>
      <c r="AA845" s="8">
        <f t="shared" si="118"/>
        <v>728750.36748462007</v>
      </c>
      <c r="AB845" s="8">
        <f t="shared" si="119"/>
        <v>401746.99745947</v>
      </c>
      <c r="AC845" s="8">
        <f t="shared" si="120"/>
        <v>36839265.371690474</v>
      </c>
      <c r="AD845" s="8">
        <f t="shared" si="121"/>
        <v>691378.55376746005</v>
      </c>
      <c r="AE845" s="8">
        <f t="shared" si="122"/>
        <v>224230.88230296</v>
      </c>
      <c r="AF845" s="8">
        <f t="shared" si="123"/>
        <v>11314316.602870191</v>
      </c>
      <c r="AG845" s="8">
        <f t="shared" si="124"/>
        <v>10996656.186274329</v>
      </c>
      <c r="AH845" s="8">
        <f t="shared" si="125"/>
        <v>0</v>
      </c>
      <c r="AI845" s="8">
        <f t="shared" si="126"/>
        <v>0</v>
      </c>
    </row>
    <row r="846" spans="1:35" x14ac:dyDescent="0.55000000000000004">
      <c r="A846" s="1">
        <v>844</v>
      </c>
      <c r="B846" s="1" t="s">
        <v>20</v>
      </c>
      <c r="C846" s="1">
        <v>57</v>
      </c>
      <c r="D846" s="1">
        <v>2</v>
      </c>
      <c r="E846" s="1" t="s">
        <v>131</v>
      </c>
      <c r="F846" s="1" t="s">
        <v>132</v>
      </c>
      <c r="G846" s="1">
        <v>26</v>
      </c>
      <c r="H846" s="1">
        <v>2</v>
      </c>
      <c r="I846" s="1">
        <v>26020000</v>
      </c>
      <c r="J846" s="1">
        <v>890</v>
      </c>
      <c r="K846" s="1">
        <v>0</v>
      </c>
      <c r="L846" s="1">
        <v>14823</v>
      </c>
      <c r="M846" s="1">
        <v>14.092331</v>
      </c>
      <c r="N846" s="1">
        <v>101.27242</v>
      </c>
      <c r="O846" s="1">
        <v>0.15</v>
      </c>
      <c r="P846" s="1">
        <v>0.09</v>
      </c>
      <c r="Q846" s="1">
        <v>2.81</v>
      </c>
      <c r="R846" s="1">
        <v>0.82</v>
      </c>
      <c r="S846" s="1">
        <v>3.92</v>
      </c>
      <c r="T846" s="1">
        <v>3.65</v>
      </c>
      <c r="U846" s="1">
        <v>62.110000999999997</v>
      </c>
      <c r="V846" s="1">
        <v>0</v>
      </c>
      <c r="W846" s="1">
        <v>0</v>
      </c>
      <c r="X846" s="1">
        <v>32513.729770000002</v>
      </c>
      <c r="Y846" s="1">
        <v>64773313.809799999</v>
      </c>
      <c r="Z846" t="str">
        <f>VLOOKUP(G846,'Code Pro'!$A$2:$B$9,2,FALSE)</f>
        <v>จ.นครนายก</v>
      </c>
      <c r="AA846" s="8">
        <f t="shared" si="118"/>
        <v>9715997.0714699998</v>
      </c>
      <c r="AB846" s="8">
        <f t="shared" si="119"/>
        <v>5829598.2428819994</v>
      </c>
      <c r="AC846" s="8">
        <f t="shared" si="120"/>
        <v>182013011.805538</v>
      </c>
      <c r="AD846" s="8">
        <f t="shared" si="121"/>
        <v>53114117.324035995</v>
      </c>
      <c r="AE846" s="8">
        <f t="shared" si="122"/>
        <v>253911390.13441598</v>
      </c>
      <c r="AF846" s="8">
        <f t="shared" si="123"/>
        <v>236422595.40577</v>
      </c>
      <c r="AG846" s="8">
        <f t="shared" si="124"/>
        <v>4023070585.4999914</v>
      </c>
      <c r="AH846" s="8">
        <f t="shared" si="125"/>
        <v>0</v>
      </c>
      <c r="AI846" s="8">
        <f t="shared" si="126"/>
        <v>0</v>
      </c>
    </row>
    <row r="847" spans="1:35" x14ac:dyDescent="0.55000000000000004">
      <c r="A847" s="1">
        <v>845</v>
      </c>
      <c r="B847" s="1" t="s">
        <v>20</v>
      </c>
      <c r="C847" s="1">
        <v>57</v>
      </c>
      <c r="D847" s="1">
        <v>2</v>
      </c>
      <c r="E847" s="1" t="s">
        <v>131</v>
      </c>
      <c r="F847" s="1" t="s">
        <v>132</v>
      </c>
      <c r="G847" s="1">
        <v>26</v>
      </c>
      <c r="H847" s="1">
        <v>2</v>
      </c>
      <c r="I847" s="1">
        <v>26020000</v>
      </c>
      <c r="J847" s="1">
        <v>891</v>
      </c>
      <c r="K847" s="1">
        <v>0</v>
      </c>
      <c r="L847" s="1">
        <v>14822</v>
      </c>
      <c r="M847" s="1">
        <v>14.092331</v>
      </c>
      <c r="N847" s="1">
        <v>101.189285</v>
      </c>
      <c r="O847" s="1">
        <v>2</v>
      </c>
      <c r="P847" s="1">
        <v>7.0000000000000007E-2</v>
      </c>
      <c r="Q847" s="1">
        <v>6.34</v>
      </c>
      <c r="R847" s="1">
        <v>1.91</v>
      </c>
      <c r="S847" s="1">
        <v>0.87</v>
      </c>
      <c r="T847" s="1">
        <v>2.95</v>
      </c>
      <c r="U847" s="1">
        <v>36.040000999999997</v>
      </c>
      <c r="V847" s="1">
        <v>0</v>
      </c>
      <c r="W847" s="1">
        <v>0</v>
      </c>
      <c r="X847" s="1">
        <v>30423.454461000001</v>
      </c>
      <c r="Y847" s="1">
        <v>36775148.301399998</v>
      </c>
      <c r="Z847" t="str">
        <f>VLOOKUP(G847,'Code Pro'!$A$2:$B$9,2,FALSE)</f>
        <v>จ.นครนายก</v>
      </c>
      <c r="AA847" s="8">
        <f t="shared" si="118"/>
        <v>73550296.602799997</v>
      </c>
      <c r="AB847" s="8">
        <f t="shared" si="119"/>
        <v>2574260.3810980003</v>
      </c>
      <c r="AC847" s="8">
        <f t="shared" si="120"/>
        <v>233154440.230876</v>
      </c>
      <c r="AD847" s="8">
        <f t="shared" si="121"/>
        <v>70240533.25567399</v>
      </c>
      <c r="AE847" s="8">
        <f t="shared" si="122"/>
        <v>31994379.022218</v>
      </c>
      <c r="AF847" s="8">
        <f t="shared" si="123"/>
        <v>108486687.48913001</v>
      </c>
      <c r="AG847" s="8">
        <f t="shared" si="124"/>
        <v>1325376381.5576041</v>
      </c>
      <c r="AH847" s="8">
        <f t="shared" si="125"/>
        <v>0</v>
      </c>
      <c r="AI847" s="8">
        <f t="shared" si="126"/>
        <v>0</v>
      </c>
    </row>
    <row r="848" spans="1:35" x14ac:dyDescent="0.55000000000000004">
      <c r="A848" s="1">
        <v>846</v>
      </c>
      <c r="B848" s="1" t="s">
        <v>20</v>
      </c>
      <c r="C848" s="1">
        <v>57</v>
      </c>
      <c r="D848" s="1">
        <v>2</v>
      </c>
      <c r="E848" s="1" t="s">
        <v>131</v>
      </c>
      <c r="F848" s="1" t="s">
        <v>132</v>
      </c>
      <c r="G848" s="1">
        <v>26</v>
      </c>
      <c r="H848" s="1">
        <v>2</v>
      </c>
      <c r="I848" s="1">
        <v>26020000</v>
      </c>
      <c r="J848" s="1">
        <v>894</v>
      </c>
      <c r="K848" s="1">
        <v>0</v>
      </c>
      <c r="L848" s="1">
        <v>14943</v>
      </c>
      <c r="M848" s="1">
        <v>14.172943</v>
      </c>
      <c r="N848" s="1">
        <v>101.27242</v>
      </c>
      <c r="O848" s="1">
        <v>1.44</v>
      </c>
      <c r="P848" s="1">
        <v>0</v>
      </c>
      <c r="Q848" s="1">
        <v>0.2</v>
      </c>
      <c r="R848" s="1">
        <v>5.63</v>
      </c>
      <c r="S848" s="1">
        <v>1.37</v>
      </c>
      <c r="T848" s="1">
        <v>12.46</v>
      </c>
      <c r="U848" s="1">
        <v>83.419998000000007</v>
      </c>
      <c r="V848" s="1">
        <v>0.57999999999999996</v>
      </c>
      <c r="W848" s="1">
        <v>0</v>
      </c>
      <c r="X848" s="1">
        <v>33813.315836000002</v>
      </c>
      <c r="Y848" s="1">
        <v>58498408.573600002</v>
      </c>
      <c r="Z848" t="str">
        <f>VLOOKUP(G848,'Code Pro'!$A$2:$B$9,2,FALSE)</f>
        <v>จ.นครนายก</v>
      </c>
      <c r="AA848" s="8">
        <f t="shared" si="118"/>
        <v>84237708.345983997</v>
      </c>
      <c r="AB848" s="8">
        <f t="shared" si="119"/>
        <v>0</v>
      </c>
      <c r="AC848" s="8">
        <f t="shared" si="120"/>
        <v>11699681.714720001</v>
      </c>
      <c r="AD848" s="8">
        <f t="shared" si="121"/>
        <v>329346040.26936799</v>
      </c>
      <c r="AE848" s="8">
        <f t="shared" si="122"/>
        <v>80142819.745832011</v>
      </c>
      <c r="AF848" s="8">
        <f t="shared" si="123"/>
        <v>728890170.82705605</v>
      </c>
      <c r="AG848" s="8">
        <f t="shared" si="124"/>
        <v>4879937126.2128954</v>
      </c>
      <c r="AH848" s="8">
        <f t="shared" si="125"/>
        <v>33929076.972687997</v>
      </c>
      <c r="AI848" s="8">
        <f t="shared" si="126"/>
        <v>0</v>
      </c>
    </row>
    <row r="849" spans="1:35" x14ac:dyDescent="0.55000000000000004">
      <c r="A849" s="1">
        <v>847</v>
      </c>
      <c r="B849" s="1" t="s">
        <v>20</v>
      </c>
      <c r="C849" s="1">
        <v>57</v>
      </c>
      <c r="D849" s="1">
        <v>2</v>
      </c>
      <c r="E849" s="1" t="s">
        <v>131</v>
      </c>
      <c r="F849" s="1" t="s">
        <v>132</v>
      </c>
      <c r="G849" s="1">
        <v>26</v>
      </c>
      <c r="H849" s="1">
        <v>2</v>
      </c>
      <c r="I849" s="1">
        <v>26020000</v>
      </c>
      <c r="J849" s="1">
        <v>895</v>
      </c>
      <c r="K849" s="1">
        <v>0</v>
      </c>
      <c r="L849" s="1">
        <v>14942</v>
      </c>
      <c r="M849" s="1">
        <v>14.172943</v>
      </c>
      <c r="N849" s="1">
        <v>101.189285</v>
      </c>
      <c r="O849" s="1">
        <v>10.01</v>
      </c>
      <c r="P849" s="1">
        <v>0.03</v>
      </c>
      <c r="Q849" s="1">
        <v>0.83</v>
      </c>
      <c r="R849" s="1">
        <v>0.78</v>
      </c>
      <c r="S849" s="1">
        <v>0.01</v>
      </c>
      <c r="T849" s="1">
        <v>2.98</v>
      </c>
      <c r="U849" s="1">
        <v>71.010002</v>
      </c>
      <c r="V849" s="1">
        <v>3.04</v>
      </c>
      <c r="W849" s="1">
        <v>0.09</v>
      </c>
      <c r="X849" s="1">
        <v>20141.085572</v>
      </c>
      <c r="Y849" s="1">
        <v>9383293.2608499993</v>
      </c>
      <c r="Z849" t="str">
        <f>VLOOKUP(G849,'Code Pro'!$A$2:$B$9,2,FALSE)</f>
        <v>จ.นครนายก</v>
      </c>
      <c r="AA849" s="8">
        <f t="shared" si="118"/>
        <v>93926765.541108489</v>
      </c>
      <c r="AB849" s="8">
        <f t="shared" si="119"/>
        <v>281498.79782549996</v>
      </c>
      <c r="AC849" s="8">
        <f t="shared" si="120"/>
        <v>7788133.406505499</v>
      </c>
      <c r="AD849" s="8">
        <f t="shared" si="121"/>
        <v>7318968.7434629994</v>
      </c>
      <c r="AE849" s="8">
        <f t="shared" si="122"/>
        <v>93832.932608499992</v>
      </c>
      <c r="AF849" s="8">
        <f t="shared" si="123"/>
        <v>27962213.917332999</v>
      </c>
      <c r="AG849" s="8">
        <f t="shared" si="124"/>
        <v>666307673.21954501</v>
      </c>
      <c r="AH849" s="8">
        <f t="shared" si="125"/>
        <v>28525211.512983996</v>
      </c>
      <c r="AI849" s="8">
        <f t="shared" si="126"/>
        <v>844496.39347649994</v>
      </c>
    </row>
    <row r="850" spans="1:35" x14ac:dyDescent="0.55000000000000004">
      <c r="A850" s="1">
        <v>848</v>
      </c>
      <c r="B850" s="1" t="s">
        <v>20</v>
      </c>
      <c r="C850" s="1">
        <v>57</v>
      </c>
      <c r="D850" s="1">
        <v>2</v>
      </c>
      <c r="E850" s="1" t="s">
        <v>131</v>
      </c>
      <c r="F850" s="1" t="s">
        <v>132</v>
      </c>
      <c r="G850" s="1">
        <v>26</v>
      </c>
      <c r="H850" s="1">
        <v>2</v>
      </c>
      <c r="I850" s="1">
        <v>26020000</v>
      </c>
      <c r="J850" s="1">
        <v>897</v>
      </c>
      <c r="K850" s="1">
        <v>0</v>
      </c>
      <c r="L850" s="1">
        <v>15063</v>
      </c>
      <c r="M850" s="1">
        <v>14.253532</v>
      </c>
      <c r="N850" s="1">
        <v>101.27242</v>
      </c>
      <c r="O850" s="1">
        <v>0.92</v>
      </c>
      <c r="P850" s="1">
        <v>0.05</v>
      </c>
      <c r="Q850" s="1">
        <v>1.6</v>
      </c>
      <c r="R850" s="1">
        <v>1.67</v>
      </c>
      <c r="S850" s="1">
        <v>1.53</v>
      </c>
      <c r="T850" s="1">
        <v>42.110000999999997</v>
      </c>
      <c r="U850" s="1">
        <v>41.540000999999997</v>
      </c>
      <c r="V850" s="1">
        <v>0.03</v>
      </c>
      <c r="W850" s="1">
        <v>0</v>
      </c>
      <c r="X850" s="1">
        <v>10200.969273999999</v>
      </c>
      <c r="Y850" s="1">
        <v>5167140.2443199996</v>
      </c>
      <c r="Z850" t="str">
        <f>VLOOKUP(G850,'Code Pro'!$A$2:$B$9,2,FALSE)</f>
        <v>จ.นครนายก</v>
      </c>
      <c r="AA850" s="8">
        <f t="shared" si="118"/>
        <v>4753769.0247743996</v>
      </c>
      <c r="AB850" s="8">
        <f t="shared" si="119"/>
        <v>258357.012216</v>
      </c>
      <c r="AC850" s="8">
        <f t="shared" si="120"/>
        <v>8267424.3909120001</v>
      </c>
      <c r="AD850" s="8">
        <f t="shared" si="121"/>
        <v>8629124.2080143988</v>
      </c>
      <c r="AE850" s="8">
        <f t="shared" si="122"/>
        <v>7905724.5738095995</v>
      </c>
      <c r="AF850" s="8">
        <f t="shared" si="123"/>
        <v>217588280.8554554</v>
      </c>
      <c r="AG850" s="8">
        <f t="shared" si="124"/>
        <v>214643010.91619301</v>
      </c>
      <c r="AH850" s="8">
        <f t="shared" si="125"/>
        <v>155014.20732959997</v>
      </c>
      <c r="AI850" s="8">
        <f t="shared" si="126"/>
        <v>0</v>
      </c>
    </row>
    <row r="851" spans="1:35" x14ac:dyDescent="0.55000000000000004">
      <c r="A851" s="1">
        <v>849</v>
      </c>
      <c r="B851" s="1" t="s">
        <v>20</v>
      </c>
      <c r="C851" s="1">
        <v>57</v>
      </c>
      <c r="D851" s="1">
        <v>2</v>
      </c>
      <c r="E851" s="1" t="s">
        <v>131</v>
      </c>
      <c r="F851" s="1" t="s">
        <v>132</v>
      </c>
      <c r="G851" s="1">
        <v>26</v>
      </c>
      <c r="H851" s="1">
        <v>2</v>
      </c>
      <c r="I851" s="1">
        <v>26020000</v>
      </c>
      <c r="J851" s="1">
        <v>901</v>
      </c>
      <c r="K851" s="1">
        <v>0</v>
      </c>
      <c r="L851" s="1">
        <v>14824</v>
      </c>
      <c r="M851" s="1">
        <v>14.092331</v>
      </c>
      <c r="N851" s="1">
        <v>101.35556</v>
      </c>
      <c r="O851" s="1">
        <v>0.1</v>
      </c>
      <c r="P851" s="1">
        <v>7.0000000000000007E-2</v>
      </c>
      <c r="Q851" s="1">
        <v>0.44</v>
      </c>
      <c r="R851" s="1">
        <v>0.75</v>
      </c>
      <c r="S851" s="1">
        <v>1.9</v>
      </c>
      <c r="T851" s="1">
        <v>5.47</v>
      </c>
      <c r="U851" s="1">
        <v>11.5</v>
      </c>
      <c r="V851" s="1">
        <v>0</v>
      </c>
      <c r="W851" s="1">
        <v>0</v>
      </c>
      <c r="X851" s="1">
        <v>4089.2934740000001</v>
      </c>
      <c r="Y851" s="1">
        <v>753270.68204600003</v>
      </c>
      <c r="Z851" t="str">
        <f>VLOOKUP(G851,'Code Pro'!$A$2:$B$9,2,FALSE)</f>
        <v>จ.นครนายก</v>
      </c>
      <c r="AA851" s="8">
        <f t="shared" si="118"/>
        <v>75327.0682046</v>
      </c>
      <c r="AB851" s="8">
        <f t="shared" si="119"/>
        <v>52728.947743220007</v>
      </c>
      <c r="AC851" s="8">
        <f t="shared" si="120"/>
        <v>331439.10010024003</v>
      </c>
      <c r="AD851" s="8">
        <f t="shared" si="121"/>
        <v>564953.01153450005</v>
      </c>
      <c r="AE851" s="8">
        <f t="shared" si="122"/>
        <v>1431214.2958873999</v>
      </c>
      <c r="AF851" s="8">
        <f t="shared" si="123"/>
        <v>4120390.6307916199</v>
      </c>
      <c r="AG851" s="8">
        <f t="shared" si="124"/>
        <v>8662612.8435290009</v>
      </c>
      <c r="AH851" s="8">
        <f t="shared" si="125"/>
        <v>0</v>
      </c>
      <c r="AI851" s="8">
        <f t="shared" si="126"/>
        <v>0</v>
      </c>
    </row>
    <row r="852" spans="1:35" x14ac:dyDescent="0.55000000000000004">
      <c r="A852" s="1">
        <v>850</v>
      </c>
      <c r="B852" s="1" t="s">
        <v>20</v>
      </c>
      <c r="C852" s="1">
        <v>57</v>
      </c>
      <c r="D852" s="1">
        <v>2</v>
      </c>
      <c r="E852" s="1" t="s">
        <v>131</v>
      </c>
      <c r="F852" s="1" t="s">
        <v>132</v>
      </c>
      <c r="G852" s="1">
        <v>26</v>
      </c>
      <c r="H852" s="1">
        <v>2</v>
      </c>
      <c r="I852" s="1">
        <v>26020000</v>
      </c>
      <c r="J852" s="1">
        <v>905</v>
      </c>
      <c r="K852" s="1">
        <v>0</v>
      </c>
      <c r="L852" s="1">
        <v>14944</v>
      </c>
      <c r="M852" s="1">
        <v>14.172943</v>
      </c>
      <c r="N852" s="1">
        <v>101.35556</v>
      </c>
      <c r="O852" s="1">
        <v>7.38</v>
      </c>
      <c r="P852" s="1">
        <v>0.03</v>
      </c>
      <c r="Q852" s="1">
        <v>0.49</v>
      </c>
      <c r="R852" s="1">
        <v>0.27</v>
      </c>
      <c r="S852" s="1">
        <v>2.74</v>
      </c>
      <c r="T852" s="1">
        <v>48.040000999999997</v>
      </c>
      <c r="U852" s="1">
        <v>62.509998000000003</v>
      </c>
      <c r="V852" s="1">
        <v>0</v>
      </c>
      <c r="W852" s="1">
        <v>0</v>
      </c>
      <c r="X852" s="1">
        <v>22650.222301999998</v>
      </c>
      <c r="Y852" s="1">
        <v>16213441.129699999</v>
      </c>
      <c r="Z852" t="str">
        <f>VLOOKUP(G852,'Code Pro'!$A$2:$B$9,2,FALSE)</f>
        <v>จ.นครนายก</v>
      </c>
      <c r="AA852" s="8">
        <f t="shared" si="118"/>
        <v>119655195.537186</v>
      </c>
      <c r="AB852" s="8">
        <f t="shared" si="119"/>
        <v>486403.23389099998</v>
      </c>
      <c r="AC852" s="8">
        <f t="shared" si="120"/>
        <v>7944586.1535529997</v>
      </c>
      <c r="AD852" s="8">
        <f t="shared" si="121"/>
        <v>4377629.1050190004</v>
      </c>
      <c r="AE852" s="8">
        <f t="shared" si="122"/>
        <v>44424828.695378006</v>
      </c>
      <c r="AF852" s="8">
        <f t="shared" si="123"/>
        <v>778893728.08422899</v>
      </c>
      <c r="AG852" s="8">
        <f t="shared" si="124"/>
        <v>1013502172.5906647</v>
      </c>
      <c r="AH852" s="8">
        <f t="shared" si="125"/>
        <v>0</v>
      </c>
      <c r="AI852" s="8">
        <f t="shared" si="126"/>
        <v>0</v>
      </c>
    </row>
    <row r="853" spans="1:35" x14ac:dyDescent="0.55000000000000004">
      <c r="A853" s="1">
        <v>851</v>
      </c>
      <c r="B853" s="1" t="s">
        <v>20</v>
      </c>
      <c r="C853" s="1">
        <v>57</v>
      </c>
      <c r="D853" s="1">
        <v>2</v>
      </c>
      <c r="E853" s="1" t="s">
        <v>131</v>
      </c>
      <c r="F853" s="1" t="s">
        <v>132</v>
      </c>
      <c r="G853" s="1">
        <v>26</v>
      </c>
      <c r="H853" s="1">
        <v>2</v>
      </c>
      <c r="I853" s="1">
        <v>26020000</v>
      </c>
      <c r="J853" s="1">
        <v>907</v>
      </c>
      <c r="K853" s="1">
        <v>0</v>
      </c>
      <c r="L853" s="1">
        <v>15065</v>
      </c>
      <c r="M853" s="1">
        <v>14.253532</v>
      </c>
      <c r="N853" s="1">
        <v>101.4387</v>
      </c>
      <c r="O853" s="1">
        <v>3.54</v>
      </c>
      <c r="P853" s="1">
        <v>0.44</v>
      </c>
      <c r="Q853" s="1">
        <v>2.02</v>
      </c>
      <c r="R853" s="1">
        <v>1.9</v>
      </c>
      <c r="S853" s="1">
        <v>3</v>
      </c>
      <c r="T853" s="1">
        <v>59.029998999999997</v>
      </c>
      <c r="U853" s="1">
        <v>4.5</v>
      </c>
      <c r="V853" s="1">
        <v>0</v>
      </c>
      <c r="W853" s="1">
        <v>0</v>
      </c>
      <c r="X853" s="1">
        <v>25035.065363000002</v>
      </c>
      <c r="Y853" s="1">
        <v>34858260.4912</v>
      </c>
      <c r="Z853" t="str">
        <f>VLOOKUP(G853,'Code Pro'!$A$2:$B$9,2,FALSE)</f>
        <v>จ.นครนายก</v>
      </c>
      <c r="AA853" s="8">
        <f t="shared" si="118"/>
        <v>123398242.13884801</v>
      </c>
      <c r="AB853" s="8">
        <f t="shared" si="119"/>
        <v>15337634.616127999</v>
      </c>
      <c r="AC853" s="8">
        <f t="shared" si="120"/>
        <v>70413686.192223996</v>
      </c>
      <c r="AD853" s="8">
        <f t="shared" si="121"/>
        <v>66230694.933279999</v>
      </c>
      <c r="AE853" s="8">
        <f t="shared" si="122"/>
        <v>104574781.4736</v>
      </c>
      <c r="AF853" s="8">
        <f t="shared" si="123"/>
        <v>2057683081.9372754</v>
      </c>
      <c r="AG853" s="8">
        <f t="shared" si="124"/>
        <v>156862172.21039999</v>
      </c>
      <c r="AH853" s="8">
        <f t="shared" si="125"/>
        <v>0</v>
      </c>
      <c r="AI853" s="8">
        <f t="shared" si="126"/>
        <v>0</v>
      </c>
    </row>
    <row r="854" spans="1:35" x14ac:dyDescent="0.55000000000000004">
      <c r="A854" s="1">
        <v>852</v>
      </c>
      <c r="B854" s="1" t="s">
        <v>20</v>
      </c>
      <c r="C854" s="1">
        <v>57</v>
      </c>
      <c r="D854" s="1">
        <v>2</v>
      </c>
      <c r="E854" s="1" t="s">
        <v>131</v>
      </c>
      <c r="F854" s="1" t="s">
        <v>132</v>
      </c>
      <c r="G854" s="1">
        <v>26</v>
      </c>
      <c r="H854" s="1">
        <v>2</v>
      </c>
      <c r="I854" s="1">
        <v>26020000</v>
      </c>
      <c r="J854" s="1">
        <v>908</v>
      </c>
      <c r="K854" s="1">
        <v>0</v>
      </c>
      <c r="L854" s="1">
        <v>15064</v>
      </c>
      <c r="M854" s="1">
        <v>14.253532</v>
      </c>
      <c r="N854" s="1">
        <v>101.35556</v>
      </c>
      <c r="O854" s="1">
        <v>0.51</v>
      </c>
      <c r="P854" s="1">
        <v>2.38</v>
      </c>
      <c r="Q854" s="1">
        <v>1.99</v>
      </c>
      <c r="R854" s="1">
        <v>1.2</v>
      </c>
      <c r="S854" s="1">
        <v>0.44</v>
      </c>
      <c r="T854" s="1">
        <v>77.680000000000007</v>
      </c>
      <c r="U854" s="1">
        <v>12.14</v>
      </c>
      <c r="V854" s="1">
        <v>0</v>
      </c>
      <c r="W854" s="1">
        <v>0</v>
      </c>
      <c r="X854" s="1">
        <v>36684.498080999998</v>
      </c>
      <c r="Y854" s="1">
        <v>57785539.3182</v>
      </c>
      <c r="Z854" t="str">
        <f>VLOOKUP(G854,'Code Pro'!$A$2:$B$9,2,FALSE)</f>
        <v>จ.นครนายก</v>
      </c>
      <c r="AA854" s="8">
        <f t="shared" si="118"/>
        <v>29470625.052282002</v>
      </c>
      <c r="AB854" s="8">
        <f t="shared" si="119"/>
        <v>137529583.57731599</v>
      </c>
      <c r="AC854" s="8">
        <f t="shared" si="120"/>
        <v>114993223.243218</v>
      </c>
      <c r="AD854" s="8">
        <f t="shared" si="121"/>
        <v>69342647.181840003</v>
      </c>
      <c r="AE854" s="8">
        <f t="shared" si="122"/>
        <v>25425637.300007999</v>
      </c>
      <c r="AF854" s="8">
        <f t="shared" si="123"/>
        <v>4488780694.2377768</v>
      </c>
      <c r="AG854" s="8">
        <f t="shared" si="124"/>
        <v>701516447.32294798</v>
      </c>
      <c r="AH854" s="8">
        <f t="shared" si="125"/>
        <v>0</v>
      </c>
      <c r="AI854" s="8">
        <f t="shared" si="126"/>
        <v>0</v>
      </c>
    </row>
    <row r="855" spans="1:35" x14ac:dyDescent="0.55000000000000004">
      <c r="A855" s="1">
        <v>853</v>
      </c>
      <c r="B855" s="1" t="s">
        <v>20</v>
      </c>
      <c r="C855" s="1">
        <v>57</v>
      </c>
      <c r="D855" s="1">
        <v>2</v>
      </c>
      <c r="E855" s="1" t="s">
        <v>131</v>
      </c>
      <c r="F855" s="1" t="s">
        <v>132</v>
      </c>
      <c r="G855" s="1">
        <v>26</v>
      </c>
      <c r="H855" s="1">
        <v>2</v>
      </c>
      <c r="I855" s="1">
        <v>26020000</v>
      </c>
      <c r="J855" s="1">
        <v>922</v>
      </c>
      <c r="K855" s="1">
        <v>0</v>
      </c>
      <c r="L855" s="1">
        <v>15066</v>
      </c>
      <c r="M855" s="1">
        <v>14.253532</v>
      </c>
      <c r="N855" s="1">
        <v>101.52182999999999</v>
      </c>
      <c r="O855" s="1">
        <v>0.17</v>
      </c>
      <c r="P855" s="1">
        <v>0.93</v>
      </c>
      <c r="Q855" s="1">
        <v>1.67</v>
      </c>
      <c r="R855" s="1">
        <v>0.92</v>
      </c>
      <c r="S855" s="1">
        <v>0.36</v>
      </c>
      <c r="T855" s="1">
        <v>93.400002000000001</v>
      </c>
      <c r="U855" s="1">
        <v>16.280000999999999</v>
      </c>
      <c r="V855" s="1">
        <v>0</v>
      </c>
      <c r="W855" s="1">
        <v>0</v>
      </c>
      <c r="X855" s="1">
        <v>10374.983111</v>
      </c>
      <c r="Y855" s="1">
        <v>6491399.2869899999</v>
      </c>
      <c r="Z855" t="str">
        <f>VLOOKUP(G855,'Code Pro'!$A$2:$B$9,2,FALSE)</f>
        <v>จ.นครนายก</v>
      </c>
      <c r="AA855" s="8">
        <f t="shared" si="118"/>
        <v>1103537.8787883001</v>
      </c>
      <c r="AB855" s="8">
        <f t="shared" si="119"/>
        <v>6037001.3369006999</v>
      </c>
      <c r="AC855" s="8">
        <f t="shared" si="120"/>
        <v>10840636.809273299</v>
      </c>
      <c r="AD855" s="8">
        <f t="shared" si="121"/>
        <v>5972087.3440308003</v>
      </c>
      <c r="AE855" s="8">
        <f t="shared" si="122"/>
        <v>2336903.7433163999</v>
      </c>
      <c r="AF855" s="8">
        <f t="shared" si="123"/>
        <v>606296706.38766456</v>
      </c>
      <c r="AG855" s="8">
        <f t="shared" si="124"/>
        <v>105679986.88359648</v>
      </c>
      <c r="AH855" s="8">
        <f t="shared" si="125"/>
        <v>0</v>
      </c>
      <c r="AI855" s="8">
        <f t="shared" si="126"/>
        <v>0</v>
      </c>
    </row>
    <row r="856" spans="1:35" x14ac:dyDescent="0.55000000000000004">
      <c r="A856" s="1">
        <v>854</v>
      </c>
      <c r="B856" s="1" t="s">
        <v>20</v>
      </c>
      <c r="C856" s="1">
        <v>57</v>
      </c>
      <c r="D856" s="1">
        <v>2</v>
      </c>
      <c r="E856" s="1" t="s">
        <v>131</v>
      </c>
      <c r="F856" s="1" t="s">
        <v>132</v>
      </c>
      <c r="G856" s="1">
        <v>26</v>
      </c>
      <c r="H856" s="1">
        <v>2</v>
      </c>
      <c r="I856" s="1">
        <v>26020000</v>
      </c>
      <c r="J856" s="1">
        <v>931</v>
      </c>
      <c r="K856" s="1">
        <v>0</v>
      </c>
      <c r="L856" s="1">
        <v>15183</v>
      </c>
      <c r="M856" s="1">
        <v>14.334099</v>
      </c>
      <c r="N856" s="1">
        <v>101.27242</v>
      </c>
      <c r="O856" s="1">
        <v>19.34</v>
      </c>
      <c r="P856" s="1">
        <v>0.03</v>
      </c>
      <c r="Q856" s="1">
        <v>1.17</v>
      </c>
      <c r="R856" s="1">
        <v>0.74</v>
      </c>
      <c r="S856" s="1">
        <v>17.719999000000001</v>
      </c>
      <c r="T856" s="1">
        <v>23.299999</v>
      </c>
      <c r="U856" s="1">
        <v>37.540000999999997</v>
      </c>
      <c r="V856" s="1">
        <v>0</v>
      </c>
      <c r="W856" s="1">
        <v>0</v>
      </c>
      <c r="X856" s="1">
        <v>1311.0018250000001</v>
      </c>
      <c r="Y856" s="1">
        <v>54646.680939999998</v>
      </c>
      <c r="Z856" t="str">
        <f>VLOOKUP(G856,'Code Pro'!$A$2:$B$9,2,FALSE)</f>
        <v>จ.นครนายก</v>
      </c>
      <c r="AA856" s="8">
        <f t="shared" si="118"/>
        <v>1056866.8093796</v>
      </c>
      <c r="AB856" s="8">
        <f t="shared" si="119"/>
        <v>1639.4004281999999</v>
      </c>
      <c r="AC856" s="8">
        <f t="shared" si="120"/>
        <v>63936.616699799997</v>
      </c>
      <c r="AD856" s="8">
        <f t="shared" si="121"/>
        <v>40438.5438956</v>
      </c>
      <c r="AE856" s="8">
        <f t="shared" si="122"/>
        <v>968339.13161011913</v>
      </c>
      <c r="AF856" s="8">
        <f t="shared" si="123"/>
        <v>1273267.6112553191</v>
      </c>
      <c r="AG856" s="8">
        <f t="shared" si="124"/>
        <v>2051436.4571342806</v>
      </c>
      <c r="AH856" s="8">
        <f t="shared" si="125"/>
        <v>0</v>
      </c>
      <c r="AI856" s="8">
        <f t="shared" si="126"/>
        <v>0</v>
      </c>
    </row>
    <row r="857" spans="1:35" x14ac:dyDescent="0.55000000000000004">
      <c r="A857" s="1">
        <v>855</v>
      </c>
      <c r="B857" s="1" t="s">
        <v>20</v>
      </c>
      <c r="C857" s="1">
        <v>57</v>
      </c>
      <c r="D857" s="1">
        <v>2</v>
      </c>
      <c r="E857" s="1" t="s">
        <v>131</v>
      </c>
      <c r="F857" s="1" t="s">
        <v>132</v>
      </c>
      <c r="G857" s="1">
        <v>26</v>
      </c>
      <c r="H857" s="1">
        <v>2</v>
      </c>
      <c r="I857" s="1">
        <v>26020000</v>
      </c>
      <c r="J857" s="1">
        <v>940</v>
      </c>
      <c r="K857" s="1">
        <v>0</v>
      </c>
      <c r="L857" s="1">
        <v>15184</v>
      </c>
      <c r="M857" s="1">
        <v>14.334099</v>
      </c>
      <c r="N857" s="1">
        <v>101.35556</v>
      </c>
      <c r="O857" s="1">
        <v>2.5</v>
      </c>
      <c r="P857" s="1">
        <v>0.24</v>
      </c>
      <c r="Q857" s="1">
        <v>5.97</v>
      </c>
      <c r="R857" s="1">
        <v>4.8099999999999996</v>
      </c>
      <c r="S857" s="1">
        <v>0.6</v>
      </c>
      <c r="T857" s="1">
        <v>67.110000999999997</v>
      </c>
      <c r="U857" s="1">
        <v>34.959999000000003</v>
      </c>
      <c r="V857" s="1">
        <v>0</v>
      </c>
      <c r="W857" s="1">
        <v>0</v>
      </c>
      <c r="X857" s="1">
        <v>32324.324507000001</v>
      </c>
      <c r="Y857" s="1">
        <v>55876434.742600001</v>
      </c>
      <c r="Z857" t="str">
        <f>VLOOKUP(G857,'Code Pro'!$A$2:$B$9,2,FALSE)</f>
        <v>จ.นครนายก</v>
      </c>
      <c r="AA857" s="8">
        <f t="shared" si="118"/>
        <v>139691086.8565</v>
      </c>
      <c r="AB857" s="8">
        <f t="shared" si="119"/>
        <v>13410344.338223999</v>
      </c>
      <c r="AC857" s="8">
        <f t="shared" si="120"/>
        <v>333582315.41332197</v>
      </c>
      <c r="AD857" s="8">
        <f t="shared" si="121"/>
        <v>268765651.11190599</v>
      </c>
      <c r="AE857" s="8">
        <f t="shared" si="122"/>
        <v>33525860.845559999</v>
      </c>
      <c r="AF857" s="8">
        <f t="shared" si="123"/>
        <v>3749867591.4523206</v>
      </c>
      <c r="AG857" s="8">
        <f t="shared" si="124"/>
        <v>1953440102.7248614</v>
      </c>
      <c r="AH857" s="8">
        <f t="shared" si="125"/>
        <v>0</v>
      </c>
      <c r="AI857" s="8">
        <f t="shared" si="126"/>
        <v>0</v>
      </c>
    </row>
    <row r="858" spans="1:35" x14ac:dyDescent="0.55000000000000004">
      <c r="A858" s="1">
        <v>856</v>
      </c>
      <c r="B858" s="1" t="s">
        <v>20</v>
      </c>
      <c r="C858" s="1">
        <v>57</v>
      </c>
      <c r="D858" s="1">
        <v>2</v>
      </c>
      <c r="E858" s="1" t="s">
        <v>131</v>
      </c>
      <c r="F858" s="1" t="s">
        <v>132</v>
      </c>
      <c r="G858" s="1">
        <v>26</v>
      </c>
      <c r="H858" s="1">
        <v>2</v>
      </c>
      <c r="I858" s="1">
        <v>26020000</v>
      </c>
      <c r="J858" s="1">
        <v>942</v>
      </c>
      <c r="K858" s="1">
        <v>0</v>
      </c>
      <c r="L858" s="1">
        <v>15185</v>
      </c>
      <c r="M858" s="1">
        <v>14.334099</v>
      </c>
      <c r="N858" s="1">
        <v>101.4387</v>
      </c>
      <c r="O858" s="1">
        <v>4.93</v>
      </c>
      <c r="P858" s="1">
        <v>4.78</v>
      </c>
      <c r="Q858" s="1">
        <v>1.19</v>
      </c>
      <c r="R858" s="1">
        <v>0.76</v>
      </c>
      <c r="S858" s="1">
        <v>7.0000000000000007E-2</v>
      </c>
      <c r="T858" s="1">
        <v>69.760002</v>
      </c>
      <c r="U858" s="1">
        <v>12.2</v>
      </c>
      <c r="V858" s="1">
        <v>0</v>
      </c>
      <c r="W858" s="1">
        <v>0</v>
      </c>
      <c r="X858" s="1">
        <v>34010.153487000003</v>
      </c>
      <c r="Y858" s="1">
        <v>77330090.669100001</v>
      </c>
      <c r="Z858" t="str">
        <f>VLOOKUP(G858,'Code Pro'!$A$2:$B$9,2,FALSE)</f>
        <v>จ.นครนายก</v>
      </c>
      <c r="AA858" s="8">
        <f t="shared" si="118"/>
        <v>381237346.99866301</v>
      </c>
      <c r="AB858" s="8">
        <f t="shared" si="119"/>
        <v>369637833.39829803</v>
      </c>
      <c r="AC858" s="8">
        <f t="shared" si="120"/>
        <v>92022807.896228999</v>
      </c>
      <c r="AD858" s="8">
        <f t="shared" si="121"/>
        <v>58770868.908516005</v>
      </c>
      <c r="AE858" s="8">
        <f t="shared" si="122"/>
        <v>5413106.3468370009</v>
      </c>
      <c r="AF858" s="8">
        <f t="shared" si="123"/>
        <v>5394547279.7365971</v>
      </c>
      <c r="AG858" s="8">
        <f t="shared" si="124"/>
        <v>943427106.16302001</v>
      </c>
      <c r="AH858" s="8">
        <f t="shared" si="125"/>
        <v>0</v>
      </c>
      <c r="AI858" s="8">
        <f t="shared" si="126"/>
        <v>0</v>
      </c>
    </row>
    <row r="859" spans="1:35" x14ac:dyDescent="0.55000000000000004">
      <c r="A859" s="1">
        <v>857</v>
      </c>
      <c r="B859" s="1" t="s">
        <v>20</v>
      </c>
      <c r="C859" s="1">
        <v>57</v>
      </c>
      <c r="D859" s="1">
        <v>2</v>
      </c>
      <c r="E859" s="1" t="s">
        <v>131</v>
      </c>
      <c r="F859" s="1" t="s">
        <v>132</v>
      </c>
      <c r="G859" s="1">
        <v>26</v>
      </c>
      <c r="H859" s="1">
        <v>2</v>
      </c>
      <c r="I859" s="1">
        <v>26020000</v>
      </c>
      <c r="J859" s="1">
        <v>943</v>
      </c>
      <c r="K859" s="1">
        <v>0</v>
      </c>
      <c r="L859" s="1">
        <v>15305</v>
      </c>
      <c r="M859" s="1">
        <v>14.414635000000001</v>
      </c>
      <c r="N859" s="1">
        <v>101.4387</v>
      </c>
      <c r="O859" s="1">
        <v>61.259998000000003</v>
      </c>
      <c r="P859" s="1">
        <v>16.639999</v>
      </c>
      <c r="Q859" s="1">
        <v>0.26</v>
      </c>
      <c r="R859" s="1">
        <v>0.11</v>
      </c>
      <c r="S859" s="1">
        <v>0.98</v>
      </c>
      <c r="T859" s="1">
        <v>10.87</v>
      </c>
      <c r="U859" s="1">
        <v>14.23</v>
      </c>
      <c r="V859" s="1">
        <v>0</v>
      </c>
      <c r="W859" s="1">
        <v>0</v>
      </c>
      <c r="X859" s="1">
        <v>11788.927328</v>
      </c>
      <c r="Y859" s="1">
        <v>5163049.6094300002</v>
      </c>
      <c r="Z859" t="str">
        <f>VLOOKUP(G859,'Code Pro'!$A$2:$B$9,2,FALSE)</f>
        <v>จ.นครนายก</v>
      </c>
      <c r="AA859" s="8">
        <f t="shared" si="118"/>
        <v>316288408.74758261</v>
      </c>
      <c r="AB859" s="8">
        <f t="shared" si="119"/>
        <v>85913140.337865591</v>
      </c>
      <c r="AC859" s="8">
        <f t="shared" si="120"/>
        <v>1342392.8984518</v>
      </c>
      <c r="AD859" s="8">
        <f t="shared" si="121"/>
        <v>567935.45703729999</v>
      </c>
      <c r="AE859" s="8">
        <f t="shared" si="122"/>
        <v>5059788.6172414003</v>
      </c>
      <c r="AF859" s="8">
        <f t="shared" si="123"/>
        <v>56122349.254504099</v>
      </c>
      <c r="AG859" s="8">
        <f t="shared" si="124"/>
        <v>73470195.942188904</v>
      </c>
      <c r="AH859" s="8">
        <f t="shared" si="125"/>
        <v>0</v>
      </c>
      <c r="AI859" s="8">
        <f t="shared" si="126"/>
        <v>0</v>
      </c>
    </row>
    <row r="860" spans="1:35" x14ac:dyDescent="0.55000000000000004">
      <c r="A860" s="1">
        <v>858</v>
      </c>
      <c r="B860" s="1" t="s">
        <v>20</v>
      </c>
      <c r="C860" s="1">
        <v>57</v>
      </c>
      <c r="D860" s="1">
        <v>2</v>
      </c>
      <c r="E860" s="1" t="s">
        <v>131</v>
      </c>
      <c r="F860" s="1" t="s">
        <v>132</v>
      </c>
      <c r="G860" s="1">
        <v>26</v>
      </c>
      <c r="H860" s="1">
        <v>2</v>
      </c>
      <c r="I860" s="1">
        <v>26020000</v>
      </c>
      <c r="J860" s="1">
        <v>944</v>
      </c>
      <c r="K860" s="1">
        <v>0</v>
      </c>
      <c r="L860" s="1">
        <v>15186</v>
      </c>
      <c r="M860" s="1">
        <v>14.334099</v>
      </c>
      <c r="N860" s="1">
        <v>101.52182999999999</v>
      </c>
      <c r="O860" s="1">
        <v>23.9</v>
      </c>
      <c r="P860" s="1">
        <v>9.25</v>
      </c>
      <c r="Q860" s="1">
        <v>0.52</v>
      </c>
      <c r="R860" s="1">
        <v>0.91</v>
      </c>
      <c r="S860" s="1">
        <v>0.02</v>
      </c>
      <c r="T860" s="1">
        <v>15.28</v>
      </c>
      <c r="U860" s="1">
        <v>7.74</v>
      </c>
      <c r="V860" s="1">
        <v>0</v>
      </c>
      <c r="W860" s="1">
        <v>0</v>
      </c>
      <c r="X860" s="1">
        <v>16994.403891999998</v>
      </c>
      <c r="Y860" s="1">
        <v>10335348.635199999</v>
      </c>
      <c r="Z860" t="str">
        <f>VLOOKUP(G860,'Code Pro'!$A$2:$B$9,2,FALSE)</f>
        <v>จ.นครนายก</v>
      </c>
      <c r="AA860" s="8">
        <f t="shared" si="118"/>
        <v>247014832.38127998</v>
      </c>
      <c r="AB860" s="8">
        <f t="shared" si="119"/>
        <v>95601974.875599995</v>
      </c>
      <c r="AC860" s="8">
        <f t="shared" si="120"/>
        <v>5374381.2903039996</v>
      </c>
      <c r="AD860" s="8">
        <f t="shared" si="121"/>
        <v>9405167.2580319997</v>
      </c>
      <c r="AE860" s="8">
        <f t="shared" si="122"/>
        <v>206706.97270399999</v>
      </c>
      <c r="AF860" s="8">
        <f t="shared" si="123"/>
        <v>157924127.14585599</v>
      </c>
      <c r="AG860" s="8">
        <f t="shared" si="124"/>
        <v>79995598.436447993</v>
      </c>
      <c r="AH860" s="8">
        <f t="shared" si="125"/>
        <v>0</v>
      </c>
      <c r="AI860" s="8">
        <f t="shared" si="126"/>
        <v>0</v>
      </c>
    </row>
    <row r="861" spans="1:35" x14ac:dyDescent="0.55000000000000004">
      <c r="A861" s="1">
        <v>859</v>
      </c>
      <c r="B861" s="1" t="s">
        <v>20</v>
      </c>
      <c r="C861" s="1">
        <v>58</v>
      </c>
      <c r="D861" s="1">
        <v>3</v>
      </c>
      <c r="E861" s="1" t="s">
        <v>133</v>
      </c>
      <c r="F861" s="1" t="s">
        <v>134</v>
      </c>
      <c r="G861" s="1">
        <v>26</v>
      </c>
      <c r="H861" s="1">
        <v>2</v>
      </c>
      <c r="I861" s="1">
        <v>26030000</v>
      </c>
      <c r="J861" s="1">
        <v>840</v>
      </c>
      <c r="K861" s="1">
        <v>0</v>
      </c>
      <c r="L861" s="1">
        <v>15059</v>
      </c>
      <c r="M861" s="1">
        <v>14.253532</v>
      </c>
      <c r="N861" s="1">
        <v>100.93988</v>
      </c>
      <c r="O861" s="1">
        <v>1.72</v>
      </c>
      <c r="P861" s="1">
        <v>0</v>
      </c>
      <c r="Q861" s="1">
        <v>7.0000000000000007E-2</v>
      </c>
      <c r="R861" s="1">
        <v>1.91</v>
      </c>
      <c r="S861" s="1">
        <v>4.7300000000000004</v>
      </c>
      <c r="T861" s="1">
        <v>3.88</v>
      </c>
      <c r="U861" s="1">
        <v>49.900002000000001</v>
      </c>
      <c r="V861" s="1">
        <v>0.45</v>
      </c>
      <c r="W861" s="1">
        <v>0</v>
      </c>
      <c r="X861" s="1">
        <v>21489.050612999999</v>
      </c>
      <c r="Y861" s="1">
        <v>22877048.699299999</v>
      </c>
      <c r="Z861" t="str">
        <f>VLOOKUP(G861,'Code Pro'!$A$2:$B$9,2,FALSE)</f>
        <v>จ.นครนายก</v>
      </c>
      <c r="AA861" s="8">
        <f t="shared" si="118"/>
        <v>39348523.762796</v>
      </c>
      <c r="AB861" s="8">
        <f t="shared" si="119"/>
        <v>0</v>
      </c>
      <c r="AC861" s="8">
        <f t="shared" si="120"/>
        <v>1601393.4089510001</v>
      </c>
      <c r="AD861" s="8">
        <f t="shared" si="121"/>
        <v>43695163.015662998</v>
      </c>
      <c r="AE861" s="8">
        <f t="shared" si="122"/>
        <v>108208440.347689</v>
      </c>
      <c r="AF861" s="8">
        <f t="shared" si="123"/>
        <v>88762948.953283995</v>
      </c>
      <c r="AG861" s="8">
        <f t="shared" si="124"/>
        <v>1141564775.8491673</v>
      </c>
      <c r="AH861" s="8">
        <f t="shared" si="125"/>
        <v>10294671.914685</v>
      </c>
      <c r="AI861" s="8">
        <f t="shared" si="126"/>
        <v>0</v>
      </c>
    </row>
    <row r="862" spans="1:35" x14ac:dyDescent="0.55000000000000004">
      <c r="A862" s="1">
        <v>860</v>
      </c>
      <c r="B862" s="1" t="s">
        <v>20</v>
      </c>
      <c r="C862" s="1">
        <v>58</v>
      </c>
      <c r="D862" s="1">
        <v>3</v>
      </c>
      <c r="E862" s="1" t="s">
        <v>133</v>
      </c>
      <c r="F862" s="1" t="s">
        <v>134</v>
      </c>
      <c r="G862" s="1">
        <v>26</v>
      </c>
      <c r="H862" s="1">
        <v>2</v>
      </c>
      <c r="I862" s="1">
        <v>26030000</v>
      </c>
      <c r="J862" s="1">
        <v>847</v>
      </c>
      <c r="K862" s="1">
        <v>0</v>
      </c>
      <c r="L862" s="1">
        <v>14820</v>
      </c>
      <c r="M862" s="1">
        <v>14.092331</v>
      </c>
      <c r="N862" s="1">
        <v>101.02302</v>
      </c>
      <c r="O862" s="1">
        <v>0.25</v>
      </c>
      <c r="P862" s="1">
        <v>0.03</v>
      </c>
      <c r="Q862" s="1">
        <v>0.04</v>
      </c>
      <c r="R862" s="1">
        <v>0.09</v>
      </c>
      <c r="S862" s="1">
        <v>0.08</v>
      </c>
      <c r="T862" s="1">
        <v>5.41</v>
      </c>
      <c r="U862" s="1">
        <v>15.64</v>
      </c>
      <c r="V862" s="1">
        <v>0</v>
      </c>
      <c r="W862" s="1">
        <v>0</v>
      </c>
      <c r="X862" s="1">
        <v>35.979804000000001</v>
      </c>
      <c r="Y862" s="1">
        <v>56.552531000000002</v>
      </c>
      <c r="Z862" t="str">
        <f>VLOOKUP(G862,'Code Pro'!$A$2:$B$9,2,FALSE)</f>
        <v>จ.นครนายก</v>
      </c>
      <c r="AA862" s="8">
        <f t="shared" si="118"/>
        <v>14.13813275</v>
      </c>
      <c r="AB862" s="8">
        <f t="shared" si="119"/>
        <v>1.6965759300000001</v>
      </c>
      <c r="AC862" s="8">
        <f t="shared" si="120"/>
        <v>2.2621012400000002</v>
      </c>
      <c r="AD862" s="8">
        <f t="shared" si="121"/>
        <v>5.0897277900000004</v>
      </c>
      <c r="AE862" s="8">
        <f t="shared" si="122"/>
        <v>4.5242024800000005</v>
      </c>
      <c r="AF862" s="8">
        <f t="shared" si="123"/>
        <v>305.94919271000003</v>
      </c>
      <c r="AG862" s="8">
        <f t="shared" si="124"/>
        <v>884.4815848400001</v>
      </c>
      <c r="AH862" s="8">
        <f t="shared" si="125"/>
        <v>0</v>
      </c>
      <c r="AI862" s="8">
        <f t="shared" si="126"/>
        <v>0</v>
      </c>
    </row>
    <row r="863" spans="1:35" x14ac:dyDescent="0.55000000000000004">
      <c r="A863" s="1">
        <v>861</v>
      </c>
      <c r="B863" s="1" t="s">
        <v>20</v>
      </c>
      <c r="C863" s="1">
        <v>58</v>
      </c>
      <c r="D863" s="1">
        <v>3</v>
      </c>
      <c r="E863" s="1" t="s">
        <v>133</v>
      </c>
      <c r="F863" s="1" t="s">
        <v>134</v>
      </c>
      <c r="G863" s="1">
        <v>26</v>
      </c>
      <c r="H863" s="1">
        <v>2</v>
      </c>
      <c r="I863" s="1">
        <v>26030000</v>
      </c>
      <c r="J863" s="1">
        <v>848</v>
      </c>
      <c r="K863" s="1">
        <v>0</v>
      </c>
      <c r="L863" s="1">
        <v>14941</v>
      </c>
      <c r="M863" s="1">
        <v>14.172943</v>
      </c>
      <c r="N863" s="1">
        <v>101.10615</v>
      </c>
      <c r="O863" s="1">
        <v>2.93</v>
      </c>
      <c r="P863" s="1">
        <v>0.04</v>
      </c>
      <c r="Q863" s="1">
        <v>0.44</v>
      </c>
      <c r="R863" s="1">
        <v>0.33</v>
      </c>
      <c r="S863" s="1">
        <v>1.77</v>
      </c>
      <c r="T863" s="1">
        <v>2.4900000000000002</v>
      </c>
      <c r="U863" s="1">
        <v>40.279998999999997</v>
      </c>
      <c r="V863" s="1">
        <v>0.06</v>
      </c>
      <c r="W863" s="1">
        <v>0</v>
      </c>
      <c r="X863" s="1">
        <v>29223.351156000001</v>
      </c>
      <c r="Y863" s="1">
        <v>30929232.2568</v>
      </c>
      <c r="Z863" t="str">
        <f>VLOOKUP(G863,'Code Pro'!$A$2:$B$9,2,FALSE)</f>
        <v>จ.นครนายก</v>
      </c>
      <c r="AA863" s="8">
        <f t="shared" si="118"/>
        <v>90622650.512424007</v>
      </c>
      <c r="AB863" s="8">
        <f t="shared" si="119"/>
        <v>1237169.290272</v>
      </c>
      <c r="AC863" s="8">
        <f t="shared" si="120"/>
        <v>13608862.192992</v>
      </c>
      <c r="AD863" s="8">
        <f t="shared" si="121"/>
        <v>10206646.644743999</v>
      </c>
      <c r="AE863" s="8">
        <f t="shared" si="122"/>
        <v>54744741.094535999</v>
      </c>
      <c r="AF863" s="8">
        <f t="shared" si="123"/>
        <v>77013788.319432005</v>
      </c>
      <c r="AG863" s="8">
        <f t="shared" si="124"/>
        <v>1245829444.3746717</v>
      </c>
      <c r="AH863" s="8">
        <f t="shared" si="125"/>
        <v>1855753.9354079999</v>
      </c>
      <c r="AI863" s="8">
        <f t="shared" si="126"/>
        <v>0</v>
      </c>
    </row>
    <row r="864" spans="1:35" x14ac:dyDescent="0.55000000000000004">
      <c r="A864" s="1">
        <v>862</v>
      </c>
      <c r="B864" s="1" t="s">
        <v>20</v>
      </c>
      <c r="C864" s="1">
        <v>58</v>
      </c>
      <c r="D864" s="1">
        <v>3</v>
      </c>
      <c r="E864" s="1" t="s">
        <v>133</v>
      </c>
      <c r="F864" s="1" t="s">
        <v>134</v>
      </c>
      <c r="G864" s="1">
        <v>26</v>
      </c>
      <c r="H864" s="1">
        <v>2</v>
      </c>
      <c r="I864" s="1">
        <v>26030000</v>
      </c>
      <c r="J864" s="1">
        <v>849</v>
      </c>
      <c r="K864" s="1">
        <v>0</v>
      </c>
      <c r="L864" s="1">
        <v>14940</v>
      </c>
      <c r="M864" s="1">
        <v>14.172943</v>
      </c>
      <c r="N864" s="1">
        <v>101.02302</v>
      </c>
      <c r="O864" s="1">
        <v>8.9700000000000006</v>
      </c>
      <c r="P864" s="1">
        <v>0.01</v>
      </c>
      <c r="Q864" s="1">
        <v>0.04</v>
      </c>
      <c r="R864" s="1">
        <v>0.01</v>
      </c>
      <c r="S864" s="1">
        <v>3.44</v>
      </c>
      <c r="T864" s="1">
        <v>0.98</v>
      </c>
      <c r="U864" s="1">
        <v>52.189999</v>
      </c>
      <c r="V864" s="1">
        <v>0.36</v>
      </c>
      <c r="W864" s="1">
        <v>0</v>
      </c>
      <c r="X864" s="1">
        <v>31353.030695000001</v>
      </c>
      <c r="Y864" s="1">
        <v>38806111.375200003</v>
      </c>
      <c r="Z864" t="str">
        <f>VLOOKUP(G864,'Code Pro'!$A$2:$B$9,2,FALSE)</f>
        <v>จ.นครนายก</v>
      </c>
      <c r="AA864" s="8">
        <f t="shared" si="118"/>
        <v>348090819.03554404</v>
      </c>
      <c r="AB864" s="8">
        <f t="shared" si="119"/>
        <v>388061.11375200003</v>
      </c>
      <c r="AC864" s="8">
        <f t="shared" si="120"/>
        <v>1552244.4550080001</v>
      </c>
      <c r="AD864" s="8">
        <f t="shared" si="121"/>
        <v>388061.11375200003</v>
      </c>
      <c r="AE864" s="8">
        <f t="shared" si="122"/>
        <v>133493023.13068801</v>
      </c>
      <c r="AF864" s="8">
        <f t="shared" si="123"/>
        <v>38029989.147696003</v>
      </c>
      <c r="AG864" s="8">
        <f t="shared" si="124"/>
        <v>2025290913.8655767</v>
      </c>
      <c r="AH864" s="8">
        <f t="shared" si="125"/>
        <v>13970200.095072001</v>
      </c>
      <c r="AI864" s="8">
        <f t="shared" si="126"/>
        <v>0</v>
      </c>
    </row>
    <row r="865" spans="1:35" x14ac:dyDescent="0.55000000000000004">
      <c r="A865" s="1">
        <v>863</v>
      </c>
      <c r="B865" s="1" t="s">
        <v>20</v>
      </c>
      <c r="C865" s="1">
        <v>58</v>
      </c>
      <c r="D865" s="1">
        <v>3</v>
      </c>
      <c r="E865" s="1" t="s">
        <v>133</v>
      </c>
      <c r="F865" s="1" t="s">
        <v>134</v>
      </c>
      <c r="G865" s="1">
        <v>26</v>
      </c>
      <c r="H865" s="1">
        <v>2</v>
      </c>
      <c r="I865" s="1">
        <v>26030000</v>
      </c>
      <c r="J865" s="1">
        <v>852</v>
      </c>
      <c r="K865" s="1">
        <v>0</v>
      </c>
      <c r="L865" s="1">
        <v>15061</v>
      </c>
      <c r="M865" s="1">
        <v>14.253532</v>
      </c>
      <c r="N865" s="1">
        <v>101.10615</v>
      </c>
      <c r="O865" s="1">
        <v>7.43</v>
      </c>
      <c r="P865" s="1">
        <v>0</v>
      </c>
      <c r="Q865" s="1">
        <v>0.23</v>
      </c>
      <c r="R865" s="1">
        <v>1.48</v>
      </c>
      <c r="S865" s="1">
        <v>0.03</v>
      </c>
      <c r="T865" s="1">
        <v>7.34</v>
      </c>
      <c r="U865" s="1">
        <v>22.290001</v>
      </c>
      <c r="V865" s="1">
        <v>0.01</v>
      </c>
      <c r="W865" s="1">
        <v>0.01</v>
      </c>
      <c r="X865" s="1">
        <v>36839.598204000002</v>
      </c>
      <c r="Y865" s="1">
        <v>63587983.193899997</v>
      </c>
      <c r="Z865" t="str">
        <f>VLOOKUP(G865,'Code Pro'!$A$2:$B$9,2,FALSE)</f>
        <v>จ.นครนายก</v>
      </c>
      <c r="AA865" s="8">
        <f t="shared" si="118"/>
        <v>472458715.13067698</v>
      </c>
      <c r="AB865" s="8">
        <f t="shared" si="119"/>
        <v>0</v>
      </c>
      <c r="AC865" s="8">
        <f t="shared" si="120"/>
        <v>14625236.134597</v>
      </c>
      <c r="AD865" s="8">
        <f t="shared" si="121"/>
        <v>94110215.12697199</v>
      </c>
      <c r="AE865" s="8">
        <f t="shared" si="122"/>
        <v>1907639.4958169998</v>
      </c>
      <c r="AF865" s="8">
        <f t="shared" si="123"/>
        <v>466735796.64322597</v>
      </c>
      <c r="AG865" s="8">
        <f t="shared" si="124"/>
        <v>1417376208.9800141</v>
      </c>
      <c r="AH865" s="8">
        <f t="shared" si="125"/>
        <v>635879.83193899994</v>
      </c>
      <c r="AI865" s="8">
        <f t="shared" si="126"/>
        <v>635879.83193899994</v>
      </c>
    </row>
    <row r="866" spans="1:35" x14ac:dyDescent="0.55000000000000004">
      <c r="A866" s="1">
        <v>864</v>
      </c>
      <c r="B866" s="1" t="s">
        <v>20</v>
      </c>
      <c r="C866" s="1">
        <v>58</v>
      </c>
      <c r="D866" s="1">
        <v>3</v>
      </c>
      <c r="E866" s="1" t="s">
        <v>133</v>
      </c>
      <c r="F866" s="1" t="s">
        <v>134</v>
      </c>
      <c r="G866" s="1">
        <v>26</v>
      </c>
      <c r="H866" s="1">
        <v>2</v>
      </c>
      <c r="I866" s="1">
        <v>26030000</v>
      </c>
      <c r="J866" s="1">
        <v>853</v>
      </c>
      <c r="K866" s="1">
        <v>0</v>
      </c>
      <c r="L866" s="1">
        <v>15060</v>
      </c>
      <c r="M866" s="1">
        <v>14.253532</v>
      </c>
      <c r="N866" s="1">
        <v>101.02302</v>
      </c>
      <c r="O866" s="1">
        <v>5.0599999999999996</v>
      </c>
      <c r="P866" s="1">
        <v>0</v>
      </c>
      <c r="Q866" s="1">
        <v>0.13</v>
      </c>
      <c r="R866" s="1">
        <v>0.49</v>
      </c>
      <c r="S866" s="1">
        <v>1.94</v>
      </c>
      <c r="T866" s="1">
        <v>3.68</v>
      </c>
      <c r="U866" s="1">
        <v>14.77</v>
      </c>
      <c r="V866" s="1">
        <v>0.35</v>
      </c>
      <c r="W866" s="1">
        <v>0</v>
      </c>
      <c r="X866" s="1">
        <v>36220.793389999999</v>
      </c>
      <c r="Y866" s="1">
        <v>79431633.196600005</v>
      </c>
      <c r="Z866" t="str">
        <f>VLOOKUP(G866,'Code Pro'!$A$2:$B$9,2,FALSE)</f>
        <v>จ.นครนายก</v>
      </c>
      <c r="AA866" s="8">
        <f t="shared" si="118"/>
        <v>401924063.974796</v>
      </c>
      <c r="AB866" s="8">
        <f t="shared" si="119"/>
        <v>0</v>
      </c>
      <c r="AC866" s="8">
        <f t="shared" si="120"/>
        <v>10326112.315558001</v>
      </c>
      <c r="AD866" s="8">
        <f t="shared" si="121"/>
        <v>38921500.266334005</v>
      </c>
      <c r="AE866" s="8">
        <f t="shared" si="122"/>
        <v>154097368.40140399</v>
      </c>
      <c r="AF866" s="8">
        <f t="shared" si="123"/>
        <v>292308410.16348803</v>
      </c>
      <c r="AG866" s="8">
        <f t="shared" si="124"/>
        <v>1173205222.313782</v>
      </c>
      <c r="AH866" s="8">
        <f t="shared" si="125"/>
        <v>27801071.618810002</v>
      </c>
      <c r="AI866" s="8">
        <f t="shared" si="126"/>
        <v>0</v>
      </c>
    </row>
    <row r="867" spans="1:35" x14ac:dyDescent="0.55000000000000004">
      <c r="A867" s="1">
        <v>865</v>
      </c>
      <c r="B867" s="1" t="s">
        <v>20</v>
      </c>
      <c r="C867" s="1">
        <v>58</v>
      </c>
      <c r="D867" s="1">
        <v>3</v>
      </c>
      <c r="E867" s="1" t="s">
        <v>133</v>
      </c>
      <c r="F867" s="1" t="s">
        <v>134</v>
      </c>
      <c r="G867" s="1">
        <v>26</v>
      </c>
      <c r="H867" s="1">
        <v>2</v>
      </c>
      <c r="I867" s="1">
        <v>26030000</v>
      </c>
      <c r="J867" s="1">
        <v>881</v>
      </c>
      <c r="K867" s="1">
        <v>0</v>
      </c>
      <c r="L867" s="1">
        <v>15180</v>
      </c>
      <c r="M867" s="1">
        <v>14.334099</v>
      </c>
      <c r="N867" s="1">
        <v>101.02302</v>
      </c>
      <c r="O867" s="1">
        <v>1.51</v>
      </c>
      <c r="P867" s="1">
        <v>0</v>
      </c>
      <c r="Q867" s="1">
        <v>1.34</v>
      </c>
      <c r="R867" s="1">
        <v>1.9</v>
      </c>
      <c r="S867" s="1">
        <v>0.7</v>
      </c>
      <c r="T867" s="1">
        <v>5.6</v>
      </c>
      <c r="U867" s="1">
        <v>37.380001</v>
      </c>
      <c r="V867" s="1">
        <v>0.15</v>
      </c>
      <c r="W867" s="1">
        <v>0</v>
      </c>
      <c r="X867" s="1">
        <v>30610.138561</v>
      </c>
      <c r="Y867" s="1">
        <v>29923640.8017</v>
      </c>
      <c r="Z867" t="str">
        <f>VLOOKUP(G867,'Code Pro'!$A$2:$B$9,2,FALSE)</f>
        <v>จ.นครนายก</v>
      </c>
      <c r="AA867" s="8">
        <f t="shared" si="118"/>
        <v>45184697.610567003</v>
      </c>
      <c r="AB867" s="8">
        <f t="shared" si="119"/>
        <v>0</v>
      </c>
      <c r="AC867" s="8">
        <f t="shared" si="120"/>
        <v>40097678.674277999</v>
      </c>
      <c r="AD867" s="8">
        <f t="shared" si="121"/>
        <v>56854917.523229994</v>
      </c>
      <c r="AE867" s="8">
        <f t="shared" si="122"/>
        <v>20946548.561189998</v>
      </c>
      <c r="AF867" s="8">
        <f t="shared" si="123"/>
        <v>167572388.48951998</v>
      </c>
      <c r="AG867" s="8">
        <f t="shared" si="124"/>
        <v>1118545723.0911868</v>
      </c>
      <c r="AH867" s="8">
        <f t="shared" si="125"/>
        <v>4488546.120255</v>
      </c>
      <c r="AI867" s="8">
        <f t="shared" si="126"/>
        <v>0</v>
      </c>
    </row>
    <row r="868" spans="1:35" x14ac:dyDescent="0.55000000000000004">
      <c r="A868" s="1">
        <v>866</v>
      </c>
      <c r="B868" s="1" t="s">
        <v>20</v>
      </c>
      <c r="C868" s="1">
        <v>58</v>
      </c>
      <c r="D868" s="1">
        <v>3</v>
      </c>
      <c r="E868" s="1" t="s">
        <v>133</v>
      </c>
      <c r="F868" s="1" t="s">
        <v>134</v>
      </c>
      <c r="G868" s="1">
        <v>26</v>
      </c>
      <c r="H868" s="1">
        <v>2</v>
      </c>
      <c r="I868" s="1">
        <v>26030000</v>
      </c>
      <c r="J868" s="1">
        <v>882</v>
      </c>
      <c r="K868" s="1">
        <v>0</v>
      </c>
      <c r="L868" s="1">
        <v>15181</v>
      </c>
      <c r="M868" s="1">
        <v>14.334099</v>
      </c>
      <c r="N868" s="1">
        <v>101.10615</v>
      </c>
      <c r="O868" s="1">
        <v>6.78</v>
      </c>
      <c r="P868" s="1">
        <v>0</v>
      </c>
      <c r="Q868" s="1">
        <v>0.56999999999999995</v>
      </c>
      <c r="R868" s="1">
        <v>0.27</v>
      </c>
      <c r="S868" s="1">
        <v>0</v>
      </c>
      <c r="T868" s="1">
        <v>17.040001</v>
      </c>
      <c r="U868" s="1">
        <v>16.129999000000002</v>
      </c>
      <c r="V868" s="1">
        <v>1.29</v>
      </c>
      <c r="W868" s="1">
        <v>3.56</v>
      </c>
      <c r="X868" s="1">
        <v>35546.591296999999</v>
      </c>
      <c r="Y868" s="1">
        <v>78798817.7949</v>
      </c>
      <c r="Z868" t="str">
        <f>VLOOKUP(G868,'Code Pro'!$A$2:$B$9,2,FALSE)</f>
        <v>จ.นครนายก</v>
      </c>
      <c r="AA868" s="8">
        <f t="shared" si="118"/>
        <v>534255984.64942205</v>
      </c>
      <c r="AB868" s="8">
        <f t="shared" si="119"/>
        <v>0</v>
      </c>
      <c r="AC868" s="8">
        <f t="shared" si="120"/>
        <v>44915326.143092997</v>
      </c>
      <c r="AD868" s="8">
        <f t="shared" si="121"/>
        <v>21275680.804623</v>
      </c>
      <c r="AE868" s="8">
        <f t="shared" si="122"/>
        <v>0</v>
      </c>
      <c r="AF868" s="8">
        <f t="shared" si="123"/>
        <v>1342731934.0239139</v>
      </c>
      <c r="AG868" s="8">
        <f t="shared" si="124"/>
        <v>1271024852.2329192</v>
      </c>
      <c r="AH868" s="8">
        <f t="shared" si="125"/>
        <v>101650474.955421</v>
      </c>
      <c r="AI868" s="8">
        <f t="shared" si="126"/>
        <v>280523791.34984398</v>
      </c>
    </row>
    <row r="869" spans="1:35" x14ac:dyDescent="0.55000000000000004">
      <c r="A869" s="1">
        <v>867</v>
      </c>
      <c r="B869" s="1" t="s">
        <v>20</v>
      </c>
      <c r="C869" s="1">
        <v>58</v>
      </c>
      <c r="D869" s="1">
        <v>3</v>
      </c>
      <c r="E869" s="1" t="s">
        <v>133</v>
      </c>
      <c r="F869" s="1" t="s">
        <v>134</v>
      </c>
      <c r="G869" s="1">
        <v>26</v>
      </c>
      <c r="H869" s="1">
        <v>2</v>
      </c>
      <c r="I869" s="1">
        <v>26030000</v>
      </c>
      <c r="J869" s="1">
        <v>884</v>
      </c>
      <c r="K869" s="1">
        <v>0</v>
      </c>
      <c r="L869" s="1">
        <v>15300</v>
      </c>
      <c r="M869" s="1">
        <v>14.414635000000001</v>
      </c>
      <c r="N869" s="1">
        <v>101.02302</v>
      </c>
      <c r="O869" s="1">
        <v>1.54</v>
      </c>
      <c r="P869" s="1">
        <v>0</v>
      </c>
      <c r="Q869" s="1">
        <v>0.27</v>
      </c>
      <c r="R869" s="1">
        <v>0</v>
      </c>
      <c r="S869" s="1">
        <v>0.77</v>
      </c>
      <c r="T869" s="1">
        <v>9.36</v>
      </c>
      <c r="U869" s="1">
        <v>25.83</v>
      </c>
      <c r="V869" s="1">
        <v>0</v>
      </c>
      <c r="W869" s="1">
        <v>0</v>
      </c>
      <c r="X869" s="1">
        <v>10928.632802</v>
      </c>
      <c r="Y869" s="1">
        <v>3281743.41701</v>
      </c>
      <c r="Z869" t="str">
        <f>VLOOKUP(G869,'Code Pro'!$A$2:$B$9,2,FALSE)</f>
        <v>จ.นครนายก</v>
      </c>
      <c r="AA869" s="8">
        <f t="shared" si="118"/>
        <v>5053884.8621954005</v>
      </c>
      <c r="AB869" s="8">
        <f t="shared" si="119"/>
        <v>0</v>
      </c>
      <c r="AC869" s="8">
        <f t="shared" si="120"/>
        <v>886070.72259270004</v>
      </c>
      <c r="AD869" s="8">
        <f t="shared" si="121"/>
        <v>0</v>
      </c>
      <c r="AE869" s="8">
        <f t="shared" si="122"/>
        <v>2526942.4310977003</v>
      </c>
      <c r="AF869" s="8">
        <f t="shared" si="123"/>
        <v>30717118.383213598</v>
      </c>
      <c r="AG869" s="8">
        <f t="shared" si="124"/>
        <v>84767432.461368293</v>
      </c>
      <c r="AH869" s="8">
        <f t="shared" si="125"/>
        <v>0</v>
      </c>
      <c r="AI869" s="8">
        <f t="shared" si="126"/>
        <v>0</v>
      </c>
    </row>
    <row r="870" spans="1:35" x14ac:dyDescent="0.55000000000000004">
      <c r="A870" s="1">
        <v>868</v>
      </c>
      <c r="B870" s="1" t="s">
        <v>20</v>
      </c>
      <c r="C870" s="1">
        <v>58</v>
      </c>
      <c r="D870" s="1">
        <v>3</v>
      </c>
      <c r="E870" s="1" t="s">
        <v>133</v>
      </c>
      <c r="F870" s="1" t="s">
        <v>134</v>
      </c>
      <c r="G870" s="1">
        <v>26</v>
      </c>
      <c r="H870" s="1">
        <v>2</v>
      </c>
      <c r="I870" s="1">
        <v>26030000</v>
      </c>
      <c r="J870" s="1">
        <v>885</v>
      </c>
      <c r="K870" s="1">
        <v>0</v>
      </c>
      <c r="L870" s="1">
        <v>15301</v>
      </c>
      <c r="M870" s="1">
        <v>14.414635000000001</v>
      </c>
      <c r="N870" s="1">
        <v>101.10615</v>
      </c>
      <c r="O870" s="1">
        <v>1.0900000000000001</v>
      </c>
      <c r="P870" s="1">
        <v>0</v>
      </c>
      <c r="Q870" s="1">
        <v>1.62</v>
      </c>
      <c r="R870" s="1">
        <v>0.02</v>
      </c>
      <c r="S870" s="1">
        <v>0</v>
      </c>
      <c r="T870" s="1">
        <v>9.41</v>
      </c>
      <c r="U870" s="1">
        <v>48.299999</v>
      </c>
      <c r="V870" s="1">
        <v>0</v>
      </c>
      <c r="W870" s="1">
        <v>0</v>
      </c>
      <c r="X870" s="1">
        <v>23405.609530000002</v>
      </c>
      <c r="Y870" s="1">
        <v>9983037.2340699993</v>
      </c>
      <c r="Z870" t="str">
        <f>VLOOKUP(G870,'Code Pro'!$A$2:$B$9,2,FALSE)</f>
        <v>จ.นครนายก</v>
      </c>
      <c r="AA870" s="8">
        <f t="shared" si="118"/>
        <v>10881510.5851363</v>
      </c>
      <c r="AB870" s="8">
        <f t="shared" si="119"/>
        <v>0</v>
      </c>
      <c r="AC870" s="8">
        <f t="shared" si="120"/>
        <v>16172520.3191934</v>
      </c>
      <c r="AD870" s="8">
        <f t="shared" si="121"/>
        <v>199660.74468139998</v>
      </c>
      <c r="AE870" s="8">
        <f t="shared" si="122"/>
        <v>0</v>
      </c>
      <c r="AF870" s="8">
        <f t="shared" si="123"/>
        <v>93940380.372598693</v>
      </c>
      <c r="AG870" s="8">
        <f t="shared" si="124"/>
        <v>482180688.4225437</v>
      </c>
      <c r="AH870" s="8">
        <f t="shared" si="125"/>
        <v>0</v>
      </c>
      <c r="AI870" s="8">
        <f t="shared" si="126"/>
        <v>0</v>
      </c>
    </row>
    <row r="871" spans="1:35" x14ac:dyDescent="0.55000000000000004">
      <c r="A871" s="1">
        <v>869</v>
      </c>
      <c r="B871" s="1" t="s">
        <v>20</v>
      </c>
      <c r="C871" s="1">
        <v>58</v>
      </c>
      <c r="D871" s="1">
        <v>3</v>
      </c>
      <c r="E871" s="1" t="s">
        <v>133</v>
      </c>
      <c r="F871" s="1" t="s">
        <v>134</v>
      </c>
      <c r="G871" s="1">
        <v>26</v>
      </c>
      <c r="H871" s="1">
        <v>2</v>
      </c>
      <c r="I871" s="1">
        <v>26030000</v>
      </c>
      <c r="J871" s="1">
        <v>952</v>
      </c>
      <c r="K871" s="1">
        <v>0</v>
      </c>
      <c r="L871" s="1">
        <v>15182</v>
      </c>
      <c r="M871" s="1">
        <v>14.334099</v>
      </c>
      <c r="N871" s="1">
        <v>101.189285</v>
      </c>
      <c r="O871" s="1">
        <v>9.5</v>
      </c>
      <c r="P871" s="1">
        <v>0</v>
      </c>
      <c r="Q871" s="1">
        <v>0.53</v>
      </c>
      <c r="R871" s="1">
        <v>2.02</v>
      </c>
      <c r="S871" s="1">
        <v>0.21</v>
      </c>
      <c r="T871" s="1">
        <v>31.41</v>
      </c>
      <c r="U871" s="1">
        <v>20.379999000000002</v>
      </c>
      <c r="V871" s="1">
        <v>0</v>
      </c>
      <c r="W871" s="1">
        <v>0</v>
      </c>
      <c r="X871" s="1">
        <v>14717.581623</v>
      </c>
      <c r="Y871" s="1">
        <v>4080501.0104299998</v>
      </c>
      <c r="Z871" t="str">
        <f>VLOOKUP(G871,'Code Pro'!$A$2:$B$9,2,FALSE)</f>
        <v>จ.นครนายก</v>
      </c>
      <c r="AA871" s="8">
        <f t="shared" si="118"/>
        <v>38764759.599084996</v>
      </c>
      <c r="AB871" s="8">
        <f t="shared" si="119"/>
        <v>0</v>
      </c>
      <c r="AC871" s="8">
        <f t="shared" si="120"/>
        <v>2162665.5355278999</v>
      </c>
      <c r="AD871" s="8">
        <f t="shared" si="121"/>
        <v>8242612.0410685996</v>
      </c>
      <c r="AE871" s="8">
        <f t="shared" si="122"/>
        <v>856905.21219029988</v>
      </c>
      <c r="AF871" s="8">
        <f t="shared" si="123"/>
        <v>128168536.73760629</v>
      </c>
      <c r="AG871" s="8">
        <f t="shared" si="124"/>
        <v>83160606.512062386</v>
      </c>
      <c r="AH871" s="8">
        <f t="shared" si="125"/>
        <v>0</v>
      </c>
      <c r="AI871" s="8">
        <f t="shared" si="126"/>
        <v>0</v>
      </c>
    </row>
    <row r="872" spans="1:35" x14ac:dyDescent="0.55000000000000004">
      <c r="A872" s="1">
        <v>870</v>
      </c>
      <c r="B872" s="1" t="s">
        <v>20</v>
      </c>
      <c r="C872" s="1">
        <v>59</v>
      </c>
      <c r="D872" s="1">
        <v>4</v>
      </c>
      <c r="E872" s="1" t="s">
        <v>135</v>
      </c>
      <c r="F872" s="1" t="s">
        <v>136</v>
      </c>
      <c r="G872" s="1">
        <v>26</v>
      </c>
      <c r="H872" s="1">
        <v>2</v>
      </c>
      <c r="I872" s="1">
        <v>26040000</v>
      </c>
      <c r="J872" s="1">
        <v>833</v>
      </c>
      <c r="K872" s="1">
        <v>0</v>
      </c>
      <c r="L872" s="1">
        <v>14579</v>
      </c>
      <c r="M872" s="1">
        <v>13.931006999999999</v>
      </c>
      <c r="N872" s="1">
        <v>100.93988</v>
      </c>
      <c r="O872" s="1">
        <v>0.36</v>
      </c>
      <c r="P872" s="1">
        <v>0.03</v>
      </c>
      <c r="Q872" s="1">
        <v>6.83</v>
      </c>
      <c r="R872" s="1">
        <v>1.21</v>
      </c>
      <c r="S872" s="1">
        <v>1.29</v>
      </c>
      <c r="T872" s="1">
        <v>17.209999</v>
      </c>
      <c r="U872" s="1">
        <v>4.32</v>
      </c>
      <c r="V872" s="1">
        <v>0</v>
      </c>
      <c r="W872" s="1">
        <v>0</v>
      </c>
      <c r="X872" s="1">
        <v>16236.598613</v>
      </c>
      <c r="Y872" s="1">
        <v>4892979.1072699996</v>
      </c>
      <c r="Z872" t="str">
        <f>VLOOKUP(G872,'Code Pro'!$A$2:$B$9,2,FALSE)</f>
        <v>จ.นครนายก</v>
      </c>
      <c r="AA872" s="8">
        <f t="shared" si="118"/>
        <v>1761472.4786171997</v>
      </c>
      <c r="AB872" s="8">
        <f t="shared" si="119"/>
        <v>146789.37321809999</v>
      </c>
      <c r="AC872" s="8">
        <f t="shared" si="120"/>
        <v>33419047.302654099</v>
      </c>
      <c r="AD872" s="8">
        <f t="shared" si="121"/>
        <v>5920504.7197966995</v>
      </c>
      <c r="AE872" s="8">
        <f t="shared" si="122"/>
        <v>6311943.0483782999</v>
      </c>
      <c r="AF872" s="8">
        <f t="shared" si="123"/>
        <v>84208165.54313758</v>
      </c>
      <c r="AG872" s="8">
        <f t="shared" si="124"/>
        <v>21137669.7434064</v>
      </c>
      <c r="AH872" s="8">
        <f t="shared" si="125"/>
        <v>0</v>
      </c>
      <c r="AI872" s="8">
        <f t="shared" si="126"/>
        <v>0</v>
      </c>
    </row>
    <row r="873" spans="1:35" x14ac:dyDescent="0.55000000000000004">
      <c r="A873" s="1">
        <v>871</v>
      </c>
      <c r="B873" s="1" t="s">
        <v>20</v>
      </c>
      <c r="C873" s="1">
        <v>59</v>
      </c>
      <c r="D873" s="1">
        <v>4</v>
      </c>
      <c r="E873" s="1" t="s">
        <v>135</v>
      </c>
      <c r="F873" s="1" t="s">
        <v>136</v>
      </c>
      <c r="G873" s="1">
        <v>26</v>
      </c>
      <c r="H873" s="1">
        <v>2</v>
      </c>
      <c r="I873" s="1">
        <v>26040000</v>
      </c>
      <c r="J873" s="1">
        <v>835</v>
      </c>
      <c r="K873" s="1">
        <v>0</v>
      </c>
      <c r="L873" s="1">
        <v>14819</v>
      </c>
      <c r="M873" s="1">
        <v>14.092331</v>
      </c>
      <c r="N873" s="1">
        <v>100.93988</v>
      </c>
      <c r="O873" s="1">
        <v>0.01</v>
      </c>
      <c r="P873" s="1">
        <v>0</v>
      </c>
      <c r="Q873" s="1">
        <v>0</v>
      </c>
      <c r="R873" s="1">
        <v>2.61</v>
      </c>
      <c r="S873" s="1">
        <v>0.64</v>
      </c>
      <c r="T873" s="1">
        <v>8.94</v>
      </c>
      <c r="U873" s="1">
        <v>39.360000999999997</v>
      </c>
      <c r="V873" s="1">
        <v>0</v>
      </c>
      <c r="W873" s="1">
        <v>0.08</v>
      </c>
      <c r="X873" s="1">
        <v>32367.875744000001</v>
      </c>
      <c r="Y873" s="1">
        <v>64747673.2914</v>
      </c>
      <c r="Z873" t="str">
        <f>VLOOKUP(G873,'Code Pro'!$A$2:$B$9,2,FALSE)</f>
        <v>จ.นครนายก</v>
      </c>
      <c r="AA873" s="8">
        <f t="shared" si="118"/>
        <v>647476.73291400005</v>
      </c>
      <c r="AB873" s="8">
        <f t="shared" si="119"/>
        <v>0</v>
      </c>
      <c r="AC873" s="8">
        <f t="shared" si="120"/>
        <v>0</v>
      </c>
      <c r="AD873" s="8">
        <f t="shared" si="121"/>
        <v>168991427.29055399</v>
      </c>
      <c r="AE873" s="8">
        <f t="shared" si="122"/>
        <v>41438510.906496003</v>
      </c>
      <c r="AF873" s="8">
        <f t="shared" si="123"/>
        <v>578844199.22511601</v>
      </c>
      <c r="AG873" s="8">
        <f t="shared" si="124"/>
        <v>2548468485.4971771</v>
      </c>
      <c r="AH873" s="8">
        <f t="shared" si="125"/>
        <v>0</v>
      </c>
      <c r="AI873" s="8">
        <f t="shared" si="126"/>
        <v>5179813.8633120004</v>
      </c>
    </row>
    <row r="874" spans="1:35" x14ac:dyDescent="0.55000000000000004">
      <c r="A874" s="1">
        <v>872</v>
      </c>
      <c r="B874" s="1" t="s">
        <v>20</v>
      </c>
      <c r="C874" s="1">
        <v>59</v>
      </c>
      <c r="D874" s="1">
        <v>4</v>
      </c>
      <c r="E874" s="1" t="s">
        <v>135</v>
      </c>
      <c r="F874" s="1" t="s">
        <v>136</v>
      </c>
      <c r="G874" s="1">
        <v>26</v>
      </c>
      <c r="H874" s="1">
        <v>2</v>
      </c>
      <c r="I874" s="1">
        <v>26040000</v>
      </c>
      <c r="J874" s="1">
        <v>837</v>
      </c>
      <c r="K874" s="1">
        <v>0</v>
      </c>
      <c r="L874" s="1">
        <v>14699</v>
      </c>
      <c r="M874" s="1">
        <v>14.011680999999999</v>
      </c>
      <c r="N874" s="1">
        <v>100.93988</v>
      </c>
      <c r="O874" s="1">
        <v>0.05</v>
      </c>
      <c r="P874" s="1">
        <v>0.03</v>
      </c>
      <c r="Q874" s="1">
        <v>0.05</v>
      </c>
      <c r="R874" s="1">
        <v>3.06</v>
      </c>
      <c r="S874" s="1">
        <v>0.01</v>
      </c>
      <c r="T874" s="1">
        <v>54.459999000000003</v>
      </c>
      <c r="U874" s="1">
        <v>7.38</v>
      </c>
      <c r="V874" s="1">
        <v>0</v>
      </c>
      <c r="W874" s="1">
        <v>0</v>
      </c>
      <c r="X874" s="1">
        <v>32531.679542000002</v>
      </c>
      <c r="Y874" s="1">
        <v>65328290.789300002</v>
      </c>
      <c r="Z874" t="str">
        <f>VLOOKUP(G874,'Code Pro'!$A$2:$B$9,2,FALSE)</f>
        <v>จ.นครนายก</v>
      </c>
      <c r="AA874" s="8">
        <f t="shared" si="118"/>
        <v>3266414.5394650004</v>
      </c>
      <c r="AB874" s="8">
        <f t="shared" si="119"/>
        <v>1959848.723679</v>
      </c>
      <c r="AC874" s="8">
        <f t="shared" si="120"/>
        <v>3266414.5394650004</v>
      </c>
      <c r="AD874" s="8">
        <f t="shared" si="121"/>
        <v>199904569.815258</v>
      </c>
      <c r="AE874" s="8">
        <f t="shared" si="122"/>
        <v>653282.90789300005</v>
      </c>
      <c r="AF874" s="8">
        <f t="shared" si="123"/>
        <v>3557778651.0569878</v>
      </c>
      <c r="AG874" s="8">
        <f t="shared" si="124"/>
        <v>482122786.02503401</v>
      </c>
      <c r="AH874" s="8">
        <f t="shared" si="125"/>
        <v>0</v>
      </c>
      <c r="AI874" s="8">
        <f t="shared" si="126"/>
        <v>0</v>
      </c>
    </row>
    <row r="875" spans="1:35" x14ac:dyDescent="0.55000000000000004">
      <c r="A875" s="1">
        <v>873</v>
      </c>
      <c r="B875" s="1" t="s">
        <v>20</v>
      </c>
      <c r="C875" s="1">
        <v>59</v>
      </c>
      <c r="D875" s="1">
        <v>4</v>
      </c>
      <c r="E875" s="1" t="s">
        <v>135</v>
      </c>
      <c r="F875" s="1" t="s">
        <v>136</v>
      </c>
      <c r="G875" s="1">
        <v>26</v>
      </c>
      <c r="H875" s="1">
        <v>2</v>
      </c>
      <c r="I875" s="1">
        <v>26040000</v>
      </c>
      <c r="J875" s="1">
        <v>838</v>
      </c>
      <c r="K875" s="1">
        <v>0</v>
      </c>
      <c r="L875" s="1">
        <v>14939</v>
      </c>
      <c r="M875" s="1">
        <v>14.172943</v>
      </c>
      <c r="N875" s="1">
        <v>100.93988</v>
      </c>
      <c r="O875" s="1">
        <v>2.64</v>
      </c>
      <c r="P875" s="1">
        <v>0</v>
      </c>
      <c r="Q875" s="1">
        <v>0.01</v>
      </c>
      <c r="R875" s="1">
        <v>3.29</v>
      </c>
      <c r="S875" s="1">
        <v>3.61</v>
      </c>
      <c r="T875" s="1">
        <v>0.91</v>
      </c>
      <c r="U875" s="1">
        <v>39.310001</v>
      </c>
      <c r="V875" s="1">
        <v>0</v>
      </c>
      <c r="W875" s="1">
        <v>0</v>
      </c>
      <c r="X875" s="1">
        <v>32361.798481999998</v>
      </c>
      <c r="Y875" s="1">
        <v>64768694.664499998</v>
      </c>
      <c r="Z875" t="str">
        <f>VLOOKUP(G875,'Code Pro'!$A$2:$B$9,2,FALSE)</f>
        <v>จ.นครนายก</v>
      </c>
      <c r="AA875" s="8">
        <f t="shared" si="118"/>
        <v>170989353.91428</v>
      </c>
      <c r="AB875" s="8">
        <f t="shared" si="119"/>
        <v>0</v>
      </c>
      <c r="AC875" s="8">
        <f t="shared" si="120"/>
        <v>647686.94664500002</v>
      </c>
      <c r="AD875" s="8">
        <f t="shared" si="121"/>
        <v>213089005.44620499</v>
      </c>
      <c r="AE875" s="8">
        <f t="shared" si="122"/>
        <v>233814987.73884499</v>
      </c>
      <c r="AF875" s="8">
        <f t="shared" si="123"/>
        <v>58939512.144694999</v>
      </c>
      <c r="AG875" s="8">
        <f t="shared" si="124"/>
        <v>2546057452.0301895</v>
      </c>
      <c r="AH875" s="8">
        <f t="shared" si="125"/>
        <v>0</v>
      </c>
      <c r="AI875" s="8">
        <f t="shared" si="126"/>
        <v>0</v>
      </c>
    </row>
    <row r="876" spans="1:35" x14ac:dyDescent="0.55000000000000004">
      <c r="A876" s="1">
        <v>874</v>
      </c>
      <c r="B876" s="1" t="s">
        <v>20</v>
      </c>
      <c r="C876" s="1">
        <v>59</v>
      </c>
      <c r="D876" s="1">
        <v>4</v>
      </c>
      <c r="E876" s="1" t="s">
        <v>135</v>
      </c>
      <c r="F876" s="1" t="s">
        <v>136</v>
      </c>
      <c r="G876" s="1">
        <v>26</v>
      </c>
      <c r="H876" s="1">
        <v>2</v>
      </c>
      <c r="I876" s="1">
        <v>26040000</v>
      </c>
      <c r="J876" s="1">
        <v>840</v>
      </c>
      <c r="K876" s="1">
        <v>0</v>
      </c>
      <c r="L876" s="1">
        <v>15059</v>
      </c>
      <c r="M876" s="1">
        <v>14.253532</v>
      </c>
      <c r="N876" s="1">
        <v>100.93988</v>
      </c>
      <c r="O876" s="1">
        <v>1.72</v>
      </c>
      <c r="P876" s="1">
        <v>0</v>
      </c>
      <c r="Q876" s="1">
        <v>7.0000000000000007E-2</v>
      </c>
      <c r="R876" s="1">
        <v>1.91</v>
      </c>
      <c r="S876" s="1">
        <v>4.7300000000000004</v>
      </c>
      <c r="T876" s="1">
        <v>3.88</v>
      </c>
      <c r="U876" s="1">
        <v>49.900002000000001</v>
      </c>
      <c r="V876" s="1">
        <v>0.45</v>
      </c>
      <c r="W876" s="1">
        <v>0</v>
      </c>
      <c r="X876" s="1">
        <v>17333.258847000001</v>
      </c>
      <c r="Y876" s="1">
        <v>10658384.861099999</v>
      </c>
      <c r="Z876" t="str">
        <f>VLOOKUP(G876,'Code Pro'!$A$2:$B$9,2,FALSE)</f>
        <v>จ.นครนายก</v>
      </c>
      <c r="AA876" s="8">
        <f t="shared" si="118"/>
        <v>18332421.961091999</v>
      </c>
      <c r="AB876" s="8">
        <f t="shared" si="119"/>
        <v>0</v>
      </c>
      <c r="AC876" s="8">
        <f t="shared" si="120"/>
        <v>746086.94027700007</v>
      </c>
      <c r="AD876" s="8">
        <f t="shared" si="121"/>
        <v>20357515.084700998</v>
      </c>
      <c r="AE876" s="8">
        <f t="shared" si="122"/>
        <v>50414160.393003002</v>
      </c>
      <c r="AF876" s="8">
        <f t="shared" si="123"/>
        <v>41354533.261067994</v>
      </c>
      <c r="AG876" s="8">
        <f t="shared" si="124"/>
        <v>531853425.88565969</v>
      </c>
      <c r="AH876" s="8">
        <f t="shared" si="125"/>
        <v>4796273.1874949997</v>
      </c>
      <c r="AI876" s="8">
        <f t="shared" si="126"/>
        <v>0</v>
      </c>
    </row>
    <row r="877" spans="1:35" x14ac:dyDescent="0.55000000000000004">
      <c r="A877" s="1">
        <v>875</v>
      </c>
      <c r="B877" s="1" t="s">
        <v>20</v>
      </c>
      <c r="C877" s="1">
        <v>59</v>
      </c>
      <c r="D877" s="1">
        <v>4</v>
      </c>
      <c r="E877" s="1" t="s">
        <v>135</v>
      </c>
      <c r="F877" s="1" t="s">
        <v>136</v>
      </c>
      <c r="G877" s="1">
        <v>26</v>
      </c>
      <c r="H877" s="1">
        <v>2</v>
      </c>
      <c r="I877" s="1">
        <v>26040000</v>
      </c>
      <c r="J877" s="1">
        <v>842</v>
      </c>
      <c r="K877" s="1">
        <v>0</v>
      </c>
      <c r="L877" s="1">
        <v>14580</v>
      </c>
      <c r="M877" s="1">
        <v>13.931006999999999</v>
      </c>
      <c r="N877" s="1">
        <v>101.02302</v>
      </c>
      <c r="O877" s="1">
        <v>2.29</v>
      </c>
      <c r="P877" s="1">
        <v>0.08</v>
      </c>
      <c r="Q877" s="1">
        <v>30.299999</v>
      </c>
      <c r="R877" s="1">
        <v>1.9</v>
      </c>
      <c r="S877" s="1">
        <v>0.27</v>
      </c>
      <c r="T877" s="1">
        <v>5.6</v>
      </c>
      <c r="U877" s="1">
        <v>1.43</v>
      </c>
      <c r="V877" s="1">
        <v>0</v>
      </c>
      <c r="W877" s="1">
        <v>0</v>
      </c>
      <c r="X877" s="1">
        <v>9475.7049900000002</v>
      </c>
      <c r="Y877" s="1">
        <v>560381.63699399994</v>
      </c>
      <c r="Z877" t="str">
        <f>VLOOKUP(G877,'Code Pro'!$A$2:$B$9,2,FALSE)</f>
        <v>จ.นครนายก</v>
      </c>
      <c r="AA877" s="8">
        <f t="shared" si="118"/>
        <v>1283273.9487162598</v>
      </c>
      <c r="AB877" s="8">
        <f t="shared" si="119"/>
        <v>44830.530959519994</v>
      </c>
      <c r="AC877" s="8">
        <f t="shared" si="120"/>
        <v>16979563.04053656</v>
      </c>
      <c r="AD877" s="8">
        <f t="shared" si="121"/>
        <v>1064725.1102885997</v>
      </c>
      <c r="AE877" s="8">
        <f t="shared" si="122"/>
        <v>151303.04198837999</v>
      </c>
      <c r="AF877" s="8">
        <f t="shared" si="123"/>
        <v>3138137.1671663993</v>
      </c>
      <c r="AG877" s="8">
        <f t="shared" si="124"/>
        <v>801345.74090141989</v>
      </c>
      <c r="AH877" s="8">
        <f t="shared" si="125"/>
        <v>0</v>
      </c>
      <c r="AI877" s="8">
        <f t="shared" si="126"/>
        <v>0</v>
      </c>
    </row>
    <row r="878" spans="1:35" x14ac:dyDescent="0.55000000000000004">
      <c r="A878" s="1">
        <v>876</v>
      </c>
      <c r="B878" s="1" t="s">
        <v>20</v>
      </c>
      <c r="C878" s="1">
        <v>59</v>
      </c>
      <c r="D878" s="1">
        <v>4</v>
      </c>
      <c r="E878" s="1" t="s">
        <v>135</v>
      </c>
      <c r="F878" s="1" t="s">
        <v>136</v>
      </c>
      <c r="G878" s="1">
        <v>26</v>
      </c>
      <c r="H878" s="1">
        <v>2</v>
      </c>
      <c r="I878" s="1">
        <v>26040000</v>
      </c>
      <c r="J878" s="1">
        <v>843</v>
      </c>
      <c r="K878" s="1">
        <v>0</v>
      </c>
      <c r="L878" s="1">
        <v>14700</v>
      </c>
      <c r="M878" s="1">
        <v>14.011680999999999</v>
      </c>
      <c r="N878" s="1">
        <v>101.02302</v>
      </c>
      <c r="O878" s="1">
        <v>0.38</v>
      </c>
      <c r="P878" s="1">
        <v>0.53</v>
      </c>
      <c r="Q878" s="1">
        <v>3.4</v>
      </c>
      <c r="R878" s="1">
        <v>1.02</v>
      </c>
      <c r="S878" s="1">
        <v>0.01</v>
      </c>
      <c r="T878" s="1">
        <v>24.860001</v>
      </c>
      <c r="U878" s="1">
        <v>5.36</v>
      </c>
      <c r="V878" s="1">
        <v>0</v>
      </c>
      <c r="W878" s="1">
        <v>0</v>
      </c>
      <c r="X878" s="1">
        <v>35431.746201000002</v>
      </c>
      <c r="Y878" s="1">
        <v>78434704.357999995</v>
      </c>
      <c r="Z878" t="str">
        <f>VLOOKUP(G878,'Code Pro'!$A$2:$B$9,2,FALSE)</f>
        <v>จ.นครนายก</v>
      </c>
      <c r="AA878" s="8">
        <f t="shared" si="118"/>
        <v>29805187.656039998</v>
      </c>
      <c r="AB878" s="8">
        <f t="shared" si="119"/>
        <v>41570393.309739999</v>
      </c>
      <c r="AC878" s="8">
        <f t="shared" si="120"/>
        <v>266677994.81719998</v>
      </c>
      <c r="AD878" s="8">
        <f t="shared" si="121"/>
        <v>80003398.445160002</v>
      </c>
      <c r="AE878" s="8">
        <f t="shared" si="122"/>
        <v>784347.04357999994</v>
      </c>
      <c r="AF878" s="8">
        <f t="shared" si="123"/>
        <v>1949886828.7745843</v>
      </c>
      <c r="AG878" s="8">
        <f t="shared" si="124"/>
        <v>420410015.35887998</v>
      </c>
      <c r="AH878" s="8">
        <f t="shared" si="125"/>
        <v>0</v>
      </c>
      <c r="AI878" s="8">
        <f t="shared" si="126"/>
        <v>0</v>
      </c>
    </row>
    <row r="879" spans="1:35" x14ac:dyDescent="0.55000000000000004">
      <c r="A879" s="1">
        <v>877</v>
      </c>
      <c r="B879" s="1" t="s">
        <v>20</v>
      </c>
      <c r="C879" s="1">
        <v>59</v>
      </c>
      <c r="D879" s="1">
        <v>4</v>
      </c>
      <c r="E879" s="1" t="s">
        <v>135</v>
      </c>
      <c r="F879" s="1" t="s">
        <v>136</v>
      </c>
      <c r="G879" s="1">
        <v>26</v>
      </c>
      <c r="H879" s="1">
        <v>2</v>
      </c>
      <c r="I879" s="1">
        <v>26040000</v>
      </c>
      <c r="J879" s="1">
        <v>844</v>
      </c>
      <c r="K879" s="1">
        <v>0</v>
      </c>
      <c r="L879" s="1">
        <v>14581</v>
      </c>
      <c r="M879" s="1">
        <v>13.931006999999999</v>
      </c>
      <c r="N879" s="1">
        <v>101.10615</v>
      </c>
      <c r="O879" s="1">
        <v>2.35</v>
      </c>
      <c r="P879" s="1">
        <v>0.08</v>
      </c>
      <c r="Q879" s="1">
        <v>32.509998000000003</v>
      </c>
      <c r="R879" s="1">
        <v>1.54</v>
      </c>
      <c r="S879" s="1">
        <v>0</v>
      </c>
      <c r="T879" s="1">
        <v>11.13</v>
      </c>
      <c r="U879" s="1">
        <v>2.62</v>
      </c>
      <c r="V879" s="1">
        <v>0</v>
      </c>
      <c r="W879" s="1">
        <v>0</v>
      </c>
      <c r="X879" s="1">
        <v>3841.303934</v>
      </c>
      <c r="Y879" s="1">
        <v>193191.913948</v>
      </c>
      <c r="Z879" t="str">
        <f>VLOOKUP(G879,'Code Pro'!$A$2:$B$9,2,FALSE)</f>
        <v>จ.นครนายก</v>
      </c>
      <c r="AA879" s="8">
        <f t="shared" si="118"/>
        <v>454000.99777780002</v>
      </c>
      <c r="AB879" s="8">
        <f t="shared" si="119"/>
        <v>15455.35311584</v>
      </c>
      <c r="AC879" s="8">
        <f t="shared" si="120"/>
        <v>6280668.7360656532</v>
      </c>
      <c r="AD879" s="8">
        <f t="shared" si="121"/>
        <v>297515.54747992003</v>
      </c>
      <c r="AE879" s="8">
        <f t="shared" si="122"/>
        <v>0</v>
      </c>
      <c r="AF879" s="8">
        <f t="shared" si="123"/>
        <v>2150226.0022412403</v>
      </c>
      <c r="AG879" s="8">
        <f t="shared" si="124"/>
        <v>506162.81454376003</v>
      </c>
      <c r="AH879" s="8">
        <f t="shared" si="125"/>
        <v>0</v>
      </c>
      <c r="AI879" s="8">
        <f t="shared" si="126"/>
        <v>0</v>
      </c>
    </row>
    <row r="880" spans="1:35" x14ac:dyDescent="0.55000000000000004">
      <c r="A880" s="1">
        <v>878</v>
      </c>
      <c r="B880" s="1" t="s">
        <v>20</v>
      </c>
      <c r="C880" s="1">
        <v>59</v>
      </c>
      <c r="D880" s="1">
        <v>4</v>
      </c>
      <c r="E880" s="1" t="s">
        <v>135</v>
      </c>
      <c r="F880" s="1" t="s">
        <v>136</v>
      </c>
      <c r="G880" s="1">
        <v>26</v>
      </c>
      <c r="H880" s="1">
        <v>2</v>
      </c>
      <c r="I880" s="1">
        <v>26040000</v>
      </c>
      <c r="J880" s="1">
        <v>845</v>
      </c>
      <c r="K880" s="1">
        <v>0</v>
      </c>
      <c r="L880" s="1">
        <v>14701</v>
      </c>
      <c r="M880" s="1">
        <v>14.011680999999999</v>
      </c>
      <c r="N880" s="1">
        <v>101.10615</v>
      </c>
      <c r="O880" s="1">
        <v>0.08</v>
      </c>
      <c r="P880" s="1">
        <v>0.31</v>
      </c>
      <c r="Q880" s="1">
        <v>22.43</v>
      </c>
      <c r="R880" s="1">
        <v>2.87</v>
      </c>
      <c r="S880" s="1">
        <v>0</v>
      </c>
      <c r="T880" s="1">
        <v>11.88</v>
      </c>
      <c r="U880" s="1">
        <v>11.18</v>
      </c>
      <c r="V880" s="1">
        <v>0</v>
      </c>
      <c r="W880" s="1">
        <v>0</v>
      </c>
      <c r="X880" s="1">
        <v>34851.631101999999</v>
      </c>
      <c r="Y880" s="1">
        <v>70511102.848199993</v>
      </c>
      <c r="Z880" t="str">
        <f>VLOOKUP(G880,'Code Pro'!$A$2:$B$9,2,FALSE)</f>
        <v>จ.นครนายก</v>
      </c>
      <c r="AA880" s="8">
        <f t="shared" si="118"/>
        <v>5640888.227856</v>
      </c>
      <c r="AB880" s="8">
        <f t="shared" si="119"/>
        <v>21858441.882941999</v>
      </c>
      <c r="AC880" s="8">
        <f t="shared" si="120"/>
        <v>1581564036.8851259</v>
      </c>
      <c r="AD880" s="8">
        <f t="shared" si="121"/>
        <v>202366865.17433399</v>
      </c>
      <c r="AE880" s="8">
        <f t="shared" si="122"/>
        <v>0</v>
      </c>
      <c r="AF880" s="8">
        <f t="shared" si="123"/>
        <v>837671901.83661592</v>
      </c>
      <c r="AG880" s="8">
        <f t="shared" si="124"/>
        <v>788314129.84287596</v>
      </c>
      <c r="AH880" s="8">
        <f t="shared" si="125"/>
        <v>0</v>
      </c>
      <c r="AI880" s="8">
        <f t="shared" si="126"/>
        <v>0</v>
      </c>
    </row>
    <row r="881" spans="1:35" x14ac:dyDescent="0.55000000000000004">
      <c r="A881" s="1">
        <v>879</v>
      </c>
      <c r="B881" s="1" t="s">
        <v>20</v>
      </c>
      <c r="C881" s="1">
        <v>59</v>
      </c>
      <c r="D881" s="1">
        <v>4</v>
      </c>
      <c r="E881" s="1" t="s">
        <v>135</v>
      </c>
      <c r="F881" s="1" t="s">
        <v>136</v>
      </c>
      <c r="G881" s="1">
        <v>26</v>
      </c>
      <c r="H881" s="1">
        <v>2</v>
      </c>
      <c r="I881" s="1">
        <v>26040000</v>
      </c>
      <c r="J881" s="1">
        <v>847</v>
      </c>
      <c r="K881" s="1">
        <v>0</v>
      </c>
      <c r="L881" s="1">
        <v>14820</v>
      </c>
      <c r="M881" s="1">
        <v>14.092331</v>
      </c>
      <c r="N881" s="1">
        <v>101.02302</v>
      </c>
      <c r="O881" s="1">
        <v>0.25</v>
      </c>
      <c r="P881" s="1">
        <v>0.03</v>
      </c>
      <c r="Q881" s="1">
        <v>0.04</v>
      </c>
      <c r="R881" s="1">
        <v>0.09</v>
      </c>
      <c r="S881" s="1">
        <v>0.08</v>
      </c>
      <c r="T881" s="1">
        <v>5.41</v>
      </c>
      <c r="U881" s="1">
        <v>15.64</v>
      </c>
      <c r="V881" s="1">
        <v>0</v>
      </c>
      <c r="W881" s="1">
        <v>0</v>
      </c>
      <c r="X881" s="1">
        <v>35811.104239</v>
      </c>
      <c r="Y881" s="1">
        <v>80121663.601300001</v>
      </c>
      <c r="Z881" t="str">
        <f>VLOOKUP(G881,'Code Pro'!$A$2:$B$9,2,FALSE)</f>
        <v>จ.นครนายก</v>
      </c>
      <c r="AA881" s="8">
        <f t="shared" si="118"/>
        <v>20030415.900325</v>
      </c>
      <c r="AB881" s="8">
        <f t="shared" si="119"/>
        <v>2403649.9080389999</v>
      </c>
      <c r="AC881" s="8">
        <f t="shared" si="120"/>
        <v>3204866.5440520002</v>
      </c>
      <c r="AD881" s="8">
        <f t="shared" si="121"/>
        <v>7210949.7241169997</v>
      </c>
      <c r="AE881" s="8">
        <f t="shared" si="122"/>
        <v>6409733.0881040003</v>
      </c>
      <c r="AF881" s="8">
        <f t="shared" si="123"/>
        <v>433458200.08303303</v>
      </c>
      <c r="AG881" s="8">
        <f t="shared" si="124"/>
        <v>1253102818.7243321</v>
      </c>
      <c r="AH881" s="8">
        <f t="shared" si="125"/>
        <v>0</v>
      </c>
      <c r="AI881" s="8">
        <f t="shared" si="126"/>
        <v>0</v>
      </c>
    </row>
    <row r="882" spans="1:35" x14ac:dyDescent="0.55000000000000004">
      <c r="A882" s="1">
        <v>880</v>
      </c>
      <c r="B882" s="1" t="s">
        <v>20</v>
      </c>
      <c r="C882" s="1">
        <v>59</v>
      </c>
      <c r="D882" s="1">
        <v>4</v>
      </c>
      <c r="E882" s="1" t="s">
        <v>135</v>
      </c>
      <c r="F882" s="1" t="s">
        <v>136</v>
      </c>
      <c r="G882" s="1">
        <v>26</v>
      </c>
      <c r="H882" s="1">
        <v>2</v>
      </c>
      <c r="I882" s="1">
        <v>26040000</v>
      </c>
      <c r="J882" s="1">
        <v>848</v>
      </c>
      <c r="K882" s="1">
        <v>0</v>
      </c>
      <c r="L882" s="1">
        <v>14941</v>
      </c>
      <c r="M882" s="1">
        <v>14.172943</v>
      </c>
      <c r="N882" s="1">
        <v>101.10615</v>
      </c>
      <c r="O882" s="1">
        <v>2.93</v>
      </c>
      <c r="P882" s="1">
        <v>0.04</v>
      </c>
      <c r="Q882" s="1">
        <v>0.44</v>
      </c>
      <c r="R882" s="1">
        <v>0.33</v>
      </c>
      <c r="S882" s="1">
        <v>1.77</v>
      </c>
      <c r="T882" s="1">
        <v>2.4900000000000002</v>
      </c>
      <c r="U882" s="1">
        <v>40.279998999999997</v>
      </c>
      <c r="V882" s="1">
        <v>0.06</v>
      </c>
      <c r="W882" s="1">
        <v>0</v>
      </c>
      <c r="X882" s="1">
        <v>4951.7709409999998</v>
      </c>
      <c r="Y882" s="1">
        <v>1174492.3183599999</v>
      </c>
      <c r="Z882" t="str">
        <f>VLOOKUP(G882,'Code Pro'!$A$2:$B$9,2,FALSE)</f>
        <v>จ.นครนายก</v>
      </c>
      <c r="AA882" s="8">
        <f t="shared" si="118"/>
        <v>3441262.4927948001</v>
      </c>
      <c r="AB882" s="8">
        <f t="shared" si="119"/>
        <v>46979.6927344</v>
      </c>
      <c r="AC882" s="8">
        <f t="shared" si="120"/>
        <v>516776.62007839995</v>
      </c>
      <c r="AD882" s="8">
        <f t="shared" si="121"/>
        <v>387582.46505880001</v>
      </c>
      <c r="AE882" s="8">
        <f t="shared" si="122"/>
        <v>2078851.4034971998</v>
      </c>
      <c r="AF882" s="8">
        <f t="shared" si="123"/>
        <v>2924485.8727163998</v>
      </c>
      <c r="AG882" s="8">
        <f t="shared" si="124"/>
        <v>47308549.409048475</v>
      </c>
      <c r="AH882" s="8">
        <f t="shared" si="125"/>
        <v>70469.539101599992</v>
      </c>
      <c r="AI882" s="8">
        <f t="shared" si="126"/>
        <v>0</v>
      </c>
    </row>
    <row r="883" spans="1:35" x14ac:dyDescent="0.55000000000000004">
      <c r="A883" s="1">
        <v>881</v>
      </c>
      <c r="B883" s="1" t="s">
        <v>20</v>
      </c>
      <c r="C883" s="1">
        <v>59</v>
      </c>
      <c r="D883" s="1">
        <v>4</v>
      </c>
      <c r="E883" s="1" t="s">
        <v>135</v>
      </c>
      <c r="F883" s="1" t="s">
        <v>136</v>
      </c>
      <c r="G883" s="1">
        <v>26</v>
      </c>
      <c r="H883" s="1">
        <v>2</v>
      </c>
      <c r="I883" s="1">
        <v>26040000</v>
      </c>
      <c r="J883" s="1">
        <v>849</v>
      </c>
      <c r="K883" s="1">
        <v>0</v>
      </c>
      <c r="L883" s="1">
        <v>14940</v>
      </c>
      <c r="M883" s="1">
        <v>14.172943</v>
      </c>
      <c r="N883" s="1">
        <v>101.02302</v>
      </c>
      <c r="O883" s="1">
        <v>8.9700000000000006</v>
      </c>
      <c r="P883" s="1">
        <v>0.01</v>
      </c>
      <c r="Q883" s="1">
        <v>0.04</v>
      </c>
      <c r="R883" s="1">
        <v>0.01</v>
      </c>
      <c r="S883" s="1">
        <v>3.44</v>
      </c>
      <c r="T883" s="1">
        <v>0.98</v>
      </c>
      <c r="U883" s="1">
        <v>52.189999</v>
      </c>
      <c r="V883" s="1">
        <v>0.36</v>
      </c>
      <c r="W883" s="1">
        <v>0</v>
      </c>
      <c r="X883" s="1">
        <v>35137.881904000002</v>
      </c>
      <c r="Y883" s="1">
        <v>41257579.673500001</v>
      </c>
      <c r="Z883" t="str">
        <f>VLOOKUP(G883,'Code Pro'!$A$2:$B$9,2,FALSE)</f>
        <v>จ.นครนายก</v>
      </c>
      <c r="AA883" s="8">
        <f t="shared" si="118"/>
        <v>370080489.67129505</v>
      </c>
      <c r="AB883" s="8">
        <f t="shared" si="119"/>
        <v>412575.79673500004</v>
      </c>
      <c r="AC883" s="8">
        <f t="shared" si="120"/>
        <v>1650303.1869400002</v>
      </c>
      <c r="AD883" s="8">
        <f t="shared" si="121"/>
        <v>412575.79673500004</v>
      </c>
      <c r="AE883" s="8">
        <f t="shared" si="122"/>
        <v>141926074.07684001</v>
      </c>
      <c r="AF883" s="8">
        <f t="shared" si="123"/>
        <v>40432428.080030002</v>
      </c>
      <c r="AG883" s="8">
        <f t="shared" si="124"/>
        <v>2153233041.9023852</v>
      </c>
      <c r="AH883" s="8">
        <f t="shared" si="125"/>
        <v>14852728.682460001</v>
      </c>
      <c r="AI883" s="8">
        <f t="shared" si="126"/>
        <v>0</v>
      </c>
    </row>
    <row r="884" spans="1:35" x14ac:dyDescent="0.55000000000000004">
      <c r="A884" s="1">
        <v>882</v>
      </c>
      <c r="B884" s="1" t="s">
        <v>20</v>
      </c>
      <c r="C884" s="1">
        <v>59</v>
      </c>
      <c r="D884" s="1">
        <v>4</v>
      </c>
      <c r="E884" s="1" t="s">
        <v>135</v>
      </c>
      <c r="F884" s="1" t="s">
        <v>136</v>
      </c>
      <c r="G884" s="1">
        <v>26</v>
      </c>
      <c r="H884" s="1">
        <v>2</v>
      </c>
      <c r="I884" s="1">
        <v>26040000</v>
      </c>
      <c r="J884" s="1">
        <v>850</v>
      </c>
      <c r="K884" s="1">
        <v>0</v>
      </c>
      <c r="L884" s="1">
        <v>14821</v>
      </c>
      <c r="M884" s="1">
        <v>14.092331</v>
      </c>
      <c r="N884" s="1">
        <v>101.10615</v>
      </c>
      <c r="O884" s="1">
        <v>1.33</v>
      </c>
      <c r="P884" s="1">
        <v>0.89</v>
      </c>
      <c r="Q884" s="1">
        <v>0.79</v>
      </c>
      <c r="R884" s="1">
        <v>0.77</v>
      </c>
      <c r="S884" s="1">
        <v>0</v>
      </c>
      <c r="T884" s="1">
        <v>6.27</v>
      </c>
      <c r="U884" s="1">
        <v>15.94</v>
      </c>
      <c r="V884" s="1">
        <v>0</v>
      </c>
      <c r="W884" s="1">
        <v>0</v>
      </c>
      <c r="X884" s="1">
        <v>27749.556608999999</v>
      </c>
      <c r="Y884" s="1">
        <v>36514351.327500001</v>
      </c>
      <c r="Z884" t="str">
        <f>VLOOKUP(G884,'Code Pro'!$A$2:$B$9,2,FALSE)</f>
        <v>จ.นครนายก</v>
      </c>
      <c r="AA884" s="8">
        <f t="shared" si="118"/>
        <v>48564087.265575007</v>
      </c>
      <c r="AB884" s="8">
        <f t="shared" si="119"/>
        <v>32497772.681475002</v>
      </c>
      <c r="AC884" s="8">
        <f t="shared" si="120"/>
        <v>28846337.548725002</v>
      </c>
      <c r="AD884" s="8">
        <f t="shared" si="121"/>
        <v>28116050.522175003</v>
      </c>
      <c r="AE884" s="8">
        <f t="shared" si="122"/>
        <v>0</v>
      </c>
      <c r="AF884" s="8">
        <f t="shared" si="123"/>
        <v>228944982.82342499</v>
      </c>
      <c r="AG884" s="8">
        <f t="shared" si="124"/>
        <v>582038760.16034997</v>
      </c>
      <c r="AH884" s="8">
        <f t="shared" si="125"/>
        <v>0</v>
      </c>
      <c r="AI884" s="8">
        <f t="shared" si="126"/>
        <v>0</v>
      </c>
    </row>
    <row r="885" spans="1:35" x14ac:dyDescent="0.55000000000000004">
      <c r="A885" s="1">
        <v>883</v>
      </c>
      <c r="B885" s="1" t="s">
        <v>20</v>
      </c>
      <c r="C885" s="1">
        <v>59</v>
      </c>
      <c r="D885" s="1">
        <v>4</v>
      </c>
      <c r="E885" s="1" t="s">
        <v>135</v>
      </c>
      <c r="F885" s="1" t="s">
        <v>136</v>
      </c>
      <c r="G885" s="1">
        <v>26</v>
      </c>
      <c r="H885" s="1">
        <v>2</v>
      </c>
      <c r="I885" s="1">
        <v>26040000</v>
      </c>
      <c r="J885" s="1">
        <v>851</v>
      </c>
      <c r="K885" s="1">
        <v>0</v>
      </c>
      <c r="L885" s="1">
        <v>14702</v>
      </c>
      <c r="M885" s="1">
        <v>14.011680999999999</v>
      </c>
      <c r="N885" s="1">
        <v>101.189285</v>
      </c>
      <c r="O885" s="1">
        <v>0.78</v>
      </c>
      <c r="P885" s="1">
        <v>0.43</v>
      </c>
      <c r="Q885" s="1">
        <v>39.43</v>
      </c>
      <c r="R885" s="1">
        <v>0.74</v>
      </c>
      <c r="S885" s="1">
        <v>0.24</v>
      </c>
      <c r="T885" s="1">
        <v>12.11</v>
      </c>
      <c r="U885" s="1">
        <v>11.77</v>
      </c>
      <c r="V885" s="1">
        <v>0</v>
      </c>
      <c r="W885" s="1">
        <v>0</v>
      </c>
      <c r="X885" s="1">
        <v>10388.097849</v>
      </c>
      <c r="Y885" s="1">
        <v>2773465.0770299998</v>
      </c>
      <c r="Z885" t="str">
        <f>VLOOKUP(G885,'Code Pro'!$A$2:$B$9,2,FALSE)</f>
        <v>จ.นครนายก</v>
      </c>
      <c r="AA885" s="8">
        <f t="shared" si="118"/>
        <v>2163302.7600833997</v>
      </c>
      <c r="AB885" s="8">
        <f t="shared" si="119"/>
        <v>1192589.9831228999</v>
      </c>
      <c r="AC885" s="8">
        <f t="shared" si="120"/>
        <v>109357727.98729289</v>
      </c>
      <c r="AD885" s="8">
        <f t="shared" si="121"/>
        <v>2052364.1570021999</v>
      </c>
      <c r="AE885" s="8">
        <f t="shared" si="122"/>
        <v>665631.61848719988</v>
      </c>
      <c r="AF885" s="8">
        <f t="shared" si="123"/>
        <v>33586662.082833298</v>
      </c>
      <c r="AG885" s="8">
        <f t="shared" si="124"/>
        <v>32643683.956643097</v>
      </c>
      <c r="AH885" s="8">
        <f t="shared" si="125"/>
        <v>0</v>
      </c>
      <c r="AI885" s="8">
        <f t="shared" si="126"/>
        <v>0</v>
      </c>
    </row>
    <row r="886" spans="1:35" x14ac:dyDescent="0.55000000000000004">
      <c r="A886" s="1">
        <v>884</v>
      </c>
      <c r="B886" s="1" t="s">
        <v>20</v>
      </c>
      <c r="C886" s="1">
        <v>59</v>
      </c>
      <c r="D886" s="1">
        <v>4</v>
      </c>
      <c r="E886" s="1" t="s">
        <v>135</v>
      </c>
      <c r="F886" s="1" t="s">
        <v>136</v>
      </c>
      <c r="G886" s="1">
        <v>26</v>
      </c>
      <c r="H886" s="1">
        <v>2</v>
      </c>
      <c r="I886" s="1">
        <v>26040000</v>
      </c>
      <c r="J886" s="1">
        <v>853</v>
      </c>
      <c r="K886" s="1">
        <v>0</v>
      </c>
      <c r="L886" s="1">
        <v>15060</v>
      </c>
      <c r="M886" s="1">
        <v>14.253532</v>
      </c>
      <c r="N886" s="1">
        <v>101.02302</v>
      </c>
      <c r="O886" s="1">
        <v>5.0599999999999996</v>
      </c>
      <c r="P886" s="1">
        <v>0</v>
      </c>
      <c r="Q886" s="1">
        <v>0.13</v>
      </c>
      <c r="R886" s="1">
        <v>0.49</v>
      </c>
      <c r="S886" s="1">
        <v>1.94</v>
      </c>
      <c r="T886" s="1">
        <v>3.68</v>
      </c>
      <c r="U886" s="1">
        <v>14.77</v>
      </c>
      <c r="V886" s="1">
        <v>0.35</v>
      </c>
      <c r="W886" s="1">
        <v>0</v>
      </c>
      <c r="X886" s="1">
        <v>1712.2632189999999</v>
      </c>
      <c r="Y886" s="1">
        <v>137016.10600299999</v>
      </c>
      <c r="Z886" t="str">
        <f>VLOOKUP(G886,'Code Pro'!$A$2:$B$9,2,FALSE)</f>
        <v>จ.นครนายก</v>
      </c>
      <c r="AA886" s="8">
        <f t="shared" si="118"/>
        <v>693301.49637517997</v>
      </c>
      <c r="AB886" s="8">
        <f t="shared" si="119"/>
        <v>0</v>
      </c>
      <c r="AC886" s="8">
        <f t="shared" si="120"/>
        <v>17812.093780390001</v>
      </c>
      <c r="AD886" s="8">
        <f t="shared" si="121"/>
        <v>67137.891941469992</v>
      </c>
      <c r="AE886" s="8">
        <f t="shared" si="122"/>
        <v>265811.24564581999</v>
      </c>
      <c r="AF886" s="8">
        <f t="shared" si="123"/>
        <v>504219.27009104</v>
      </c>
      <c r="AG886" s="8">
        <f t="shared" si="124"/>
        <v>2023727.8856643098</v>
      </c>
      <c r="AH886" s="8">
        <f t="shared" si="125"/>
        <v>47955.637101049993</v>
      </c>
      <c r="AI886" s="8">
        <f t="shared" si="126"/>
        <v>0</v>
      </c>
    </row>
    <row r="887" spans="1:35" x14ac:dyDescent="0.55000000000000004">
      <c r="A887" s="1">
        <v>885</v>
      </c>
      <c r="B887" s="1" t="s">
        <v>20</v>
      </c>
      <c r="C887" s="1">
        <v>60</v>
      </c>
      <c r="D887" s="1">
        <v>1</v>
      </c>
      <c r="E887" s="1" t="s">
        <v>137</v>
      </c>
      <c r="F887" s="1" t="s">
        <v>138</v>
      </c>
      <c r="G887" s="1">
        <v>27</v>
      </c>
      <c r="H887" s="1">
        <v>2</v>
      </c>
      <c r="I887" s="1">
        <v>27010000</v>
      </c>
      <c r="J887" s="1">
        <v>1015</v>
      </c>
      <c r="K887" s="1">
        <v>0</v>
      </c>
      <c r="L887" s="1">
        <v>14232</v>
      </c>
      <c r="M887" s="1">
        <v>13.688805</v>
      </c>
      <c r="N887" s="1">
        <v>102.020645</v>
      </c>
      <c r="O887" s="1">
        <v>3.21</v>
      </c>
      <c r="P887" s="1">
        <v>1.53</v>
      </c>
      <c r="Q887" s="1">
        <v>0.02</v>
      </c>
      <c r="R887" s="1">
        <v>3.89</v>
      </c>
      <c r="S887" s="1">
        <v>0.03</v>
      </c>
      <c r="T887" s="1">
        <v>36.689999</v>
      </c>
      <c r="U887" s="1">
        <v>13.03</v>
      </c>
      <c r="V887" s="1">
        <v>0</v>
      </c>
      <c r="W887" s="1">
        <v>0</v>
      </c>
      <c r="X887" s="1">
        <v>24810.528547999998</v>
      </c>
      <c r="Y887" s="1">
        <v>18371505.3495</v>
      </c>
      <c r="Z887" t="str">
        <f>VLOOKUP(G887,'Code Pro'!$A$2:$B$9,2,FALSE)</f>
        <v>จ.สระแก้ว</v>
      </c>
      <c r="AA887" s="8">
        <f t="shared" si="118"/>
        <v>58972532.171894997</v>
      </c>
      <c r="AB887" s="8">
        <f t="shared" si="119"/>
        <v>28108403.184735</v>
      </c>
      <c r="AC887" s="8">
        <f t="shared" si="120"/>
        <v>367430.10699</v>
      </c>
      <c r="AD887" s="8">
        <f t="shared" si="121"/>
        <v>71465155.809555009</v>
      </c>
      <c r="AE887" s="8">
        <f t="shared" si="122"/>
        <v>551145.160485</v>
      </c>
      <c r="AF887" s="8">
        <f t="shared" si="123"/>
        <v>674050512.90164971</v>
      </c>
      <c r="AG887" s="8">
        <f t="shared" si="124"/>
        <v>239380714.70398501</v>
      </c>
      <c r="AH887" s="8">
        <f t="shared" si="125"/>
        <v>0</v>
      </c>
      <c r="AI887" s="8">
        <f t="shared" si="126"/>
        <v>0</v>
      </c>
    </row>
    <row r="888" spans="1:35" x14ac:dyDescent="0.55000000000000004">
      <c r="A888" s="1">
        <v>886</v>
      </c>
      <c r="B888" s="1" t="s">
        <v>20</v>
      </c>
      <c r="C888" s="1">
        <v>60</v>
      </c>
      <c r="D888" s="1">
        <v>1</v>
      </c>
      <c r="E888" s="1" t="s">
        <v>137</v>
      </c>
      <c r="F888" s="1" t="s">
        <v>138</v>
      </c>
      <c r="G888" s="1">
        <v>27</v>
      </c>
      <c r="H888" s="1">
        <v>2</v>
      </c>
      <c r="I888" s="1">
        <v>27010000</v>
      </c>
      <c r="J888" s="1">
        <v>1020</v>
      </c>
      <c r="K888" s="1">
        <v>0</v>
      </c>
      <c r="L888" s="1">
        <v>14234</v>
      </c>
      <c r="M888" s="1">
        <v>13.688805</v>
      </c>
      <c r="N888" s="1">
        <v>102.18692</v>
      </c>
      <c r="O888" s="1">
        <v>0.06</v>
      </c>
      <c r="P888" s="1">
        <v>7.0000000000000007E-2</v>
      </c>
      <c r="Q888" s="1">
        <v>0.45</v>
      </c>
      <c r="R888" s="1">
        <v>1.38</v>
      </c>
      <c r="S888" s="1">
        <v>0.04</v>
      </c>
      <c r="T888" s="1">
        <v>4.1500000000000004</v>
      </c>
      <c r="U888" s="1">
        <v>14.32</v>
      </c>
      <c r="V888" s="1">
        <v>0</v>
      </c>
      <c r="W888" s="1">
        <v>0</v>
      </c>
      <c r="X888" s="1">
        <v>24453.388167000001</v>
      </c>
      <c r="Y888" s="1">
        <v>25015226.7084</v>
      </c>
      <c r="Z888" t="str">
        <f>VLOOKUP(G888,'Code Pro'!$A$2:$B$9,2,FALSE)</f>
        <v>จ.สระแก้ว</v>
      </c>
      <c r="AA888" s="8">
        <f t="shared" si="118"/>
        <v>1500913.6025039998</v>
      </c>
      <c r="AB888" s="8">
        <f t="shared" si="119"/>
        <v>1751065.8695880002</v>
      </c>
      <c r="AC888" s="8">
        <f t="shared" si="120"/>
        <v>11256852.018780001</v>
      </c>
      <c r="AD888" s="8">
        <f t="shared" si="121"/>
        <v>34521012.857591994</v>
      </c>
      <c r="AE888" s="8">
        <f t="shared" si="122"/>
        <v>1000609.068336</v>
      </c>
      <c r="AF888" s="8">
        <f t="shared" si="123"/>
        <v>103813190.83986001</v>
      </c>
      <c r="AG888" s="8">
        <f t="shared" si="124"/>
        <v>358218046.464288</v>
      </c>
      <c r="AH888" s="8">
        <f t="shared" si="125"/>
        <v>0</v>
      </c>
      <c r="AI888" s="8">
        <f t="shared" si="126"/>
        <v>0</v>
      </c>
    </row>
    <row r="889" spans="1:35" x14ac:dyDescent="0.55000000000000004">
      <c r="A889" s="1">
        <v>887</v>
      </c>
      <c r="B889" s="1" t="s">
        <v>20</v>
      </c>
      <c r="C889" s="1">
        <v>60</v>
      </c>
      <c r="D889" s="1">
        <v>1</v>
      </c>
      <c r="E889" s="1" t="s">
        <v>137</v>
      </c>
      <c r="F889" s="1" t="s">
        <v>138</v>
      </c>
      <c r="G889" s="1">
        <v>27</v>
      </c>
      <c r="H889" s="1">
        <v>2</v>
      </c>
      <c r="I889" s="1">
        <v>27010000</v>
      </c>
      <c r="J889" s="1">
        <v>1021</v>
      </c>
      <c r="K889" s="1">
        <v>0</v>
      </c>
      <c r="L889" s="1">
        <v>14233</v>
      </c>
      <c r="M889" s="1">
        <v>13.688805</v>
      </c>
      <c r="N889" s="1">
        <v>102.10378</v>
      </c>
      <c r="O889" s="1">
        <v>2.66</v>
      </c>
      <c r="P889" s="1">
        <v>0.09</v>
      </c>
      <c r="Q889" s="1">
        <v>7.0000000000000007E-2</v>
      </c>
      <c r="R889" s="1">
        <v>4.74</v>
      </c>
      <c r="S889" s="1">
        <v>0.08</v>
      </c>
      <c r="T889" s="1">
        <v>17.200001</v>
      </c>
      <c r="U889" s="1">
        <v>8.41</v>
      </c>
      <c r="V889" s="1">
        <v>0</v>
      </c>
      <c r="W889" s="1">
        <v>0</v>
      </c>
      <c r="X889" s="1">
        <v>3818.6306199999999</v>
      </c>
      <c r="Y889" s="1">
        <v>399667.613235</v>
      </c>
      <c r="Z889" t="str">
        <f>VLOOKUP(G889,'Code Pro'!$A$2:$B$9,2,FALSE)</f>
        <v>จ.สระแก้ว</v>
      </c>
      <c r="AA889" s="8">
        <f t="shared" si="118"/>
        <v>1063115.8512051001</v>
      </c>
      <c r="AB889" s="8">
        <f t="shared" si="119"/>
        <v>35970.085191149999</v>
      </c>
      <c r="AC889" s="8">
        <f t="shared" si="120"/>
        <v>27976.732926450004</v>
      </c>
      <c r="AD889" s="8">
        <f t="shared" si="121"/>
        <v>1894424.4867339002</v>
      </c>
      <c r="AE889" s="8">
        <f t="shared" si="122"/>
        <v>31973.4090588</v>
      </c>
      <c r="AF889" s="8">
        <f t="shared" si="123"/>
        <v>6874283.3473096136</v>
      </c>
      <c r="AG889" s="8">
        <f t="shared" si="124"/>
        <v>3361204.62730635</v>
      </c>
      <c r="AH889" s="8">
        <f t="shared" si="125"/>
        <v>0</v>
      </c>
      <c r="AI889" s="8">
        <f t="shared" si="126"/>
        <v>0</v>
      </c>
    </row>
    <row r="890" spans="1:35" x14ac:dyDescent="0.55000000000000004">
      <c r="A890" s="1">
        <v>888</v>
      </c>
      <c r="B890" s="1" t="s">
        <v>20</v>
      </c>
      <c r="C890" s="1">
        <v>60</v>
      </c>
      <c r="D890" s="1">
        <v>1</v>
      </c>
      <c r="E890" s="1" t="s">
        <v>137</v>
      </c>
      <c r="F890" s="1" t="s">
        <v>138</v>
      </c>
      <c r="G890" s="1">
        <v>27</v>
      </c>
      <c r="H890" s="1">
        <v>2</v>
      </c>
      <c r="I890" s="1">
        <v>27010000</v>
      </c>
      <c r="J890" s="1">
        <v>1023</v>
      </c>
      <c r="K890" s="1">
        <v>0</v>
      </c>
      <c r="L890" s="1">
        <v>14231</v>
      </c>
      <c r="M890" s="1">
        <v>13.688805</v>
      </c>
      <c r="N890" s="1">
        <v>101.93751</v>
      </c>
      <c r="O890" s="1">
        <v>0.18</v>
      </c>
      <c r="P890" s="1">
        <v>26.549999</v>
      </c>
      <c r="Q890" s="1">
        <v>1.17</v>
      </c>
      <c r="R890" s="1">
        <v>6.13</v>
      </c>
      <c r="S890" s="1">
        <v>0.02</v>
      </c>
      <c r="T890" s="1">
        <v>36.470001000000003</v>
      </c>
      <c r="U890" s="1">
        <v>22.959999</v>
      </c>
      <c r="V890" s="1">
        <v>0</v>
      </c>
      <c r="W890" s="1">
        <v>0</v>
      </c>
      <c r="X890" s="1">
        <v>17912.128295999999</v>
      </c>
      <c r="Y890" s="1">
        <v>19237538.017999999</v>
      </c>
      <c r="Z890" t="str">
        <f>VLOOKUP(G890,'Code Pro'!$A$2:$B$9,2,FALSE)</f>
        <v>จ.สระแก้ว</v>
      </c>
      <c r="AA890" s="8">
        <f t="shared" si="118"/>
        <v>3462756.8432399998</v>
      </c>
      <c r="AB890" s="8">
        <f t="shared" si="119"/>
        <v>510756615.14036196</v>
      </c>
      <c r="AC890" s="8">
        <f t="shared" si="120"/>
        <v>22507919.481059998</v>
      </c>
      <c r="AD890" s="8">
        <f t="shared" si="121"/>
        <v>117926108.05034</v>
      </c>
      <c r="AE890" s="8">
        <f t="shared" si="122"/>
        <v>384750.76036000001</v>
      </c>
      <c r="AF890" s="8">
        <f t="shared" si="123"/>
        <v>701593030.75399804</v>
      </c>
      <c r="AG890" s="8">
        <f t="shared" si="124"/>
        <v>441693853.65574199</v>
      </c>
      <c r="AH890" s="8">
        <f t="shared" si="125"/>
        <v>0</v>
      </c>
      <c r="AI890" s="8">
        <f t="shared" si="126"/>
        <v>0</v>
      </c>
    </row>
    <row r="891" spans="1:35" x14ac:dyDescent="0.55000000000000004">
      <c r="A891" s="1">
        <v>889</v>
      </c>
      <c r="B891" s="1" t="s">
        <v>20</v>
      </c>
      <c r="C891" s="1">
        <v>60</v>
      </c>
      <c r="D891" s="1">
        <v>1</v>
      </c>
      <c r="E891" s="1" t="s">
        <v>137</v>
      </c>
      <c r="F891" s="1" t="s">
        <v>138</v>
      </c>
      <c r="G891" s="1">
        <v>27</v>
      </c>
      <c r="H891" s="1">
        <v>2</v>
      </c>
      <c r="I891" s="1">
        <v>27010000</v>
      </c>
      <c r="J891" s="1">
        <v>1024</v>
      </c>
      <c r="K891" s="1">
        <v>0</v>
      </c>
      <c r="L891" s="1">
        <v>14352</v>
      </c>
      <c r="M891" s="1">
        <v>13.769569000000001</v>
      </c>
      <c r="N891" s="1">
        <v>102.020645</v>
      </c>
      <c r="O891" s="1">
        <v>0.32</v>
      </c>
      <c r="P891" s="1">
        <v>0.74</v>
      </c>
      <c r="Q891" s="1">
        <v>0</v>
      </c>
      <c r="R891" s="1">
        <v>0.46</v>
      </c>
      <c r="S891" s="1">
        <v>0</v>
      </c>
      <c r="T891" s="1">
        <v>2.42</v>
      </c>
      <c r="U891" s="1">
        <v>10.09</v>
      </c>
      <c r="V891" s="1">
        <v>0</v>
      </c>
      <c r="W891" s="1">
        <v>0</v>
      </c>
      <c r="X891" s="1">
        <v>35599.974325000003</v>
      </c>
      <c r="Y891" s="1">
        <v>76044799.866099998</v>
      </c>
      <c r="Z891" t="str">
        <f>VLOOKUP(G891,'Code Pro'!$A$2:$B$9,2,FALSE)</f>
        <v>จ.สระแก้ว</v>
      </c>
      <c r="AA891" s="8">
        <f t="shared" si="118"/>
        <v>24334335.957152002</v>
      </c>
      <c r="AB891" s="8">
        <f t="shared" si="119"/>
        <v>56273151.900913998</v>
      </c>
      <c r="AC891" s="8">
        <f t="shared" si="120"/>
        <v>0</v>
      </c>
      <c r="AD891" s="8">
        <f t="shared" si="121"/>
        <v>34980607.938405998</v>
      </c>
      <c r="AE891" s="8">
        <f t="shared" si="122"/>
        <v>0</v>
      </c>
      <c r="AF891" s="8">
        <f t="shared" si="123"/>
        <v>184028415.675962</v>
      </c>
      <c r="AG891" s="8">
        <f t="shared" si="124"/>
        <v>767292030.64894903</v>
      </c>
      <c r="AH891" s="8">
        <f t="shared" si="125"/>
        <v>0</v>
      </c>
      <c r="AI891" s="8">
        <f t="shared" si="126"/>
        <v>0</v>
      </c>
    </row>
    <row r="892" spans="1:35" x14ac:dyDescent="0.55000000000000004">
      <c r="A892" s="1">
        <v>890</v>
      </c>
      <c r="B892" s="1" t="s">
        <v>20</v>
      </c>
      <c r="C892" s="1">
        <v>60</v>
      </c>
      <c r="D892" s="1">
        <v>1</v>
      </c>
      <c r="E892" s="1" t="s">
        <v>137</v>
      </c>
      <c r="F892" s="1" t="s">
        <v>138</v>
      </c>
      <c r="G892" s="1">
        <v>27</v>
      </c>
      <c r="H892" s="1">
        <v>2</v>
      </c>
      <c r="I892" s="1">
        <v>27010000</v>
      </c>
      <c r="J892" s="1">
        <v>1025</v>
      </c>
      <c r="K892" s="1">
        <v>0</v>
      </c>
      <c r="L892" s="1">
        <v>14471</v>
      </c>
      <c r="M892" s="1">
        <v>13.850304</v>
      </c>
      <c r="N892" s="1">
        <v>101.93751</v>
      </c>
      <c r="O892" s="1">
        <v>0.28999999999999998</v>
      </c>
      <c r="P892" s="1">
        <v>0.01</v>
      </c>
      <c r="Q892" s="1">
        <v>0.02</v>
      </c>
      <c r="R892" s="1">
        <v>0</v>
      </c>
      <c r="S892" s="1">
        <v>0.21</v>
      </c>
      <c r="T892" s="1">
        <v>2.48</v>
      </c>
      <c r="U892" s="1">
        <v>6.85</v>
      </c>
      <c r="V892" s="1">
        <v>0.43</v>
      </c>
      <c r="W892" s="1">
        <v>0</v>
      </c>
      <c r="X892" s="1">
        <v>32873.599968000002</v>
      </c>
      <c r="Y892" s="1">
        <v>56911163.598999999</v>
      </c>
      <c r="Z892" t="str">
        <f>VLOOKUP(G892,'Code Pro'!$A$2:$B$9,2,FALSE)</f>
        <v>จ.สระแก้ว</v>
      </c>
      <c r="AA892" s="8">
        <f t="shared" si="118"/>
        <v>16504237.443709999</v>
      </c>
      <c r="AB892" s="8">
        <f t="shared" si="119"/>
        <v>569111.63598999998</v>
      </c>
      <c r="AC892" s="8">
        <f t="shared" si="120"/>
        <v>1138223.27198</v>
      </c>
      <c r="AD892" s="8">
        <f t="shared" si="121"/>
        <v>0</v>
      </c>
      <c r="AE892" s="8">
        <f t="shared" si="122"/>
        <v>11951344.355789999</v>
      </c>
      <c r="AF892" s="8">
        <f t="shared" si="123"/>
        <v>141139685.72551998</v>
      </c>
      <c r="AG892" s="8">
        <f t="shared" si="124"/>
        <v>389841470.65314996</v>
      </c>
      <c r="AH892" s="8">
        <f t="shared" si="125"/>
        <v>24471800.347569998</v>
      </c>
      <c r="AI892" s="8">
        <f t="shared" si="126"/>
        <v>0</v>
      </c>
    </row>
    <row r="893" spans="1:35" x14ac:dyDescent="0.55000000000000004">
      <c r="A893" s="1">
        <v>891</v>
      </c>
      <c r="B893" s="1" t="s">
        <v>20</v>
      </c>
      <c r="C893" s="1">
        <v>60</v>
      </c>
      <c r="D893" s="1">
        <v>1</v>
      </c>
      <c r="E893" s="1" t="s">
        <v>137</v>
      </c>
      <c r="F893" s="1" t="s">
        <v>138</v>
      </c>
      <c r="G893" s="1">
        <v>27</v>
      </c>
      <c r="H893" s="1">
        <v>2</v>
      </c>
      <c r="I893" s="1">
        <v>27010000</v>
      </c>
      <c r="J893" s="1">
        <v>1026</v>
      </c>
      <c r="K893" s="1">
        <v>0</v>
      </c>
      <c r="L893" s="1">
        <v>14591</v>
      </c>
      <c r="M893" s="1">
        <v>13.931006999999999</v>
      </c>
      <c r="N893" s="1">
        <v>101.93751</v>
      </c>
      <c r="O893" s="1">
        <v>0.03</v>
      </c>
      <c r="P893" s="1">
        <v>0.01</v>
      </c>
      <c r="Q893" s="1">
        <v>0.09</v>
      </c>
      <c r="R893" s="1">
        <v>0.04</v>
      </c>
      <c r="S893" s="1">
        <v>0.03</v>
      </c>
      <c r="T893" s="1">
        <v>13.92</v>
      </c>
      <c r="U893" s="1">
        <v>2.2599999999999998</v>
      </c>
      <c r="V893" s="1">
        <v>0</v>
      </c>
      <c r="W893" s="1">
        <v>0</v>
      </c>
      <c r="X893" s="1">
        <v>39670.604211999998</v>
      </c>
      <c r="Y893" s="1">
        <v>52568702.387100004</v>
      </c>
      <c r="Z893" t="str">
        <f>VLOOKUP(G893,'Code Pro'!$A$2:$B$9,2,FALSE)</f>
        <v>จ.สระแก้ว</v>
      </c>
      <c r="AA893" s="8">
        <f t="shared" si="118"/>
        <v>1577061.071613</v>
      </c>
      <c r="AB893" s="8">
        <f t="shared" si="119"/>
        <v>525687.02387100004</v>
      </c>
      <c r="AC893" s="8">
        <f t="shared" si="120"/>
        <v>4731183.2148390003</v>
      </c>
      <c r="AD893" s="8">
        <f t="shared" si="121"/>
        <v>2102748.0954840002</v>
      </c>
      <c r="AE893" s="8">
        <f t="shared" si="122"/>
        <v>1577061.071613</v>
      </c>
      <c r="AF893" s="8">
        <f t="shared" si="123"/>
        <v>731756337.22843206</v>
      </c>
      <c r="AG893" s="8">
        <f t="shared" si="124"/>
        <v>118805267.39484599</v>
      </c>
      <c r="AH893" s="8">
        <f t="shared" si="125"/>
        <v>0</v>
      </c>
      <c r="AI893" s="8">
        <f t="shared" si="126"/>
        <v>0</v>
      </c>
    </row>
    <row r="894" spans="1:35" x14ac:dyDescent="0.55000000000000004">
      <c r="A894" s="1">
        <v>892</v>
      </c>
      <c r="B894" s="1" t="s">
        <v>20</v>
      </c>
      <c r="C894" s="1">
        <v>60</v>
      </c>
      <c r="D894" s="1">
        <v>1</v>
      </c>
      <c r="E894" s="1" t="s">
        <v>137</v>
      </c>
      <c r="F894" s="1" t="s">
        <v>138</v>
      </c>
      <c r="G894" s="1">
        <v>27</v>
      </c>
      <c r="H894" s="1">
        <v>2</v>
      </c>
      <c r="I894" s="1">
        <v>27010000</v>
      </c>
      <c r="J894" s="1">
        <v>1027</v>
      </c>
      <c r="K894" s="1">
        <v>0</v>
      </c>
      <c r="L894" s="1">
        <v>14472</v>
      </c>
      <c r="M894" s="1">
        <v>13.850304</v>
      </c>
      <c r="N894" s="1">
        <v>102.020645</v>
      </c>
      <c r="O894" s="1">
        <v>0.06</v>
      </c>
      <c r="P894" s="1">
        <v>0.32</v>
      </c>
      <c r="Q894" s="1">
        <v>0</v>
      </c>
      <c r="R894" s="1">
        <v>0</v>
      </c>
      <c r="S894" s="1">
        <v>0.12</v>
      </c>
      <c r="T894" s="1">
        <v>2.85</v>
      </c>
      <c r="U894" s="1">
        <v>9.34</v>
      </c>
      <c r="V894" s="1">
        <v>0.16</v>
      </c>
      <c r="W894" s="1">
        <v>0</v>
      </c>
      <c r="X894" s="1">
        <v>35868.489233</v>
      </c>
      <c r="Y894" s="1">
        <v>80408478.793899998</v>
      </c>
      <c r="Z894" t="str">
        <f>VLOOKUP(G894,'Code Pro'!$A$2:$B$9,2,FALSE)</f>
        <v>จ.สระแก้ว</v>
      </c>
      <c r="AA894" s="8">
        <f t="shared" si="118"/>
        <v>4824508.7276339997</v>
      </c>
      <c r="AB894" s="8">
        <f t="shared" si="119"/>
        <v>25730713.214047998</v>
      </c>
      <c r="AC894" s="8">
        <f t="shared" si="120"/>
        <v>0</v>
      </c>
      <c r="AD894" s="8">
        <f t="shared" si="121"/>
        <v>0</v>
      </c>
      <c r="AE894" s="8">
        <f t="shared" si="122"/>
        <v>9649017.4552679993</v>
      </c>
      <c r="AF894" s="8">
        <f t="shared" si="123"/>
        <v>229164164.56261501</v>
      </c>
      <c r="AG894" s="8">
        <f t="shared" si="124"/>
        <v>751015191.93502593</v>
      </c>
      <c r="AH894" s="8">
        <f t="shared" si="125"/>
        <v>12865356.607023999</v>
      </c>
      <c r="AI894" s="8">
        <f t="shared" si="126"/>
        <v>0</v>
      </c>
    </row>
    <row r="895" spans="1:35" x14ac:dyDescent="0.55000000000000004">
      <c r="A895" s="1">
        <v>893</v>
      </c>
      <c r="B895" s="1" t="s">
        <v>20</v>
      </c>
      <c r="C895" s="1">
        <v>60</v>
      </c>
      <c r="D895" s="1">
        <v>1</v>
      </c>
      <c r="E895" s="1" t="s">
        <v>137</v>
      </c>
      <c r="F895" s="1" t="s">
        <v>138</v>
      </c>
      <c r="G895" s="1">
        <v>27</v>
      </c>
      <c r="H895" s="1">
        <v>2</v>
      </c>
      <c r="I895" s="1">
        <v>27010000</v>
      </c>
      <c r="J895" s="1">
        <v>1028</v>
      </c>
      <c r="K895" s="1">
        <v>0</v>
      </c>
      <c r="L895" s="1">
        <v>14351</v>
      </c>
      <c r="M895" s="1">
        <v>13.769569000000001</v>
      </c>
      <c r="N895" s="1">
        <v>101.93751</v>
      </c>
      <c r="O895" s="1">
        <v>0.52</v>
      </c>
      <c r="P895" s="1">
        <v>4.57</v>
      </c>
      <c r="Q895" s="1">
        <v>0.05</v>
      </c>
      <c r="R895" s="1">
        <v>0.01</v>
      </c>
      <c r="S895" s="1">
        <v>0.49</v>
      </c>
      <c r="T895" s="1">
        <v>4.3899999999999997</v>
      </c>
      <c r="U895" s="1">
        <v>11.73</v>
      </c>
      <c r="V895" s="1">
        <v>0</v>
      </c>
      <c r="W895" s="1">
        <v>0</v>
      </c>
      <c r="X895" s="1">
        <v>27118.931924</v>
      </c>
      <c r="Y895" s="1">
        <v>35266950.831299998</v>
      </c>
      <c r="Z895" t="str">
        <f>VLOOKUP(G895,'Code Pro'!$A$2:$B$9,2,FALSE)</f>
        <v>จ.สระแก้ว</v>
      </c>
      <c r="AA895" s="8">
        <f t="shared" si="118"/>
        <v>18338814.432275999</v>
      </c>
      <c r="AB895" s="8">
        <f t="shared" si="119"/>
        <v>161169965.299041</v>
      </c>
      <c r="AC895" s="8">
        <f t="shared" si="120"/>
        <v>1763347.5415650001</v>
      </c>
      <c r="AD895" s="8">
        <f t="shared" si="121"/>
        <v>352669.50831299997</v>
      </c>
      <c r="AE895" s="8">
        <f t="shared" si="122"/>
        <v>17280805.907336999</v>
      </c>
      <c r="AF895" s="8">
        <f t="shared" si="123"/>
        <v>154821914.14940697</v>
      </c>
      <c r="AG895" s="8">
        <f t="shared" si="124"/>
        <v>413681333.251149</v>
      </c>
      <c r="AH895" s="8">
        <f t="shared" si="125"/>
        <v>0</v>
      </c>
      <c r="AI895" s="8">
        <f t="shared" si="126"/>
        <v>0</v>
      </c>
    </row>
    <row r="896" spans="1:35" x14ac:dyDescent="0.55000000000000004">
      <c r="A896" s="1">
        <v>894</v>
      </c>
      <c r="B896" s="1" t="s">
        <v>20</v>
      </c>
      <c r="C896" s="1">
        <v>60</v>
      </c>
      <c r="D896" s="1">
        <v>1</v>
      </c>
      <c r="E896" s="1" t="s">
        <v>137</v>
      </c>
      <c r="F896" s="1" t="s">
        <v>138</v>
      </c>
      <c r="G896" s="1">
        <v>27</v>
      </c>
      <c r="H896" s="1">
        <v>2</v>
      </c>
      <c r="I896" s="1">
        <v>27010000</v>
      </c>
      <c r="J896" s="1">
        <v>1029</v>
      </c>
      <c r="K896" s="1">
        <v>0</v>
      </c>
      <c r="L896" s="1">
        <v>14473</v>
      </c>
      <c r="M896" s="1">
        <v>13.850304</v>
      </c>
      <c r="N896" s="1">
        <v>102.10378</v>
      </c>
      <c r="O896" s="1">
        <v>0.05</v>
      </c>
      <c r="P896" s="1">
        <v>13.1</v>
      </c>
      <c r="Q896" s="1">
        <v>0.37</v>
      </c>
      <c r="R896" s="1">
        <v>0.03</v>
      </c>
      <c r="S896" s="1">
        <v>0.01</v>
      </c>
      <c r="T896" s="1">
        <v>2.2000000000000002</v>
      </c>
      <c r="U896" s="1">
        <v>26.129999000000002</v>
      </c>
      <c r="V896" s="1">
        <v>0.03</v>
      </c>
      <c r="W896" s="1">
        <v>0</v>
      </c>
      <c r="X896" s="1">
        <v>35871.671354999999</v>
      </c>
      <c r="Y896" s="1">
        <v>80422738.8609</v>
      </c>
      <c r="Z896" t="str">
        <f>VLOOKUP(G896,'Code Pro'!$A$2:$B$9,2,FALSE)</f>
        <v>จ.สระแก้ว</v>
      </c>
      <c r="AA896" s="8">
        <f t="shared" si="118"/>
        <v>4021136.9430450001</v>
      </c>
      <c r="AB896" s="8">
        <f t="shared" si="119"/>
        <v>1053537879.07779</v>
      </c>
      <c r="AC896" s="8">
        <f t="shared" si="120"/>
        <v>29756413.378532998</v>
      </c>
      <c r="AD896" s="8">
        <f t="shared" si="121"/>
        <v>2412682.165827</v>
      </c>
      <c r="AE896" s="8">
        <f t="shared" si="122"/>
        <v>804227.38860900002</v>
      </c>
      <c r="AF896" s="8">
        <f t="shared" si="123"/>
        <v>176930025.49398002</v>
      </c>
      <c r="AG896" s="8">
        <f t="shared" si="124"/>
        <v>2101446086.0125782</v>
      </c>
      <c r="AH896" s="8">
        <f t="shared" si="125"/>
        <v>2412682.165827</v>
      </c>
      <c r="AI896" s="8">
        <f t="shared" si="126"/>
        <v>0</v>
      </c>
    </row>
    <row r="897" spans="1:35" x14ac:dyDescent="0.55000000000000004">
      <c r="A897" s="1">
        <v>895</v>
      </c>
      <c r="B897" s="1" t="s">
        <v>20</v>
      </c>
      <c r="C897" s="1">
        <v>60</v>
      </c>
      <c r="D897" s="1">
        <v>1</v>
      </c>
      <c r="E897" s="1" t="s">
        <v>137</v>
      </c>
      <c r="F897" s="1" t="s">
        <v>138</v>
      </c>
      <c r="G897" s="1">
        <v>27</v>
      </c>
      <c r="H897" s="1">
        <v>2</v>
      </c>
      <c r="I897" s="1">
        <v>27010000</v>
      </c>
      <c r="J897" s="1">
        <v>1030</v>
      </c>
      <c r="K897" s="1">
        <v>0</v>
      </c>
      <c r="L897" s="1">
        <v>14353</v>
      </c>
      <c r="M897" s="1">
        <v>13.769569000000001</v>
      </c>
      <c r="N897" s="1">
        <v>102.10378</v>
      </c>
      <c r="O897" s="1">
        <v>3.34</v>
      </c>
      <c r="P897" s="1">
        <v>6.91</v>
      </c>
      <c r="Q897" s="1">
        <v>7.0000000000000007E-2</v>
      </c>
      <c r="R897" s="1">
        <v>2.14</v>
      </c>
      <c r="S897" s="1">
        <v>0.38</v>
      </c>
      <c r="T897" s="1">
        <v>2.95</v>
      </c>
      <c r="U897" s="1">
        <v>4.99</v>
      </c>
      <c r="V897" s="1">
        <v>0</v>
      </c>
      <c r="W897" s="1">
        <v>0.01</v>
      </c>
      <c r="X897" s="1">
        <v>40240.189732999999</v>
      </c>
      <c r="Y897" s="1">
        <v>62822119.023599997</v>
      </c>
      <c r="Z897" t="str">
        <f>VLOOKUP(G897,'Code Pro'!$A$2:$B$9,2,FALSE)</f>
        <v>จ.สระแก้ว</v>
      </c>
      <c r="AA897" s="8">
        <f t="shared" si="118"/>
        <v>209825877.53882399</v>
      </c>
      <c r="AB897" s="8">
        <f t="shared" si="119"/>
        <v>434100842.453076</v>
      </c>
      <c r="AC897" s="8">
        <f t="shared" si="120"/>
        <v>4397548.3316520005</v>
      </c>
      <c r="AD897" s="8">
        <f t="shared" si="121"/>
        <v>134439334.710504</v>
      </c>
      <c r="AE897" s="8">
        <f t="shared" si="122"/>
        <v>23872405.228967998</v>
      </c>
      <c r="AF897" s="8">
        <f t="shared" si="123"/>
        <v>185325251.11962</v>
      </c>
      <c r="AG897" s="8">
        <f t="shared" si="124"/>
        <v>313482373.927764</v>
      </c>
      <c r="AH897" s="8">
        <f t="shared" si="125"/>
        <v>0</v>
      </c>
      <c r="AI897" s="8">
        <f t="shared" si="126"/>
        <v>628221.19023599999</v>
      </c>
    </row>
    <row r="898" spans="1:35" x14ac:dyDescent="0.55000000000000004">
      <c r="A898" s="1">
        <v>896</v>
      </c>
      <c r="B898" s="1" t="s">
        <v>20</v>
      </c>
      <c r="C898" s="1">
        <v>60</v>
      </c>
      <c r="D898" s="1">
        <v>1</v>
      </c>
      <c r="E898" s="1" t="s">
        <v>137</v>
      </c>
      <c r="F898" s="1" t="s">
        <v>138</v>
      </c>
      <c r="G898" s="1">
        <v>27</v>
      </c>
      <c r="H898" s="1">
        <v>2</v>
      </c>
      <c r="I898" s="1">
        <v>27010000</v>
      </c>
      <c r="J898" s="1">
        <v>1031</v>
      </c>
      <c r="K898" s="1">
        <v>0</v>
      </c>
      <c r="L898" s="1">
        <v>14354</v>
      </c>
      <c r="M898" s="1">
        <v>13.769569000000001</v>
      </c>
      <c r="N898" s="1">
        <v>102.18692</v>
      </c>
      <c r="O898" s="1">
        <v>0.02</v>
      </c>
      <c r="P898" s="1">
        <v>0.18</v>
      </c>
      <c r="Q898" s="1">
        <v>0.08</v>
      </c>
      <c r="R898" s="1">
        <v>1.54</v>
      </c>
      <c r="S898" s="1">
        <v>9.5</v>
      </c>
      <c r="T898" s="1">
        <v>1.93</v>
      </c>
      <c r="U898" s="1">
        <v>1.26</v>
      </c>
      <c r="V898" s="1">
        <v>0</v>
      </c>
      <c r="W898" s="1">
        <v>0</v>
      </c>
      <c r="X898" s="1">
        <v>37738.296176999997</v>
      </c>
      <c r="Y898" s="1">
        <v>59862780.792499997</v>
      </c>
      <c r="Z898" t="str">
        <f>VLOOKUP(G898,'Code Pro'!$A$2:$B$9,2,FALSE)</f>
        <v>จ.สระแก้ว</v>
      </c>
      <c r="AA898" s="8">
        <f t="shared" si="118"/>
        <v>1197255.6158499999</v>
      </c>
      <c r="AB898" s="8">
        <f t="shared" si="119"/>
        <v>10775300.542649999</v>
      </c>
      <c r="AC898" s="8">
        <f t="shared" si="120"/>
        <v>4789022.4633999998</v>
      </c>
      <c r="AD898" s="8">
        <f t="shared" si="121"/>
        <v>92188682.420450002</v>
      </c>
      <c r="AE898" s="8">
        <f t="shared" si="122"/>
        <v>568696417.52874994</v>
      </c>
      <c r="AF898" s="8">
        <f t="shared" si="123"/>
        <v>115535166.92952499</v>
      </c>
      <c r="AG898" s="8">
        <f t="shared" si="124"/>
        <v>75427103.798549995</v>
      </c>
      <c r="AH898" s="8">
        <f t="shared" si="125"/>
        <v>0</v>
      </c>
      <c r="AI898" s="8">
        <f t="shared" si="126"/>
        <v>0</v>
      </c>
    </row>
    <row r="899" spans="1:35" x14ac:dyDescent="0.55000000000000004">
      <c r="A899" s="1">
        <v>897</v>
      </c>
      <c r="B899" s="1" t="s">
        <v>20</v>
      </c>
      <c r="C899" s="1">
        <v>60</v>
      </c>
      <c r="D899" s="1">
        <v>1</v>
      </c>
      <c r="E899" s="1" t="s">
        <v>137</v>
      </c>
      <c r="F899" s="1" t="s">
        <v>138</v>
      </c>
      <c r="G899" s="1">
        <v>27</v>
      </c>
      <c r="H899" s="1">
        <v>2</v>
      </c>
      <c r="I899" s="1">
        <v>27010000</v>
      </c>
      <c r="J899" s="1">
        <v>1032</v>
      </c>
      <c r="K899" s="1">
        <v>0</v>
      </c>
      <c r="L899" s="1">
        <v>14593</v>
      </c>
      <c r="M899" s="1">
        <v>13.931006999999999</v>
      </c>
      <c r="N899" s="1">
        <v>102.10378</v>
      </c>
      <c r="O899" s="1">
        <v>0.04</v>
      </c>
      <c r="P899" s="1">
        <v>0.54</v>
      </c>
      <c r="Q899" s="1">
        <v>0.74</v>
      </c>
      <c r="R899" s="1">
        <v>7.0000000000000007E-2</v>
      </c>
      <c r="S899" s="1">
        <v>0.03</v>
      </c>
      <c r="T899" s="1">
        <v>1.51</v>
      </c>
      <c r="U899" s="1">
        <v>15.81</v>
      </c>
      <c r="V899" s="1">
        <v>4.07</v>
      </c>
      <c r="W899" s="1">
        <v>0</v>
      </c>
      <c r="X899" s="1">
        <v>35858.771663</v>
      </c>
      <c r="Y899" s="1">
        <v>80364901.701199993</v>
      </c>
      <c r="Z899" t="str">
        <f>VLOOKUP(G899,'Code Pro'!$A$2:$B$9,2,FALSE)</f>
        <v>จ.สระแก้ว</v>
      </c>
      <c r="AA899" s="8">
        <f t="shared" ref="AA899:AA962" si="127">+O899*$Y899</f>
        <v>3214596.0680479999</v>
      </c>
      <c r="AB899" s="8">
        <f t="shared" ref="AB899:AB962" si="128">+P899*$Y899</f>
        <v>43397046.918647997</v>
      </c>
      <c r="AC899" s="8">
        <f t="shared" ref="AC899:AC962" si="129">+Q899*$Y899</f>
        <v>59470027.258887991</v>
      </c>
      <c r="AD899" s="8">
        <f t="shared" ref="AD899:AD962" si="130">+R899*$Y899</f>
        <v>5625543.1190839997</v>
      </c>
      <c r="AE899" s="8">
        <f t="shared" ref="AE899:AE962" si="131">+S899*$Y899</f>
        <v>2410947.0510359998</v>
      </c>
      <c r="AF899" s="8">
        <f t="shared" ref="AF899:AF962" si="132">+T899*$Y899</f>
        <v>121351001.568812</v>
      </c>
      <c r="AG899" s="8">
        <f t="shared" ref="AG899:AG962" si="133">+U899*$Y899</f>
        <v>1270569095.895972</v>
      </c>
      <c r="AH899" s="8">
        <f t="shared" ref="AH899:AH962" si="134">+V899*$Y899</f>
        <v>327085149.92388397</v>
      </c>
      <c r="AI899" s="8">
        <f t="shared" ref="AI899:AI962" si="135">+W899*$Y899</f>
        <v>0</v>
      </c>
    </row>
    <row r="900" spans="1:35" x14ac:dyDescent="0.55000000000000004">
      <c r="A900" s="1">
        <v>898</v>
      </c>
      <c r="B900" s="1" t="s">
        <v>20</v>
      </c>
      <c r="C900" s="1">
        <v>60</v>
      </c>
      <c r="D900" s="1">
        <v>1</v>
      </c>
      <c r="E900" s="1" t="s">
        <v>137</v>
      </c>
      <c r="F900" s="1" t="s">
        <v>138</v>
      </c>
      <c r="G900" s="1">
        <v>27</v>
      </c>
      <c r="H900" s="1">
        <v>2</v>
      </c>
      <c r="I900" s="1">
        <v>27010000</v>
      </c>
      <c r="J900" s="1">
        <v>1033</v>
      </c>
      <c r="K900" s="1">
        <v>0</v>
      </c>
      <c r="L900" s="1">
        <v>14592</v>
      </c>
      <c r="M900" s="1">
        <v>13.931006999999999</v>
      </c>
      <c r="N900" s="1">
        <v>102.020645</v>
      </c>
      <c r="O900" s="1">
        <v>0.03</v>
      </c>
      <c r="P900" s="1">
        <v>0.02</v>
      </c>
      <c r="Q900" s="1">
        <v>0.03</v>
      </c>
      <c r="R900" s="1">
        <v>7.0000000000000007E-2</v>
      </c>
      <c r="S900" s="1">
        <v>0.3</v>
      </c>
      <c r="T900" s="1">
        <v>6.63</v>
      </c>
      <c r="U900" s="1">
        <v>2.88</v>
      </c>
      <c r="V900" s="1">
        <v>0.1</v>
      </c>
      <c r="W900" s="1">
        <v>0</v>
      </c>
      <c r="X900" s="1">
        <v>35855.592534000003</v>
      </c>
      <c r="Y900" s="1">
        <v>80350660.204899997</v>
      </c>
      <c r="Z900" t="str">
        <f>VLOOKUP(G900,'Code Pro'!$A$2:$B$9,2,FALSE)</f>
        <v>จ.สระแก้ว</v>
      </c>
      <c r="AA900" s="8">
        <f t="shared" si="127"/>
        <v>2410519.8061469998</v>
      </c>
      <c r="AB900" s="8">
        <f t="shared" si="128"/>
        <v>1607013.204098</v>
      </c>
      <c r="AC900" s="8">
        <f t="shared" si="129"/>
        <v>2410519.8061469998</v>
      </c>
      <c r="AD900" s="8">
        <f t="shared" si="130"/>
        <v>5624546.2143430002</v>
      </c>
      <c r="AE900" s="8">
        <f t="shared" si="131"/>
        <v>24105198.061469998</v>
      </c>
      <c r="AF900" s="8">
        <f t="shared" si="132"/>
        <v>532724877.15848696</v>
      </c>
      <c r="AG900" s="8">
        <f t="shared" si="133"/>
        <v>231409901.39011198</v>
      </c>
      <c r="AH900" s="8">
        <f t="shared" si="134"/>
        <v>8035066.02049</v>
      </c>
      <c r="AI900" s="8">
        <f t="shared" si="135"/>
        <v>0</v>
      </c>
    </row>
    <row r="901" spans="1:35" x14ac:dyDescent="0.55000000000000004">
      <c r="A901" s="1">
        <v>899</v>
      </c>
      <c r="B901" s="1" t="s">
        <v>20</v>
      </c>
      <c r="C901" s="1">
        <v>60</v>
      </c>
      <c r="D901" s="1">
        <v>1</v>
      </c>
      <c r="E901" s="1" t="s">
        <v>137</v>
      </c>
      <c r="F901" s="1" t="s">
        <v>138</v>
      </c>
      <c r="G901" s="1">
        <v>27</v>
      </c>
      <c r="H901" s="1">
        <v>2</v>
      </c>
      <c r="I901" s="1">
        <v>27010000</v>
      </c>
      <c r="J901" s="1">
        <v>1043</v>
      </c>
      <c r="K901" s="1">
        <v>0</v>
      </c>
      <c r="L901" s="1">
        <v>14355</v>
      </c>
      <c r="M901" s="1">
        <v>13.769569000000001</v>
      </c>
      <c r="N901" s="1">
        <v>102.27006</v>
      </c>
      <c r="O901" s="1">
        <v>0.01</v>
      </c>
      <c r="P901" s="1">
        <v>0.03</v>
      </c>
      <c r="Q901" s="1">
        <v>0.47</v>
      </c>
      <c r="R901" s="1">
        <v>1.75</v>
      </c>
      <c r="S901" s="1">
        <v>1.08</v>
      </c>
      <c r="T901" s="1">
        <v>5.96</v>
      </c>
      <c r="U901" s="1">
        <v>3.16</v>
      </c>
      <c r="V901" s="1">
        <v>0</v>
      </c>
      <c r="W901" s="1">
        <v>0</v>
      </c>
      <c r="X901" s="1">
        <v>7652.8832689999999</v>
      </c>
      <c r="Y901" s="1">
        <v>933346.57823900005</v>
      </c>
      <c r="Z901" t="str">
        <f>VLOOKUP(G901,'Code Pro'!$A$2:$B$9,2,FALSE)</f>
        <v>จ.สระแก้ว</v>
      </c>
      <c r="AA901" s="8">
        <f t="shared" si="127"/>
        <v>9333.4657823900016</v>
      </c>
      <c r="AB901" s="8">
        <f t="shared" si="128"/>
        <v>28000.397347170001</v>
      </c>
      <c r="AC901" s="8">
        <f t="shared" si="129"/>
        <v>438672.89177232998</v>
      </c>
      <c r="AD901" s="8">
        <f t="shared" si="130"/>
        <v>1633356.51191825</v>
      </c>
      <c r="AE901" s="8">
        <f t="shared" si="131"/>
        <v>1008014.3044981201</v>
      </c>
      <c r="AF901" s="8">
        <f t="shared" si="132"/>
        <v>5562745.6063044406</v>
      </c>
      <c r="AG901" s="8">
        <f t="shared" si="133"/>
        <v>2949375.1872352404</v>
      </c>
      <c r="AH901" s="8">
        <f t="shared" si="134"/>
        <v>0</v>
      </c>
      <c r="AI901" s="8">
        <f t="shared" si="135"/>
        <v>0</v>
      </c>
    </row>
    <row r="902" spans="1:35" x14ac:dyDescent="0.55000000000000004">
      <c r="A902" s="1">
        <v>900</v>
      </c>
      <c r="B902" s="1" t="s">
        <v>20</v>
      </c>
      <c r="C902" s="1">
        <v>60</v>
      </c>
      <c r="D902" s="1">
        <v>1</v>
      </c>
      <c r="E902" s="1" t="s">
        <v>137</v>
      </c>
      <c r="F902" s="1" t="s">
        <v>138</v>
      </c>
      <c r="G902" s="1">
        <v>27</v>
      </c>
      <c r="H902" s="1">
        <v>2</v>
      </c>
      <c r="I902" s="1">
        <v>27010000</v>
      </c>
      <c r="J902" s="1">
        <v>1044</v>
      </c>
      <c r="K902" s="1">
        <v>0</v>
      </c>
      <c r="L902" s="1">
        <v>14474</v>
      </c>
      <c r="M902" s="1">
        <v>13.850304</v>
      </c>
      <c r="N902" s="1">
        <v>102.18692</v>
      </c>
      <c r="O902" s="1">
        <v>7.0000000000000007E-2</v>
      </c>
      <c r="P902" s="1">
        <v>0.65</v>
      </c>
      <c r="Q902" s="1">
        <v>7.0000000000000007E-2</v>
      </c>
      <c r="R902" s="1">
        <v>0.04</v>
      </c>
      <c r="S902" s="1">
        <v>3.7</v>
      </c>
      <c r="T902" s="1">
        <v>1.7</v>
      </c>
      <c r="U902" s="1">
        <v>15.78</v>
      </c>
      <c r="V902" s="1">
        <v>0.02</v>
      </c>
      <c r="W902" s="1">
        <v>0</v>
      </c>
      <c r="X902" s="1">
        <v>32777.765506999996</v>
      </c>
      <c r="Y902" s="1">
        <v>30507970.254900001</v>
      </c>
      <c r="Z902" t="str">
        <f>VLOOKUP(G902,'Code Pro'!$A$2:$B$9,2,FALSE)</f>
        <v>จ.สระแก้ว</v>
      </c>
      <c r="AA902" s="8">
        <f t="shared" si="127"/>
        <v>2135557.9178430005</v>
      </c>
      <c r="AB902" s="8">
        <f t="shared" si="128"/>
        <v>19830180.665685002</v>
      </c>
      <c r="AC902" s="8">
        <f t="shared" si="129"/>
        <v>2135557.9178430005</v>
      </c>
      <c r="AD902" s="8">
        <f t="shared" si="130"/>
        <v>1220318.8101960002</v>
      </c>
      <c r="AE902" s="8">
        <f t="shared" si="131"/>
        <v>112879489.94313002</v>
      </c>
      <c r="AF902" s="8">
        <f t="shared" si="132"/>
        <v>51863549.433329999</v>
      </c>
      <c r="AG902" s="8">
        <f t="shared" si="133"/>
        <v>481415770.62232202</v>
      </c>
      <c r="AH902" s="8">
        <f t="shared" si="134"/>
        <v>610159.40509800008</v>
      </c>
      <c r="AI902" s="8">
        <f t="shared" si="135"/>
        <v>0</v>
      </c>
    </row>
    <row r="903" spans="1:35" x14ac:dyDescent="0.55000000000000004">
      <c r="A903" s="1">
        <v>901</v>
      </c>
      <c r="B903" s="1" t="s">
        <v>20</v>
      </c>
      <c r="C903" s="1">
        <v>60</v>
      </c>
      <c r="D903" s="1">
        <v>1</v>
      </c>
      <c r="E903" s="1" t="s">
        <v>137</v>
      </c>
      <c r="F903" s="1" t="s">
        <v>138</v>
      </c>
      <c r="G903" s="1">
        <v>27</v>
      </c>
      <c r="H903" s="1">
        <v>2</v>
      </c>
      <c r="I903" s="1">
        <v>27010000</v>
      </c>
      <c r="J903" s="1">
        <v>1045</v>
      </c>
      <c r="K903" s="1">
        <v>0</v>
      </c>
      <c r="L903" s="1">
        <v>14595</v>
      </c>
      <c r="M903" s="1">
        <v>13.931006999999999</v>
      </c>
      <c r="N903" s="1">
        <v>102.27006</v>
      </c>
      <c r="O903" s="1">
        <v>4.3</v>
      </c>
      <c r="P903" s="1">
        <v>0</v>
      </c>
      <c r="Q903" s="1">
        <v>0.03</v>
      </c>
      <c r="R903" s="1">
        <v>0</v>
      </c>
      <c r="S903" s="1">
        <v>0.02</v>
      </c>
      <c r="T903" s="1">
        <v>1.52</v>
      </c>
      <c r="U903" s="1">
        <v>0.34</v>
      </c>
      <c r="V903" s="1">
        <v>0.01</v>
      </c>
      <c r="W903" s="1">
        <v>0</v>
      </c>
      <c r="X903" s="1">
        <v>12741.73228</v>
      </c>
      <c r="Y903" s="1">
        <v>7502486.4084200002</v>
      </c>
      <c r="Z903" t="str">
        <f>VLOOKUP(G903,'Code Pro'!$A$2:$B$9,2,FALSE)</f>
        <v>จ.สระแก้ว</v>
      </c>
      <c r="AA903" s="8">
        <f t="shared" si="127"/>
        <v>32260691.556205999</v>
      </c>
      <c r="AB903" s="8">
        <f t="shared" si="128"/>
        <v>0</v>
      </c>
      <c r="AC903" s="8">
        <f t="shared" si="129"/>
        <v>225074.59225260001</v>
      </c>
      <c r="AD903" s="8">
        <f t="shared" si="130"/>
        <v>0</v>
      </c>
      <c r="AE903" s="8">
        <f t="shared" si="131"/>
        <v>150049.7281684</v>
      </c>
      <c r="AF903" s="8">
        <f t="shared" si="132"/>
        <v>11403779.3407984</v>
      </c>
      <c r="AG903" s="8">
        <f t="shared" si="133"/>
        <v>2550845.3788628001</v>
      </c>
      <c r="AH903" s="8">
        <f t="shared" si="134"/>
        <v>75024.864084200002</v>
      </c>
      <c r="AI903" s="8">
        <f t="shared" si="135"/>
        <v>0</v>
      </c>
    </row>
    <row r="904" spans="1:35" x14ac:dyDescent="0.55000000000000004">
      <c r="A904" s="1">
        <v>902</v>
      </c>
      <c r="B904" s="1" t="s">
        <v>20</v>
      </c>
      <c r="C904" s="1">
        <v>60</v>
      </c>
      <c r="D904" s="1">
        <v>1</v>
      </c>
      <c r="E904" s="1" t="s">
        <v>137</v>
      </c>
      <c r="F904" s="1" t="s">
        <v>138</v>
      </c>
      <c r="G904" s="1">
        <v>27</v>
      </c>
      <c r="H904" s="1">
        <v>2</v>
      </c>
      <c r="I904" s="1">
        <v>27010000</v>
      </c>
      <c r="J904" s="1">
        <v>1046</v>
      </c>
      <c r="K904" s="1">
        <v>0</v>
      </c>
      <c r="L904" s="1">
        <v>14594</v>
      </c>
      <c r="M904" s="1">
        <v>13.931006999999999</v>
      </c>
      <c r="N904" s="1">
        <v>102.18692</v>
      </c>
      <c r="O904" s="1">
        <v>0.02</v>
      </c>
      <c r="P904" s="1">
        <v>0.02</v>
      </c>
      <c r="Q904" s="1">
        <v>0.62</v>
      </c>
      <c r="R904" s="1">
        <v>0.04</v>
      </c>
      <c r="S904" s="1">
        <v>0</v>
      </c>
      <c r="T904" s="1">
        <v>1.58</v>
      </c>
      <c r="U904" s="1">
        <v>2.5099999999999998</v>
      </c>
      <c r="V904" s="1">
        <v>8.33</v>
      </c>
      <c r="W904" s="1">
        <v>0</v>
      </c>
      <c r="X904" s="1">
        <v>37012.916915000002</v>
      </c>
      <c r="Y904" s="1">
        <v>65229788.838600002</v>
      </c>
      <c r="Z904" t="str">
        <f>VLOOKUP(G904,'Code Pro'!$A$2:$B$9,2,FALSE)</f>
        <v>จ.สระแก้ว</v>
      </c>
      <c r="AA904" s="8">
        <f t="shared" si="127"/>
        <v>1304595.7767720001</v>
      </c>
      <c r="AB904" s="8">
        <f t="shared" si="128"/>
        <v>1304595.7767720001</v>
      </c>
      <c r="AC904" s="8">
        <f t="shared" si="129"/>
        <v>40442469.079932004</v>
      </c>
      <c r="AD904" s="8">
        <f t="shared" si="130"/>
        <v>2609191.5535440003</v>
      </c>
      <c r="AE904" s="8">
        <f t="shared" si="131"/>
        <v>0</v>
      </c>
      <c r="AF904" s="8">
        <f t="shared" si="132"/>
        <v>103063066.36498801</v>
      </c>
      <c r="AG904" s="8">
        <f t="shared" si="133"/>
        <v>163726769.98488599</v>
      </c>
      <c r="AH904" s="8">
        <f t="shared" si="134"/>
        <v>543364141.02553797</v>
      </c>
      <c r="AI904" s="8">
        <f t="shared" si="135"/>
        <v>0</v>
      </c>
    </row>
    <row r="905" spans="1:35" x14ac:dyDescent="0.55000000000000004">
      <c r="A905" s="1">
        <v>903</v>
      </c>
      <c r="B905" s="1" t="s">
        <v>20</v>
      </c>
      <c r="C905" s="1">
        <v>60</v>
      </c>
      <c r="D905" s="1">
        <v>1</v>
      </c>
      <c r="E905" s="1" t="s">
        <v>137</v>
      </c>
      <c r="F905" s="1" t="s">
        <v>138</v>
      </c>
      <c r="G905" s="1">
        <v>27</v>
      </c>
      <c r="H905" s="1">
        <v>2</v>
      </c>
      <c r="I905" s="1">
        <v>27010000</v>
      </c>
      <c r="J905" s="1">
        <v>1048</v>
      </c>
      <c r="K905" s="1">
        <v>0</v>
      </c>
      <c r="L905" s="1">
        <v>14235</v>
      </c>
      <c r="M905" s="1">
        <v>13.688805</v>
      </c>
      <c r="N905" s="1">
        <v>102.27006</v>
      </c>
      <c r="O905" s="1">
        <v>0.04</v>
      </c>
      <c r="P905" s="1">
        <v>2.5299999999999998</v>
      </c>
      <c r="Q905" s="1">
        <v>14.67</v>
      </c>
      <c r="R905" s="1">
        <v>0.98</v>
      </c>
      <c r="S905" s="1">
        <v>0.01</v>
      </c>
      <c r="T905" s="1">
        <v>0.92</v>
      </c>
      <c r="U905" s="1">
        <v>8.5500000000000007</v>
      </c>
      <c r="V905" s="1">
        <v>0</v>
      </c>
      <c r="W905" s="1">
        <v>0</v>
      </c>
      <c r="X905" s="1">
        <v>308.18053500000002</v>
      </c>
      <c r="Y905" s="1">
        <v>3435.5888970000001</v>
      </c>
      <c r="Z905" t="str">
        <f>VLOOKUP(G905,'Code Pro'!$A$2:$B$9,2,FALSE)</f>
        <v>จ.สระแก้ว</v>
      </c>
      <c r="AA905" s="8">
        <f t="shared" si="127"/>
        <v>137.42355588000001</v>
      </c>
      <c r="AB905" s="8">
        <f t="shared" si="128"/>
        <v>8692.0399094099994</v>
      </c>
      <c r="AC905" s="8">
        <f t="shared" si="129"/>
        <v>50400.089118989999</v>
      </c>
      <c r="AD905" s="8">
        <f t="shared" si="130"/>
        <v>3366.87711906</v>
      </c>
      <c r="AE905" s="8">
        <f t="shared" si="131"/>
        <v>34.355888970000002</v>
      </c>
      <c r="AF905" s="8">
        <f t="shared" si="132"/>
        <v>3160.7417852400004</v>
      </c>
      <c r="AG905" s="8">
        <f t="shared" si="133"/>
        <v>29374.285069350004</v>
      </c>
      <c r="AH905" s="8">
        <f t="shared" si="134"/>
        <v>0</v>
      </c>
      <c r="AI905" s="8">
        <f t="shared" si="135"/>
        <v>0</v>
      </c>
    </row>
    <row r="906" spans="1:35" x14ac:dyDescent="0.55000000000000004">
      <c r="A906" s="1">
        <v>904</v>
      </c>
      <c r="B906" s="1" t="s">
        <v>20</v>
      </c>
      <c r="C906" s="1">
        <v>60</v>
      </c>
      <c r="D906" s="1">
        <v>1</v>
      </c>
      <c r="E906" s="1" t="s">
        <v>137</v>
      </c>
      <c r="F906" s="1" t="s">
        <v>138</v>
      </c>
      <c r="G906" s="1">
        <v>27</v>
      </c>
      <c r="H906" s="1">
        <v>2</v>
      </c>
      <c r="I906" s="1">
        <v>27010000</v>
      </c>
      <c r="J906" s="1">
        <v>1148</v>
      </c>
      <c r="K906" s="1">
        <v>0</v>
      </c>
      <c r="L906" s="1">
        <v>14711</v>
      </c>
      <c r="M906" s="1">
        <v>14.011680999999999</v>
      </c>
      <c r="N906" s="1">
        <v>101.93751</v>
      </c>
      <c r="O906" s="1">
        <v>0</v>
      </c>
      <c r="P906" s="1">
        <v>0.02</v>
      </c>
      <c r="Q906" s="1">
        <v>7.0000000000000007E-2</v>
      </c>
      <c r="R906" s="1">
        <v>0</v>
      </c>
      <c r="S906" s="1">
        <v>0.03</v>
      </c>
      <c r="T906" s="1">
        <v>12.56</v>
      </c>
      <c r="U906" s="1">
        <v>13.38</v>
      </c>
      <c r="V906" s="1">
        <v>0</v>
      </c>
      <c r="W906" s="1">
        <v>0</v>
      </c>
      <c r="X906" s="1">
        <v>19236.560144999999</v>
      </c>
      <c r="Y906" s="1">
        <v>19297214.587900002</v>
      </c>
      <c r="Z906" t="str">
        <f>VLOOKUP(G906,'Code Pro'!$A$2:$B$9,2,FALSE)</f>
        <v>จ.สระแก้ว</v>
      </c>
      <c r="AA906" s="8">
        <f t="shared" si="127"/>
        <v>0</v>
      </c>
      <c r="AB906" s="8">
        <f t="shared" si="128"/>
        <v>385944.29175800004</v>
      </c>
      <c r="AC906" s="8">
        <f t="shared" si="129"/>
        <v>1350805.0211530002</v>
      </c>
      <c r="AD906" s="8">
        <f t="shared" si="130"/>
        <v>0</v>
      </c>
      <c r="AE906" s="8">
        <f t="shared" si="131"/>
        <v>578916.437637</v>
      </c>
      <c r="AF906" s="8">
        <f t="shared" si="132"/>
        <v>242373015.22402403</v>
      </c>
      <c r="AG906" s="8">
        <f t="shared" si="133"/>
        <v>258196731.18610203</v>
      </c>
      <c r="AH906" s="8">
        <f t="shared" si="134"/>
        <v>0</v>
      </c>
      <c r="AI906" s="8">
        <f t="shared" si="135"/>
        <v>0</v>
      </c>
    </row>
    <row r="907" spans="1:35" x14ac:dyDescent="0.55000000000000004">
      <c r="A907" s="1">
        <v>905</v>
      </c>
      <c r="B907" s="1" t="s">
        <v>20</v>
      </c>
      <c r="C907" s="1">
        <v>60</v>
      </c>
      <c r="D907" s="1">
        <v>1</v>
      </c>
      <c r="E907" s="1" t="s">
        <v>137</v>
      </c>
      <c r="F907" s="1" t="s">
        <v>138</v>
      </c>
      <c r="G907" s="1">
        <v>27</v>
      </c>
      <c r="H907" s="1">
        <v>2</v>
      </c>
      <c r="I907" s="1">
        <v>27010000</v>
      </c>
      <c r="J907" s="1">
        <v>1158</v>
      </c>
      <c r="K907" s="1">
        <v>0</v>
      </c>
      <c r="L907" s="1">
        <v>14712</v>
      </c>
      <c r="M907" s="1">
        <v>14.011680999999999</v>
      </c>
      <c r="N907" s="1">
        <v>102.020645</v>
      </c>
      <c r="O907" s="1">
        <v>0</v>
      </c>
      <c r="P907" s="1">
        <v>0</v>
      </c>
      <c r="Q907" s="1">
        <v>7.0000000000000007E-2</v>
      </c>
      <c r="R907" s="1">
        <v>0.01</v>
      </c>
      <c r="S907" s="1">
        <v>0.25</v>
      </c>
      <c r="T907" s="1">
        <v>23.93</v>
      </c>
      <c r="U907" s="1">
        <v>15.74</v>
      </c>
      <c r="V907" s="1">
        <v>0</v>
      </c>
      <c r="W907" s="1">
        <v>0</v>
      </c>
      <c r="X907" s="1">
        <v>31557.842780999999</v>
      </c>
      <c r="Y907" s="1">
        <v>61792656.875799999</v>
      </c>
      <c r="Z907" t="str">
        <f>VLOOKUP(G907,'Code Pro'!$A$2:$B$9,2,FALSE)</f>
        <v>จ.สระแก้ว</v>
      </c>
      <c r="AA907" s="8">
        <f t="shared" si="127"/>
        <v>0</v>
      </c>
      <c r="AB907" s="8">
        <f t="shared" si="128"/>
        <v>0</v>
      </c>
      <c r="AC907" s="8">
        <f t="shared" si="129"/>
        <v>4325485.9813060006</v>
      </c>
      <c r="AD907" s="8">
        <f t="shared" si="130"/>
        <v>617926.56875800004</v>
      </c>
      <c r="AE907" s="8">
        <f t="shared" si="131"/>
        <v>15448164.21895</v>
      </c>
      <c r="AF907" s="8">
        <f t="shared" si="132"/>
        <v>1478698279.037894</v>
      </c>
      <c r="AG907" s="8">
        <f t="shared" si="133"/>
        <v>972616419.22509193</v>
      </c>
      <c r="AH907" s="8">
        <f t="shared" si="134"/>
        <v>0</v>
      </c>
      <c r="AI907" s="8">
        <f t="shared" si="135"/>
        <v>0</v>
      </c>
    </row>
    <row r="908" spans="1:35" x14ac:dyDescent="0.55000000000000004">
      <c r="A908" s="1">
        <v>906</v>
      </c>
      <c r="B908" s="1" t="s">
        <v>20</v>
      </c>
      <c r="C908" s="1">
        <v>60</v>
      </c>
      <c r="D908" s="1">
        <v>1</v>
      </c>
      <c r="E908" s="1" t="s">
        <v>137</v>
      </c>
      <c r="F908" s="1" t="s">
        <v>138</v>
      </c>
      <c r="G908" s="1">
        <v>27</v>
      </c>
      <c r="H908" s="1">
        <v>2</v>
      </c>
      <c r="I908" s="1">
        <v>27010000</v>
      </c>
      <c r="J908" s="1">
        <v>1160</v>
      </c>
      <c r="K908" s="1">
        <v>0</v>
      </c>
      <c r="L908" s="1">
        <v>14713</v>
      </c>
      <c r="M908" s="1">
        <v>14.011680999999999</v>
      </c>
      <c r="N908" s="1">
        <v>102.10378</v>
      </c>
      <c r="O908" s="1">
        <v>0</v>
      </c>
      <c r="P908" s="1">
        <v>2.09</v>
      </c>
      <c r="Q908" s="1">
        <v>0.14000000000000001</v>
      </c>
      <c r="R908" s="1">
        <v>0.09</v>
      </c>
      <c r="S908" s="1">
        <v>1.43</v>
      </c>
      <c r="T908" s="1">
        <v>18.68</v>
      </c>
      <c r="U908" s="1">
        <v>3.11</v>
      </c>
      <c r="V908" s="1">
        <v>0.22</v>
      </c>
      <c r="W908" s="1">
        <v>0</v>
      </c>
      <c r="X908" s="1">
        <v>35330.56581</v>
      </c>
      <c r="Y908" s="1">
        <v>77233655.298800007</v>
      </c>
      <c r="Z908" t="str">
        <f>VLOOKUP(G908,'Code Pro'!$A$2:$B$9,2,FALSE)</f>
        <v>จ.สระแก้ว</v>
      </c>
      <c r="AA908" s="8">
        <f t="shared" si="127"/>
        <v>0</v>
      </c>
      <c r="AB908" s="8">
        <f t="shared" si="128"/>
        <v>161418339.57449201</v>
      </c>
      <c r="AC908" s="8">
        <f t="shared" si="129"/>
        <v>10812711.741832001</v>
      </c>
      <c r="AD908" s="8">
        <f t="shared" si="130"/>
        <v>6951028.9768920001</v>
      </c>
      <c r="AE908" s="8">
        <f t="shared" si="131"/>
        <v>110444127.07728401</v>
      </c>
      <c r="AF908" s="8">
        <f t="shared" si="132"/>
        <v>1442724680.9815841</v>
      </c>
      <c r="AG908" s="8">
        <f t="shared" si="133"/>
        <v>240196667.97926801</v>
      </c>
      <c r="AH908" s="8">
        <f t="shared" si="134"/>
        <v>16991404.165736001</v>
      </c>
      <c r="AI908" s="8">
        <f t="shared" si="135"/>
        <v>0</v>
      </c>
    </row>
    <row r="909" spans="1:35" x14ac:dyDescent="0.55000000000000004">
      <c r="A909" s="1">
        <v>907</v>
      </c>
      <c r="B909" s="1" t="s">
        <v>20</v>
      </c>
      <c r="C909" s="1">
        <v>60</v>
      </c>
      <c r="D909" s="1">
        <v>1</v>
      </c>
      <c r="E909" s="1" t="s">
        <v>137</v>
      </c>
      <c r="F909" s="1" t="s">
        <v>138</v>
      </c>
      <c r="G909" s="1">
        <v>27</v>
      </c>
      <c r="H909" s="1">
        <v>2</v>
      </c>
      <c r="I909" s="1">
        <v>27010000</v>
      </c>
      <c r="J909" s="1">
        <v>1161</v>
      </c>
      <c r="K909" s="1">
        <v>0</v>
      </c>
      <c r="L909" s="1">
        <v>14834</v>
      </c>
      <c r="M909" s="1">
        <v>14.092331</v>
      </c>
      <c r="N909" s="1">
        <v>102.18692</v>
      </c>
      <c r="O909" s="1">
        <v>6.73</v>
      </c>
      <c r="P909" s="1">
        <v>0.41</v>
      </c>
      <c r="Q909" s="1">
        <v>0.21</v>
      </c>
      <c r="R909" s="1">
        <v>0.64</v>
      </c>
      <c r="S909" s="1">
        <v>0.2</v>
      </c>
      <c r="T909" s="1">
        <v>61.43</v>
      </c>
      <c r="U909" s="1">
        <v>2.5499999999999998</v>
      </c>
      <c r="V909" s="1">
        <v>0.17</v>
      </c>
      <c r="W909" s="1">
        <v>0</v>
      </c>
      <c r="X909" s="1">
        <v>35836.893919000002</v>
      </c>
      <c r="Y909" s="1">
        <v>80266860.884900004</v>
      </c>
      <c r="Z909" t="str">
        <f>VLOOKUP(G909,'Code Pro'!$A$2:$B$9,2,FALSE)</f>
        <v>จ.สระแก้ว</v>
      </c>
      <c r="AA909" s="8">
        <f t="shared" si="127"/>
        <v>540195973.75537705</v>
      </c>
      <c r="AB909" s="8">
        <f t="shared" si="128"/>
        <v>32909412.962809</v>
      </c>
      <c r="AC909" s="8">
        <f t="shared" si="129"/>
        <v>16856040.785829</v>
      </c>
      <c r="AD909" s="8">
        <f t="shared" si="130"/>
        <v>51370790.966336004</v>
      </c>
      <c r="AE909" s="8">
        <f t="shared" si="131"/>
        <v>16053372.176980002</v>
      </c>
      <c r="AF909" s="8">
        <f t="shared" si="132"/>
        <v>4930793264.1594076</v>
      </c>
      <c r="AG909" s="8">
        <f t="shared" si="133"/>
        <v>204680495.256495</v>
      </c>
      <c r="AH909" s="8">
        <f t="shared" si="134"/>
        <v>13645366.350433001</v>
      </c>
      <c r="AI909" s="8">
        <f t="shared" si="135"/>
        <v>0</v>
      </c>
    </row>
    <row r="910" spans="1:35" x14ac:dyDescent="0.55000000000000004">
      <c r="A910" s="1">
        <v>908</v>
      </c>
      <c r="B910" s="1" t="s">
        <v>20</v>
      </c>
      <c r="C910" s="1">
        <v>60</v>
      </c>
      <c r="D910" s="1">
        <v>1</v>
      </c>
      <c r="E910" s="1" t="s">
        <v>137</v>
      </c>
      <c r="F910" s="1" t="s">
        <v>138</v>
      </c>
      <c r="G910" s="1">
        <v>27</v>
      </c>
      <c r="H910" s="1">
        <v>2</v>
      </c>
      <c r="I910" s="1">
        <v>27010000</v>
      </c>
      <c r="J910" s="1">
        <v>1162</v>
      </c>
      <c r="K910" s="1">
        <v>0</v>
      </c>
      <c r="L910" s="1">
        <v>14833</v>
      </c>
      <c r="M910" s="1">
        <v>14.092331</v>
      </c>
      <c r="N910" s="1">
        <v>102.10378</v>
      </c>
      <c r="O910" s="1">
        <v>0.03</v>
      </c>
      <c r="P910" s="1">
        <v>0.26</v>
      </c>
      <c r="Q910" s="1">
        <v>0.26</v>
      </c>
      <c r="R910" s="1">
        <v>0.06</v>
      </c>
      <c r="S910" s="1">
        <v>0.01</v>
      </c>
      <c r="T910" s="1">
        <v>98.800003000000004</v>
      </c>
      <c r="U910" s="1">
        <v>4.71</v>
      </c>
      <c r="V910" s="1">
        <v>0</v>
      </c>
      <c r="W910" s="1">
        <v>0</v>
      </c>
      <c r="X910" s="1">
        <v>30280.107927000001</v>
      </c>
      <c r="Y910" s="1">
        <v>51912433.068999998</v>
      </c>
      <c r="Z910" t="str">
        <f>VLOOKUP(G910,'Code Pro'!$A$2:$B$9,2,FALSE)</f>
        <v>จ.สระแก้ว</v>
      </c>
      <c r="AA910" s="8">
        <f t="shared" si="127"/>
        <v>1557372.9920699999</v>
      </c>
      <c r="AB910" s="8">
        <f t="shared" si="128"/>
        <v>13497232.59794</v>
      </c>
      <c r="AC910" s="8">
        <f t="shared" si="129"/>
        <v>13497232.59794</v>
      </c>
      <c r="AD910" s="8">
        <f t="shared" si="130"/>
        <v>3114745.9841399998</v>
      </c>
      <c r="AE910" s="8">
        <f t="shared" si="131"/>
        <v>519124.33068999997</v>
      </c>
      <c r="AF910" s="8">
        <f t="shared" si="132"/>
        <v>5128948542.9544992</v>
      </c>
      <c r="AG910" s="8">
        <f t="shared" si="133"/>
        <v>244507559.75498998</v>
      </c>
      <c r="AH910" s="8">
        <f t="shared" si="134"/>
        <v>0</v>
      </c>
      <c r="AI910" s="8">
        <f t="shared" si="135"/>
        <v>0</v>
      </c>
    </row>
    <row r="911" spans="1:35" x14ac:dyDescent="0.55000000000000004">
      <c r="A911" s="1">
        <v>909</v>
      </c>
      <c r="B911" s="1" t="s">
        <v>20</v>
      </c>
      <c r="C911" s="1">
        <v>60</v>
      </c>
      <c r="D911" s="1">
        <v>1</v>
      </c>
      <c r="E911" s="1" t="s">
        <v>137</v>
      </c>
      <c r="F911" s="1" t="s">
        <v>138</v>
      </c>
      <c r="G911" s="1">
        <v>27</v>
      </c>
      <c r="H911" s="1">
        <v>2</v>
      </c>
      <c r="I911" s="1">
        <v>27010000</v>
      </c>
      <c r="J911" s="1">
        <v>1163</v>
      </c>
      <c r="K911" s="1">
        <v>0</v>
      </c>
      <c r="L911" s="1">
        <v>14714</v>
      </c>
      <c r="M911" s="1">
        <v>14.011680999999999</v>
      </c>
      <c r="N911" s="1">
        <v>102.18692</v>
      </c>
      <c r="O911" s="1">
        <v>2.13</v>
      </c>
      <c r="P911" s="1">
        <v>0</v>
      </c>
      <c r="Q911" s="1">
        <v>7.0000000000000007E-2</v>
      </c>
      <c r="R911" s="1">
        <v>0.28000000000000003</v>
      </c>
      <c r="S911" s="1">
        <v>0.01</v>
      </c>
      <c r="T911" s="1">
        <v>18.360001</v>
      </c>
      <c r="U911" s="1">
        <v>0.75</v>
      </c>
      <c r="V911" s="1">
        <v>0.55000000000000004</v>
      </c>
      <c r="W911" s="1">
        <v>0</v>
      </c>
      <c r="X911" s="1">
        <v>35849.973255999997</v>
      </c>
      <c r="Y911" s="1">
        <v>80325468.440200001</v>
      </c>
      <c r="Z911" t="str">
        <f>VLOOKUP(G911,'Code Pro'!$A$2:$B$9,2,FALSE)</f>
        <v>จ.สระแก้ว</v>
      </c>
      <c r="AA911" s="8">
        <f t="shared" si="127"/>
        <v>171093247.77762601</v>
      </c>
      <c r="AB911" s="8">
        <f t="shared" si="128"/>
        <v>0</v>
      </c>
      <c r="AC911" s="8">
        <f t="shared" si="129"/>
        <v>5622782.7908140002</v>
      </c>
      <c r="AD911" s="8">
        <f t="shared" si="130"/>
        <v>22491131.163256001</v>
      </c>
      <c r="AE911" s="8">
        <f t="shared" si="131"/>
        <v>803254.68440200004</v>
      </c>
      <c r="AF911" s="8">
        <f t="shared" si="132"/>
        <v>1474775680.8875406</v>
      </c>
      <c r="AG911" s="8">
        <f t="shared" si="133"/>
        <v>60244101.330150001</v>
      </c>
      <c r="AH911" s="8">
        <f t="shared" si="134"/>
        <v>44179007.642110005</v>
      </c>
      <c r="AI911" s="8">
        <f t="shared" si="135"/>
        <v>0</v>
      </c>
    </row>
    <row r="912" spans="1:35" x14ac:dyDescent="0.55000000000000004">
      <c r="A912" s="1">
        <v>910</v>
      </c>
      <c r="B912" s="1" t="s">
        <v>20</v>
      </c>
      <c r="C912" s="1">
        <v>60</v>
      </c>
      <c r="D912" s="1">
        <v>1</v>
      </c>
      <c r="E912" s="1" t="s">
        <v>137</v>
      </c>
      <c r="F912" s="1" t="s">
        <v>138</v>
      </c>
      <c r="G912" s="1">
        <v>27</v>
      </c>
      <c r="H912" s="1">
        <v>2</v>
      </c>
      <c r="I912" s="1">
        <v>27010000</v>
      </c>
      <c r="J912" s="1">
        <v>1166</v>
      </c>
      <c r="K912" s="1">
        <v>0</v>
      </c>
      <c r="L912" s="1">
        <v>14953</v>
      </c>
      <c r="M912" s="1">
        <v>14.172943</v>
      </c>
      <c r="N912" s="1">
        <v>102.10378</v>
      </c>
      <c r="O912" s="1">
        <v>2.9</v>
      </c>
      <c r="P912" s="1">
        <v>1.3</v>
      </c>
      <c r="Q912" s="1">
        <v>0.09</v>
      </c>
      <c r="R912" s="1">
        <v>0.43</v>
      </c>
      <c r="S912" s="1">
        <v>0.09</v>
      </c>
      <c r="T912" s="1">
        <v>8.2899999999999991</v>
      </c>
      <c r="U912" s="1">
        <v>1.1599999999999999</v>
      </c>
      <c r="V912" s="1">
        <v>0.01</v>
      </c>
      <c r="W912" s="1">
        <v>0.03</v>
      </c>
      <c r="X912" s="1">
        <v>12290.637178999999</v>
      </c>
      <c r="Y912" s="1">
        <v>5588328.1423899997</v>
      </c>
      <c r="Z912" t="str">
        <f>VLOOKUP(G912,'Code Pro'!$A$2:$B$9,2,FALSE)</f>
        <v>จ.สระแก้ว</v>
      </c>
      <c r="AA912" s="8">
        <f t="shared" si="127"/>
        <v>16206151.612930998</v>
      </c>
      <c r="AB912" s="8">
        <f t="shared" si="128"/>
        <v>7264826.5851069996</v>
      </c>
      <c r="AC912" s="8">
        <f t="shared" si="129"/>
        <v>502949.53281509993</v>
      </c>
      <c r="AD912" s="8">
        <f t="shared" si="130"/>
        <v>2402981.1012276998</v>
      </c>
      <c r="AE912" s="8">
        <f t="shared" si="131"/>
        <v>502949.53281509993</v>
      </c>
      <c r="AF912" s="8">
        <f t="shared" si="132"/>
        <v>46327240.300413094</v>
      </c>
      <c r="AG912" s="8">
        <f t="shared" si="133"/>
        <v>6482460.6451723995</v>
      </c>
      <c r="AH912" s="8">
        <f t="shared" si="134"/>
        <v>55883.2814239</v>
      </c>
      <c r="AI912" s="8">
        <f t="shared" si="135"/>
        <v>167649.84427169999</v>
      </c>
    </row>
    <row r="913" spans="1:35" x14ac:dyDescent="0.55000000000000004">
      <c r="A913" s="1">
        <v>911</v>
      </c>
      <c r="B913" s="1" t="s">
        <v>20</v>
      </c>
      <c r="C913" s="1">
        <v>60</v>
      </c>
      <c r="D913" s="1">
        <v>1</v>
      </c>
      <c r="E913" s="1" t="s">
        <v>137</v>
      </c>
      <c r="F913" s="1" t="s">
        <v>138</v>
      </c>
      <c r="G913" s="1">
        <v>27</v>
      </c>
      <c r="H913" s="1">
        <v>2</v>
      </c>
      <c r="I913" s="1">
        <v>27010000</v>
      </c>
      <c r="J913" s="1">
        <v>1168</v>
      </c>
      <c r="K913" s="1">
        <v>0</v>
      </c>
      <c r="L913" s="1">
        <v>14954</v>
      </c>
      <c r="M913" s="1">
        <v>14.172943</v>
      </c>
      <c r="N913" s="1">
        <v>102.18692</v>
      </c>
      <c r="O913" s="1">
        <v>7.35</v>
      </c>
      <c r="P913" s="1">
        <v>20.99</v>
      </c>
      <c r="Q913" s="1">
        <v>0.09</v>
      </c>
      <c r="R913" s="1">
        <v>0.69</v>
      </c>
      <c r="S913" s="1">
        <v>0.28000000000000003</v>
      </c>
      <c r="T913" s="1">
        <v>6.95</v>
      </c>
      <c r="U913" s="1">
        <v>1.88</v>
      </c>
      <c r="V913" s="1">
        <v>0.19</v>
      </c>
      <c r="W913" s="1">
        <v>0.06</v>
      </c>
      <c r="X913" s="1">
        <v>29580.566192999999</v>
      </c>
      <c r="Y913" s="1">
        <v>32098518.259199999</v>
      </c>
      <c r="Z913" t="str">
        <f>VLOOKUP(G913,'Code Pro'!$A$2:$B$9,2,FALSE)</f>
        <v>จ.สระแก้ว</v>
      </c>
      <c r="AA913" s="8">
        <f t="shared" si="127"/>
        <v>235924109.20512</v>
      </c>
      <c r="AB913" s="8">
        <f t="shared" si="128"/>
        <v>673747898.26060796</v>
      </c>
      <c r="AC913" s="8">
        <f t="shared" si="129"/>
        <v>2888866.6433279999</v>
      </c>
      <c r="AD913" s="8">
        <f t="shared" si="130"/>
        <v>22147977.598847996</v>
      </c>
      <c r="AE913" s="8">
        <f t="shared" si="131"/>
        <v>8987585.1125760004</v>
      </c>
      <c r="AF913" s="8">
        <f t="shared" si="132"/>
        <v>223084701.90143999</v>
      </c>
      <c r="AG913" s="8">
        <f t="shared" si="133"/>
        <v>60345214.327295996</v>
      </c>
      <c r="AH913" s="8">
        <f t="shared" si="134"/>
        <v>6098718.4692479996</v>
      </c>
      <c r="AI913" s="8">
        <f t="shared" si="135"/>
        <v>1925911.095552</v>
      </c>
    </row>
    <row r="914" spans="1:35" x14ac:dyDescent="0.55000000000000004">
      <c r="A914" s="1">
        <v>912</v>
      </c>
      <c r="B914" s="1" t="s">
        <v>20</v>
      </c>
      <c r="C914" s="1">
        <v>60</v>
      </c>
      <c r="D914" s="1">
        <v>1</v>
      </c>
      <c r="E914" s="1" t="s">
        <v>137</v>
      </c>
      <c r="F914" s="1" t="s">
        <v>138</v>
      </c>
      <c r="G914" s="1">
        <v>27</v>
      </c>
      <c r="H914" s="1">
        <v>2</v>
      </c>
      <c r="I914" s="1">
        <v>27010000</v>
      </c>
      <c r="J914" s="1">
        <v>1170</v>
      </c>
      <c r="K914" s="1">
        <v>0</v>
      </c>
      <c r="L914" s="1">
        <v>14716</v>
      </c>
      <c r="M914" s="1">
        <v>14.011680999999999</v>
      </c>
      <c r="N914" s="1">
        <v>102.35319</v>
      </c>
      <c r="O914" s="1">
        <v>0.04</v>
      </c>
      <c r="P914" s="1">
        <v>0.04</v>
      </c>
      <c r="Q914" s="1">
        <v>0.08</v>
      </c>
      <c r="R914" s="1">
        <v>5.93</v>
      </c>
      <c r="S914" s="1">
        <v>0.01</v>
      </c>
      <c r="T914" s="1">
        <v>8.0399999999999991</v>
      </c>
      <c r="U914" s="1">
        <v>1.66</v>
      </c>
      <c r="V914" s="1">
        <v>0.01</v>
      </c>
      <c r="W914" s="1">
        <v>0</v>
      </c>
      <c r="X914" s="1">
        <v>133.882867</v>
      </c>
      <c r="Y914" s="1">
        <v>63.372245999999997</v>
      </c>
      <c r="Z914" t="str">
        <f>VLOOKUP(G914,'Code Pro'!$A$2:$B$9,2,FALSE)</f>
        <v>จ.สระแก้ว</v>
      </c>
      <c r="AA914" s="8">
        <f t="shared" si="127"/>
        <v>2.5348898399999999</v>
      </c>
      <c r="AB914" s="8">
        <f t="shared" si="128"/>
        <v>2.5348898399999999</v>
      </c>
      <c r="AC914" s="8">
        <f t="shared" si="129"/>
        <v>5.0697796799999999</v>
      </c>
      <c r="AD914" s="8">
        <f t="shared" si="130"/>
        <v>375.79741877999999</v>
      </c>
      <c r="AE914" s="8">
        <f t="shared" si="131"/>
        <v>0.63372245999999999</v>
      </c>
      <c r="AF914" s="8">
        <f t="shared" si="132"/>
        <v>509.51285783999992</v>
      </c>
      <c r="AG914" s="8">
        <f t="shared" si="133"/>
        <v>105.19792835999999</v>
      </c>
      <c r="AH914" s="8">
        <f t="shared" si="134"/>
        <v>0.63372245999999999</v>
      </c>
      <c r="AI914" s="8">
        <f t="shared" si="135"/>
        <v>0</v>
      </c>
    </row>
    <row r="915" spans="1:35" x14ac:dyDescent="0.55000000000000004">
      <c r="A915" s="1">
        <v>913</v>
      </c>
      <c r="B915" s="1" t="s">
        <v>20</v>
      </c>
      <c r="C915" s="1">
        <v>60</v>
      </c>
      <c r="D915" s="1">
        <v>1</v>
      </c>
      <c r="E915" s="1" t="s">
        <v>137</v>
      </c>
      <c r="F915" s="1" t="s">
        <v>138</v>
      </c>
      <c r="G915" s="1">
        <v>27</v>
      </c>
      <c r="H915" s="1">
        <v>2</v>
      </c>
      <c r="I915" s="1">
        <v>27010000</v>
      </c>
      <c r="J915" s="1">
        <v>1171</v>
      </c>
      <c r="K915" s="1">
        <v>0</v>
      </c>
      <c r="L915" s="1">
        <v>14715</v>
      </c>
      <c r="M915" s="1">
        <v>14.011680999999999</v>
      </c>
      <c r="N915" s="1">
        <v>102.27006</v>
      </c>
      <c r="O915" s="1">
        <v>0.17</v>
      </c>
      <c r="P915" s="1">
        <v>0.49</v>
      </c>
      <c r="Q915" s="1">
        <v>0.12</v>
      </c>
      <c r="R915" s="1">
        <v>1.26</v>
      </c>
      <c r="S915" s="1">
        <v>0.01</v>
      </c>
      <c r="T915" s="1">
        <v>7.01</v>
      </c>
      <c r="U915" s="1">
        <v>0.64</v>
      </c>
      <c r="V915" s="1">
        <v>0.01</v>
      </c>
      <c r="W915" s="1">
        <v>0</v>
      </c>
      <c r="X915" s="1">
        <v>33595.423388000003</v>
      </c>
      <c r="Y915" s="1">
        <v>59148216.753600001</v>
      </c>
      <c r="Z915" t="str">
        <f>VLOOKUP(G915,'Code Pro'!$A$2:$B$9,2,FALSE)</f>
        <v>จ.สระแก้ว</v>
      </c>
      <c r="AA915" s="8">
        <f t="shared" si="127"/>
        <v>10055196.848112</v>
      </c>
      <c r="AB915" s="8">
        <f t="shared" si="128"/>
        <v>28982626.209263999</v>
      </c>
      <c r="AC915" s="8">
        <f t="shared" si="129"/>
        <v>7097786.0104320003</v>
      </c>
      <c r="AD915" s="8">
        <f t="shared" si="130"/>
        <v>74526753.109536007</v>
      </c>
      <c r="AE915" s="8">
        <f t="shared" si="131"/>
        <v>591482.16753600002</v>
      </c>
      <c r="AF915" s="8">
        <f t="shared" si="132"/>
        <v>414628999.44273597</v>
      </c>
      <c r="AG915" s="8">
        <f t="shared" si="133"/>
        <v>37854858.722304001</v>
      </c>
      <c r="AH915" s="8">
        <f t="shared" si="134"/>
        <v>591482.16753600002</v>
      </c>
      <c r="AI915" s="8">
        <f t="shared" si="135"/>
        <v>0</v>
      </c>
    </row>
    <row r="916" spans="1:35" x14ac:dyDescent="0.55000000000000004">
      <c r="A916" s="1">
        <v>914</v>
      </c>
      <c r="B916" s="1" t="s">
        <v>20</v>
      </c>
      <c r="C916" s="1">
        <v>60</v>
      </c>
      <c r="D916" s="1">
        <v>1</v>
      </c>
      <c r="E916" s="1" t="s">
        <v>137</v>
      </c>
      <c r="F916" s="1" t="s">
        <v>138</v>
      </c>
      <c r="G916" s="1">
        <v>27</v>
      </c>
      <c r="H916" s="1">
        <v>2</v>
      </c>
      <c r="I916" s="1">
        <v>27010000</v>
      </c>
      <c r="J916" s="1">
        <v>1172</v>
      </c>
      <c r="K916" s="1">
        <v>0</v>
      </c>
      <c r="L916" s="1">
        <v>14836</v>
      </c>
      <c r="M916" s="1">
        <v>14.092331</v>
      </c>
      <c r="N916" s="1">
        <v>102.35319</v>
      </c>
      <c r="O916" s="1">
        <v>1.95</v>
      </c>
      <c r="P916" s="1">
        <v>0.35</v>
      </c>
      <c r="Q916" s="1">
        <v>0.24</v>
      </c>
      <c r="R916" s="1">
        <v>1.35</v>
      </c>
      <c r="S916" s="1">
        <v>0.74</v>
      </c>
      <c r="T916" s="1">
        <v>26.280000999999999</v>
      </c>
      <c r="U916" s="1">
        <v>1.01</v>
      </c>
      <c r="V916" s="1">
        <v>0.44</v>
      </c>
      <c r="W916" s="1">
        <v>0</v>
      </c>
      <c r="X916" s="1">
        <v>11193.124577</v>
      </c>
      <c r="Y916" s="1">
        <v>5152858.4656100003</v>
      </c>
      <c r="Z916" t="str">
        <f>VLOOKUP(G916,'Code Pro'!$A$2:$B$9,2,FALSE)</f>
        <v>จ.สระแก้ว</v>
      </c>
      <c r="AA916" s="8">
        <f t="shared" si="127"/>
        <v>10048074.007939501</v>
      </c>
      <c r="AB916" s="8">
        <f t="shared" si="128"/>
        <v>1803500.4629635001</v>
      </c>
      <c r="AC916" s="8">
        <f t="shared" si="129"/>
        <v>1236686.0317464001</v>
      </c>
      <c r="AD916" s="8">
        <f t="shared" si="130"/>
        <v>6956358.9285735013</v>
      </c>
      <c r="AE916" s="8">
        <f t="shared" si="131"/>
        <v>3813115.2645514002</v>
      </c>
      <c r="AF916" s="8">
        <f t="shared" si="132"/>
        <v>135417125.62908927</v>
      </c>
      <c r="AG916" s="8">
        <f t="shared" si="133"/>
        <v>5204387.0502661001</v>
      </c>
      <c r="AH916" s="8">
        <f t="shared" si="134"/>
        <v>2267257.7248684</v>
      </c>
      <c r="AI916" s="8">
        <f t="shared" si="135"/>
        <v>0</v>
      </c>
    </row>
    <row r="917" spans="1:35" x14ac:dyDescent="0.55000000000000004">
      <c r="A917" s="1">
        <v>915</v>
      </c>
      <c r="B917" s="1" t="s">
        <v>20</v>
      </c>
      <c r="C917" s="1">
        <v>60</v>
      </c>
      <c r="D917" s="1">
        <v>1</v>
      </c>
      <c r="E917" s="1" t="s">
        <v>137</v>
      </c>
      <c r="F917" s="1" t="s">
        <v>138</v>
      </c>
      <c r="G917" s="1">
        <v>27</v>
      </c>
      <c r="H917" s="1">
        <v>2</v>
      </c>
      <c r="I917" s="1">
        <v>27010000</v>
      </c>
      <c r="J917" s="1">
        <v>1174</v>
      </c>
      <c r="K917" s="1">
        <v>0</v>
      </c>
      <c r="L917" s="1">
        <v>14955</v>
      </c>
      <c r="M917" s="1">
        <v>14.172943</v>
      </c>
      <c r="N917" s="1">
        <v>102.27006</v>
      </c>
      <c r="O917" s="1">
        <v>6.33</v>
      </c>
      <c r="P917" s="1">
        <v>3.35</v>
      </c>
      <c r="Q917" s="1">
        <v>0.26</v>
      </c>
      <c r="R917" s="1">
        <v>0.98</v>
      </c>
      <c r="S917" s="1">
        <v>0.08</v>
      </c>
      <c r="T917" s="1">
        <v>3.68</v>
      </c>
      <c r="U917" s="1">
        <v>3.2</v>
      </c>
      <c r="V917" s="1">
        <v>0</v>
      </c>
      <c r="W917" s="1">
        <v>0</v>
      </c>
      <c r="X917" s="1">
        <v>14017.420889999999</v>
      </c>
      <c r="Y917" s="1">
        <v>5874541.3659899998</v>
      </c>
      <c r="Z917" t="str">
        <f>VLOOKUP(G917,'Code Pro'!$A$2:$B$9,2,FALSE)</f>
        <v>จ.สระแก้ว</v>
      </c>
      <c r="AA917" s="8">
        <f t="shared" si="127"/>
        <v>37185846.846716702</v>
      </c>
      <c r="AB917" s="8">
        <f t="shared" si="128"/>
        <v>19679713.576066501</v>
      </c>
      <c r="AC917" s="8">
        <f t="shared" si="129"/>
        <v>1527380.7551573999</v>
      </c>
      <c r="AD917" s="8">
        <f t="shared" si="130"/>
        <v>5757050.5386701999</v>
      </c>
      <c r="AE917" s="8">
        <f t="shared" si="131"/>
        <v>469963.30927919998</v>
      </c>
      <c r="AF917" s="8">
        <f t="shared" si="132"/>
        <v>21618312.226843201</v>
      </c>
      <c r="AG917" s="8">
        <f t="shared" si="133"/>
        <v>18798532.371167999</v>
      </c>
      <c r="AH917" s="8">
        <f t="shared" si="134"/>
        <v>0</v>
      </c>
      <c r="AI917" s="8">
        <f t="shared" si="135"/>
        <v>0</v>
      </c>
    </row>
    <row r="918" spans="1:35" x14ac:dyDescent="0.55000000000000004">
      <c r="A918" s="1">
        <v>916</v>
      </c>
      <c r="B918" s="1" t="s">
        <v>20</v>
      </c>
      <c r="C918" s="1">
        <v>60</v>
      </c>
      <c r="D918" s="1">
        <v>1</v>
      </c>
      <c r="E918" s="1" t="s">
        <v>137</v>
      </c>
      <c r="F918" s="1" t="s">
        <v>138</v>
      </c>
      <c r="G918" s="1">
        <v>27</v>
      </c>
      <c r="H918" s="1">
        <v>2</v>
      </c>
      <c r="I918" s="1">
        <v>27010000</v>
      </c>
      <c r="J918" s="1">
        <v>1175</v>
      </c>
      <c r="K918" s="1">
        <v>0</v>
      </c>
      <c r="L918" s="1">
        <v>14835</v>
      </c>
      <c r="M918" s="1">
        <v>14.092331</v>
      </c>
      <c r="N918" s="1">
        <v>102.27006</v>
      </c>
      <c r="O918" s="1">
        <v>5.46</v>
      </c>
      <c r="P918" s="1">
        <v>2.31</v>
      </c>
      <c r="Q918" s="1">
        <v>1.05</v>
      </c>
      <c r="R918" s="1">
        <v>0.3</v>
      </c>
      <c r="S918" s="1">
        <v>0.82</v>
      </c>
      <c r="T918" s="1">
        <v>32.889999000000003</v>
      </c>
      <c r="U918" s="1">
        <v>0.23</v>
      </c>
      <c r="V918" s="1">
        <v>0.24</v>
      </c>
      <c r="W918" s="1">
        <v>0</v>
      </c>
      <c r="X918" s="1">
        <v>36185.186367000002</v>
      </c>
      <c r="Y918" s="1">
        <v>77072530.355299994</v>
      </c>
      <c r="Z918" t="str">
        <f>VLOOKUP(G918,'Code Pro'!$A$2:$B$9,2,FALSE)</f>
        <v>จ.สระแก้ว</v>
      </c>
      <c r="AA918" s="8">
        <f t="shared" si="127"/>
        <v>420816015.73993796</v>
      </c>
      <c r="AB918" s="8">
        <f t="shared" si="128"/>
        <v>178037545.12074298</v>
      </c>
      <c r="AC918" s="8">
        <f t="shared" si="129"/>
        <v>80926156.873064995</v>
      </c>
      <c r="AD918" s="8">
        <f t="shared" si="130"/>
        <v>23121759.106589999</v>
      </c>
      <c r="AE918" s="8">
        <f t="shared" si="131"/>
        <v>63199474.891345993</v>
      </c>
      <c r="AF918" s="8">
        <f t="shared" si="132"/>
        <v>2534915446.3132868</v>
      </c>
      <c r="AG918" s="8">
        <f t="shared" si="133"/>
        <v>17726681.981718998</v>
      </c>
      <c r="AH918" s="8">
        <f t="shared" si="134"/>
        <v>18497407.285271998</v>
      </c>
      <c r="AI918" s="8">
        <f t="shared" si="135"/>
        <v>0</v>
      </c>
    </row>
    <row r="919" spans="1:35" x14ac:dyDescent="0.55000000000000004">
      <c r="A919" s="1">
        <v>917</v>
      </c>
      <c r="B919" s="1" t="s">
        <v>20</v>
      </c>
      <c r="C919" s="1">
        <v>61</v>
      </c>
      <c r="D919" s="1">
        <v>2</v>
      </c>
      <c r="E919" s="1" t="s">
        <v>139</v>
      </c>
      <c r="F919" s="1" t="s">
        <v>140</v>
      </c>
      <c r="G919" s="1">
        <v>27</v>
      </c>
      <c r="H919" s="1">
        <v>2</v>
      </c>
      <c r="I919" s="1">
        <v>27020000</v>
      </c>
      <c r="J919" s="1">
        <v>984</v>
      </c>
      <c r="K919" s="1">
        <v>0</v>
      </c>
      <c r="L919" s="1">
        <v>13875</v>
      </c>
      <c r="M919" s="1">
        <v>13.446358</v>
      </c>
      <c r="N919" s="1">
        <v>102.27006</v>
      </c>
      <c r="O919" s="1">
        <v>9.73</v>
      </c>
      <c r="P919" s="1">
        <v>3.23</v>
      </c>
      <c r="Q919" s="1">
        <v>0.01</v>
      </c>
      <c r="R919" s="1">
        <v>13.65</v>
      </c>
      <c r="S919" s="1">
        <v>1.71</v>
      </c>
      <c r="T919" s="1">
        <v>13.83</v>
      </c>
      <c r="U919" s="1">
        <v>7.5</v>
      </c>
      <c r="V919" s="1">
        <v>0.02</v>
      </c>
      <c r="W919" s="1">
        <v>0.02</v>
      </c>
      <c r="X919" s="1">
        <v>37864.512345000003</v>
      </c>
      <c r="Y919" s="1">
        <v>75950272.368699998</v>
      </c>
      <c r="Z919" t="str">
        <f>VLOOKUP(G919,'Code Pro'!$A$2:$B$9,2,FALSE)</f>
        <v>จ.สระแก้ว</v>
      </c>
      <c r="AA919" s="8">
        <f t="shared" si="127"/>
        <v>738996150.14745104</v>
      </c>
      <c r="AB919" s="8">
        <f t="shared" si="128"/>
        <v>245319379.75090098</v>
      </c>
      <c r="AC919" s="8">
        <f t="shared" si="129"/>
        <v>759502.72368699999</v>
      </c>
      <c r="AD919" s="8">
        <f t="shared" si="130"/>
        <v>1036721217.832755</v>
      </c>
      <c r="AE919" s="8">
        <f t="shared" si="131"/>
        <v>129874965.75047699</v>
      </c>
      <c r="AF919" s="8">
        <f t="shared" si="132"/>
        <v>1050392266.859121</v>
      </c>
      <c r="AG919" s="8">
        <f t="shared" si="133"/>
        <v>569627042.76524997</v>
      </c>
      <c r="AH919" s="8">
        <f t="shared" si="134"/>
        <v>1519005.447374</v>
      </c>
      <c r="AI919" s="8">
        <f t="shared" si="135"/>
        <v>1519005.447374</v>
      </c>
    </row>
    <row r="920" spans="1:35" x14ac:dyDescent="0.55000000000000004">
      <c r="A920" s="1">
        <v>918</v>
      </c>
      <c r="B920" s="1" t="s">
        <v>20</v>
      </c>
      <c r="C920" s="1">
        <v>61</v>
      </c>
      <c r="D920" s="1">
        <v>2</v>
      </c>
      <c r="E920" s="1" t="s">
        <v>139</v>
      </c>
      <c r="F920" s="1" t="s">
        <v>140</v>
      </c>
      <c r="G920" s="1">
        <v>27</v>
      </c>
      <c r="H920" s="1">
        <v>2</v>
      </c>
      <c r="I920" s="1">
        <v>27020000</v>
      </c>
      <c r="J920" s="1">
        <v>990</v>
      </c>
      <c r="K920" s="1">
        <v>0</v>
      </c>
      <c r="L920" s="1">
        <v>13874</v>
      </c>
      <c r="M920" s="1">
        <v>13.446358</v>
      </c>
      <c r="N920" s="1">
        <v>102.18692</v>
      </c>
      <c r="O920" s="1">
        <v>9.34</v>
      </c>
      <c r="P920" s="1">
        <v>7.0000000000000007E-2</v>
      </c>
      <c r="Q920" s="1">
        <v>2.4</v>
      </c>
      <c r="R920" s="1">
        <v>16.780000999999999</v>
      </c>
      <c r="S920" s="1">
        <v>7.0000000000000007E-2</v>
      </c>
      <c r="T920" s="1">
        <v>10.64</v>
      </c>
      <c r="U920" s="1">
        <v>20.190000999999999</v>
      </c>
      <c r="V920" s="1">
        <v>0.03</v>
      </c>
      <c r="W920" s="1">
        <v>0.01</v>
      </c>
      <c r="X920" s="1">
        <v>6074.7131550000004</v>
      </c>
      <c r="Y920" s="1">
        <v>918096.60729700001</v>
      </c>
      <c r="Z920" t="str">
        <f>VLOOKUP(G920,'Code Pro'!$A$2:$B$9,2,FALSE)</f>
        <v>จ.สระแก้ว</v>
      </c>
      <c r="AA920" s="8">
        <f t="shared" si="127"/>
        <v>8575022.3121539801</v>
      </c>
      <c r="AB920" s="8">
        <f t="shared" si="128"/>
        <v>64266.762510790009</v>
      </c>
      <c r="AC920" s="8">
        <f t="shared" si="129"/>
        <v>2203431.8575128</v>
      </c>
      <c r="AD920" s="8">
        <f t="shared" si="130"/>
        <v>15405661.988540266</v>
      </c>
      <c r="AE920" s="8">
        <f t="shared" si="131"/>
        <v>64266.762510790009</v>
      </c>
      <c r="AF920" s="8">
        <f t="shared" si="132"/>
        <v>9768547.9016400799</v>
      </c>
      <c r="AG920" s="8">
        <f t="shared" si="133"/>
        <v>18536371.419423036</v>
      </c>
      <c r="AH920" s="8">
        <f t="shared" si="134"/>
        <v>27542.898218909999</v>
      </c>
      <c r="AI920" s="8">
        <f t="shared" si="135"/>
        <v>9180.9660729700008</v>
      </c>
    </row>
    <row r="921" spans="1:35" x14ac:dyDescent="0.55000000000000004">
      <c r="A921" s="1">
        <v>919</v>
      </c>
      <c r="B921" s="1" t="s">
        <v>20</v>
      </c>
      <c r="C921" s="1">
        <v>61</v>
      </c>
      <c r="D921" s="1">
        <v>2</v>
      </c>
      <c r="E921" s="1" t="s">
        <v>139</v>
      </c>
      <c r="F921" s="1" t="s">
        <v>140</v>
      </c>
      <c r="G921" s="1">
        <v>27</v>
      </c>
      <c r="H921" s="1">
        <v>2</v>
      </c>
      <c r="I921" s="1">
        <v>27020000</v>
      </c>
      <c r="J921" s="1">
        <v>992</v>
      </c>
      <c r="K921" s="1">
        <v>0</v>
      </c>
      <c r="L921" s="1">
        <v>13754</v>
      </c>
      <c r="M921" s="1">
        <v>13.365479000000001</v>
      </c>
      <c r="N921" s="1">
        <v>102.18692</v>
      </c>
      <c r="O921" s="1">
        <v>37.389999000000003</v>
      </c>
      <c r="P921" s="1">
        <v>0.16</v>
      </c>
      <c r="Q921" s="1">
        <v>1.21</v>
      </c>
      <c r="R921" s="1">
        <v>3.18</v>
      </c>
      <c r="S921" s="1">
        <v>0.08</v>
      </c>
      <c r="T921" s="1">
        <v>17.600000000000001</v>
      </c>
      <c r="U921" s="1">
        <v>16.170000000000002</v>
      </c>
      <c r="V921" s="1">
        <v>0.02</v>
      </c>
      <c r="W921" s="1">
        <v>7.0000000000000007E-2</v>
      </c>
      <c r="X921" s="1">
        <v>12587.19082</v>
      </c>
      <c r="Y921" s="1">
        <v>1761424.3325799999</v>
      </c>
      <c r="Z921" t="str">
        <f>VLOOKUP(G921,'Code Pro'!$A$2:$B$9,2,FALSE)</f>
        <v>จ.สระแก้ว</v>
      </c>
      <c r="AA921" s="8">
        <f t="shared" si="127"/>
        <v>65859654.033741869</v>
      </c>
      <c r="AB921" s="8">
        <f t="shared" si="128"/>
        <v>281827.89321279997</v>
      </c>
      <c r="AC921" s="8">
        <f t="shared" si="129"/>
        <v>2131323.4424218</v>
      </c>
      <c r="AD921" s="8">
        <f t="shared" si="130"/>
        <v>5601329.3776043998</v>
      </c>
      <c r="AE921" s="8">
        <f t="shared" si="131"/>
        <v>140913.94660639999</v>
      </c>
      <c r="AF921" s="8">
        <f t="shared" si="132"/>
        <v>31001068.253408</v>
      </c>
      <c r="AG921" s="8">
        <f t="shared" si="133"/>
        <v>28482231.457818601</v>
      </c>
      <c r="AH921" s="8">
        <f t="shared" si="134"/>
        <v>35228.486651599997</v>
      </c>
      <c r="AI921" s="8">
        <f t="shared" si="135"/>
        <v>123299.70328060001</v>
      </c>
    </row>
    <row r="922" spans="1:35" x14ac:dyDescent="0.55000000000000004">
      <c r="A922" s="1">
        <v>920</v>
      </c>
      <c r="B922" s="1" t="s">
        <v>20</v>
      </c>
      <c r="C922" s="1">
        <v>61</v>
      </c>
      <c r="D922" s="1">
        <v>2</v>
      </c>
      <c r="E922" s="1" t="s">
        <v>139</v>
      </c>
      <c r="F922" s="1" t="s">
        <v>140</v>
      </c>
      <c r="G922" s="1">
        <v>27</v>
      </c>
      <c r="H922" s="1">
        <v>2</v>
      </c>
      <c r="I922" s="1">
        <v>27020000</v>
      </c>
      <c r="J922" s="1">
        <v>995</v>
      </c>
      <c r="K922" s="1">
        <v>0</v>
      </c>
      <c r="L922" s="1">
        <v>13636</v>
      </c>
      <c r="M922" s="1">
        <v>13.284592</v>
      </c>
      <c r="N922" s="1">
        <v>102.35319</v>
      </c>
      <c r="O922" s="1">
        <v>21.219999000000001</v>
      </c>
      <c r="P922" s="1">
        <v>3.05</v>
      </c>
      <c r="Q922" s="1">
        <v>0.28999999999999998</v>
      </c>
      <c r="R922" s="1">
        <v>11.82</v>
      </c>
      <c r="S922" s="1">
        <v>11.98</v>
      </c>
      <c r="T922" s="1">
        <v>19.41</v>
      </c>
      <c r="U922" s="1">
        <v>3.67</v>
      </c>
      <c r="V922" s="1">
        <v>0.71</v>
      </c>
      <c r="W922" s="1">
        <v>0.08</v>
      </c>
      <c r="X922" s="1">
        <v>19984.433437</v>
      </c>
      <c r="Y922" s="1">
        <v>12220345.505799999</v>
      </c>
      <c r="Z922" t="str">
        <f>VLOOKUP(G922,'Code Pro'!$A$2:$B$9,2,FALSE)</f>
        <v>จ.สระแก้ว</v>
      </c>
      <c r="AA922" s="8">
        <f t="shared" si="127"/>
        <v>259315719.41273049</v>
      </c>
      <c r="AB922" s="8">
        <f t="shared" si="128"/>
        <v>37272053.792689994</v>
      </c>
      <c r="AC922" s="8">
        <f t="shared" si="129"/>
        <v>3543900.1966819996</v>
      </c>
      <c r="AD922" s="8">
        <f t="shared" si="130"/>
        <v>144444483.87855598</v>
      </c>
      <c r="AE922" s="8">
        <f t="shared" si="131"/>
        <v>146399739.159484</v>
      </c>
      <c r="AF922" s="8">
        <f t="shared" si="132"/>
        <v>237196906.26757801</v>
      </c>
      <c r="AG922" s="8">
        <f t="shared" si="133"/>
        <v>44848668.006285995</v>
      </c>
      <c r="AH922" s="8">
        <f t="shared" si="134"/>
        <v>8676445.3091179989</v>
      </c>
      <c r="AI922" s="8">
        <f t="shared" si="135"/>
        <v>977627.64046399994</v>
      </c>
    </row>
    <row r="923" spans="1:35" x14ac:dyDescent="0.55000000000000004">
      <c r="A923" s="1">
        <v>921</v>
      </c>
      <c r="B923" s="1" t="s">
        <v>20</v>
      </c>
      <c r="C923" s="1">
        <v>61</v>
      </c>
      <c r="D923" s="1">
        <v>2</v>
      </c>
      <c r="E923" s="1" t="s">
        <v>139</v>
      </c>
      <c r="F923" s="1" t="s">
        <v>140</v>
      </c>
      <c r="G923" s="1">
        <v>27</v>
      </c>
      <c r="H923" s="1">
        <v>2</v>
      </c>
      <c r="I923" s="1">
        <v>27020000</v>
      </c>
      <c r="J923" s="1">
        <v>998</v>
      </c>
      <c r="K923" s="1">
        <v>0</v>
      </c>
      <c r="L923" s="1">
        <v>13876</v>
      </c>
      <c r="M923" s="1">
        <v>13.446358</v>
      </c>
      <c r="N923" s="1">
        <v>102.35319</v>
      </c>
      <c r="O923" s="1">
        <v>0.09</v>
      </c>
      <c r="P923" s="1">
        <v>9.7200000000000006</v>
      </c>
      <c r="Q923" s="1">
        <v>0.01</v>
      </c>
      <c r="R923" s="1">
        <v>2.0099999999999998</v>
      </c>
      <c r="S923" s="1">
        <v>1.69</v>
      </c>
      <c r="T923" s="1">
        <v>3.14</v>
      </c>
      <c r="U923" s="1">
        <v>4.8600000000000003</v>
      </c>
      <c r="V923" s="1">
        <v>7.0000000000000007E-2</v>
      </c>
      <c r="W923" s="1">
        <v>0.08</v>
      </c>
      <c r="X923" s="1">
        <v>31845.549241000001</v>
      </c>
      <c r="Y923" s="1">
        <v>40498782.314199999</v>
      </c>
      <c r="Z923" t="str">
        <f>VLOOKUP(G923,'Code Pro'!$A$2:$B$9,2,FALSE)</f>
        <v>จ.สระแก้ว</v>
      </c>
      <c r="AA923" s="8">
        <f t="shared" si="127"/>
        <v>3644890.4082779996</v>
      </c>
      <c r="AB923" s="8">
        <f t="shared" si="128"/>
        <v>393648164.094024</v>
      </c>
      <c r="AC923" s="8">
        <f t="shared" si="129"/>
        <v>404987.82314200001</v>
      </c>
      <c r="AD923" s="8">
        <f t="shared" si="130"/>
        <v>81402552.45154199</v>
      </c>
      <c r="AE923" s="8">
        <f t="shared" si="131"/>
        <v>68442942.11099799</v>
      </c>
      <c r="AF923" s="8">
        <f t="shared" si="132"/>
        <v>127166176.46658801</v>
      </c>
      <c r="AG923" s="8">
        <f t="shared" si="133"/>
        <v>196824082.047012</v>
      </c>
      <c r="AH923" s="8">
        <f t="shared" si="134"/>
        <v>2834914.7619940001</v>
      </c>
      <c r="AI923" s="8">
        <f t="shared" si="135"/>
        <v>3239902.5851360001</v>
      </c>
    </row>
    <row r="924" spans="1:35" x14ac:dyDescent="0.55000000000000004">
      <c r="A924" s="1">
        <v>922</v>
      </c>
      <c r="B924" s="1" t="s">
        <v>20</v>
      </c>
      <c r="C924" s="1">
        <v>61</v>
      </c>
      <c r="D924" s="1">
        <v>2</v>
      </c>
      <c r="E924" s="1" t="s">
        <v>139</v>
      </c>
      <c r="F924" s="1" t="s">
        <v>140</v>
      </c>
      <c r="G924" s="1">
        <v>27</v>
      </c>
      <c r="H924" s="1">
        <v>2</v>
      </c>
      <c r="I924" s="1">
        <v>27020000</v>
      </c>
      <c r="J924" s="1">
        <v>999</v>
      </c>
      <c r="K924" s="1">
        <v>0</v>
      </c>
      <c r="L924" s="1">
        <v>13755</v>
      </c>
      <c r="M924" s="1">
        <v>13.365479000000001</v>
      </c>
      <c r="N924" s="1">
        <v>102.27006</v>
      </c>
      <c r="O924" s="1">
        <v>47.849997999999999</v>
      </c>
      <c r="P924" s="1">
        <v>8.4700000000000006</v>
      </c>
      <c r="Q924" s="1">
        <v>0.52</v>
      </c>
      <c r="R924" s="1">
        <v>1.07</v>
      </c>
      <c r="S924" s="1">
        <v>1.84</v>
      </c>
      <c r="T924" s="1">
        <v>4.96</v>
      </c>
      <c r="U924" s="1">
        <v>9.52</v>
      </c>
      <c r="V924" s="1">
        <v>0.05</v>
      </c>
      <c r="W924" s="1">
        <v>7.0000000000000007E-2</v>
      </c>
      <c r="X924" s="1">
        <v>35768.273284000003</v>
      </c>
      <c r="Y924" s="1">
        <v>72571381.829400003</v>
      </c>
      <c r="Z924" t="str">
        <f>VLOOKUP(G924,'Code Pro'!$A$2:$B$9,2,FALSE)</f>
        <v>จ.สระแก้ว</v>
      </c>
      <c r="AA924" s="8">
        <f t="shared" si="127"/>
        <v>3472540475.3940263</v>
      </c>
      <c r="AB924" s="8">
        <f t="shared" si="128"/>
        <v>614679604.09501803</v>
      </c>
      <c r="AC924" s="8">
        <f t="shared" si="129"/>
        <v>37737118.551288001</v>
      </c>
      <c r="AD924" s="8">
        <f t="shared" si="130"/>
        <v>77651378.557458013</v>
      </c>
      <c r="AE924" s="8">
        <f t="shared" si="131"/>
        <v>133531342.56609601</v>
      </c>
      <c r="AF924" s="8">
        <f t="shared" si="132"/>
        <v>359954053.873824</v>
      </c>
      <c r="AG924" s="8">
        <f t="shared" si="133"/>
        <v>690879555.01588798</v>
      </c>
      <c r="AH924" s="8">
        <f t="shared" si="134"/>
        <v>3628569.0914700003</v>
      </c>
      <c r="AI924" s="8">
        <f t="shared" si="135"/>
        <v>5079996.728058001</v>
      </c>
    </row>
    <row r="925" spans="1:35" x14ac:dyDescent="0.55000000000000004">
      <c r="A925" s="1">
        <v>923</v>
      </c>
      <c r="B925" s="1" t="s">
        <v>20</v>
      </c>
      <c r="C925" s="1">
        <v>61</v>
      </c>
      <c r="D925" s="1">
        <v>2</v>
      </c>
      <c r="E925" s="1" t="s">
        <v>139</v>
      </c>
      <c r="F925" s="1" t="s">
        <v>140</v>
      </c>
      <c r="G925" s="1">
        <v>27</v>
      </c>
      <c r="H925" s="1">
        <v>2</v>
      </c>
      <c r="I925" s="1">
        <v>27020000</v>
      </c>
      <c r="J925" s="1">
        <v>1000</v>
      </c>
      <c r="K925" s="1">
        <v>0</v>
      </c>
      <c r="L925" s="1">
        <v>13635</v>
      </c>
      <c r="M925" s="1">
        <v>13.284592</v>
      </c>
      <c r="N925" s="1">
        <v>102.27006</v>
      </c>
      <c r="O925" s="1">
        <v>3.38</v>
      </c>
      <c r="P925" s="1">
        <v>44.349997999999999</v>
      </c>
      <c r="Q925" s="1">
        <v>0.14000000000000001</v>
      </c>
      <c r="R925" s="1">
        <v>0.39</v>
      </c>
      <c r="S925" s="1">
        <v>9.15</v>
      </c>
      <c r="T925" s="1">
        <v>38.68</v>
      </c>
      <c r="U925" s="1">
        <v>15.62</v>
      </c>
      <c r="V925" s="1">
        <v>0.83</v>
      </c>
      <c r="W925" s="1">
        <v>0.31</v>
      </c>
      <c r="X925" s="1">
        <v>17431.171028000001</v>
      </c>
      <c r="Y925" s="1">
        <v>11478270.855</v>
      </c>
      <c r="Z925" t="str">
        <f>VLOOKUP(G925,'Code Pro'!$A$2:$B$9,2,FALSE)</f>
        <v>จ.สระแก้ว</v>
      </c>
      <c r="AA925" s="8">
        <f t="shared" si="127"/>
        <v>38796555.4899</v>
      </c>
      <c r="AB925" s="8">
        <f t="shared" si="128"/>
        <v>509061289.46270829</v>
      </c>
      <c r="AC925" s="8">
        <f t="shared" si="129"/>
        <v>1606957.9197000002</v>
      </c>
      <c r="AD925" s="8">
        <f t="shared" si="130"/>
        <v>4476525.6334500005</v>
      </c>
      <c r="AE925" s="8">
        <f t="shared" si="131"/>
        <v>105026178.32325001</v>
      </c>
      <c r="AF925" s="8">
        <f t="shared" si="132"/>
        <v>443979516.67140001</v>
      </c>
      <c r="AG925" s="8">
        <f t="shared" si="133"/>
        <v>179290590.75510001</v>
      </c>
      <c r="AH925" s="8">
        <f t="shared" si="134"/>
        <v>9526964.8096500002</v>
      </c>
      <c r="AI925" s="8">
        <f t="shared" si="135"/>
        <v>3558263.9650500002</v>
      </c>
    </row>
    <row r="926" spans="1:35" x14ac:dyDescent="0.55000000000000004">
      <c r="A926" s="1">
        <v>924</v>
      </c>
      <c r="B926" s="1" t="s">
        <v>20</v>
      </c>
      <c r="C926" s="1">
        <v>61</v>
      </c>
      <c r="D926" s="1">
        <v>2</v>
      </c>
      <c r="E926" s="1" t="s">
        <v>139</v>
      </c>
      <c r="F926" s="1" t="s">
        <v>140</v>
      </c>
      <c r="G926" s="1">
        <v>27</v>
      </c>
      <c r="H926" s="1">
        <v>2</v>
      </c>
      <c r="I926" s="1">
        <v>27020000</v>
      </c>
      <c r="J926" s="1">
        <v>1002</v>
      </c>
      <c r="K926" s="1">
        <v>0</v>
      </c>
      <c r="L926" s="1">
        <v>13756</v>
      </c>
      <c r="M926" s="1">
        <v>13.365479000000001</v>
      </c>
      <c r="N926" s="1">
        <v>102.35319</v>
      </c>
      <c r="O926" s="1">
        <v>7.01</v>
      </c>
      <c r="P926" s="1">
        <v>64.099997999999999</v>
      </c>
      <c r="Q926" s="1">
        <v>0.66</v>
      </c>
      <c r="R926" s="1">
        <v>0.25</v>
      </c>
      <c r="S926" s="1">
        <v>2.41</v>
      </c>
      <c r="T926" s="1">
        <v>22.65</v>
      </c>
      <c r="U926" s="1">
        <v>2.69</v>
      </c>
      <c r="V926" s="1">
        <v>0.19</v>
      </c>
      <c r="W926" s="1">
        <v>0.12</v>
      </c>
      <c r="X926" s="1">
        <v>30303.601630000001</v>
      </c>
      <c r="Y926" s="1">
        <v>39733544.987999998</v>
      </c>
      <c r="Z926" t="str">
        <f>VLOOKUP(G926,'Code Pro'!$A$2:$B$9,2,FALSE)</f>
        <v>จ.สระแก้ว</v>
      </c>
      <c r="AA926" s="8">
        <f t="shared" si="127"/>
        <v>278532150.36587995</v>
      </c>
      <c r="AB926" s="8">
        <f t="shared" si="128"/>
        <v>2546920154.26371</v>
      </c>
      <c r="AC926" s="8">
        <f t="shared" si="129"/>
        <v>26224139.692079999</v>
      </c>
      <c r="AD926" s="8">
        <f t="shared" si="130"/>
        <v>9933386.2469999995</v>
      </c>
      <c r="AE926" s="8">
        <f t="shared" si="131"/>
        <v>95757843.421080008</v>
      </c>
      <c r="AF926" s="8">
        <f t="shared" si="132"/>
        <v>899964793.97819984</v>
      </c>
      <c r="AG926" s="8">
        <f t="shared" si="133"/>
        <v>106883236.01772</v>
      </c>
      <c r="AH926" s="8">
        <f t="shared" si="134"/>
        <v>7549373.5477200001</v>
      </c>
      <c r="AI926" s="8">
        <f t="shared" si="135"/>
        <v>4768025.3985599997</v>
      </c>
    </row>
    <row r="927" spans="1:35" x14ac:dyDescent="0.55000000000000004">
      <c r="A927" s="1">
        <v>925</v>
      </c>
      <c r="B927" s="1" t="s">
        <v>20</v>
      </c>
      <c r="C927" s="1">
        <v>61</v>
      </c>
      <c r="D927" s="1">
        <v>2</v>
      </c>
      <c r="E927" s="1" t="s">
        <v>139</v>
      </c>
      <c r="F927" s="1" t="s">
        <v>140</v>
      </c>
      <c r="G927" s="1">
        <v>27</v>
      </c>
      <c r="H927" s="1">
        <v>2</v>
      </c>
      <c r="I927" s="1">
        <v>27020000</v>
      </c>
      <c r="J927" s="1">
        <v>1018</v>
      </c>
      <c r="K927" s="1">
        <v>0</v>
      </c>
      <c r="L927" s="1">
        <v>13994</v>
      </c>
      <c r="M927" s="1">
        <v>13.527199</v>
      </c>
      <c r="N927" s="1">
        <v>102.18692</v>
      </c>
      <c r="O927" s="1">
        <v>0.56999999999999995</v>
      </c>
      <c r="P927" s="1">
        <v>8.82</v>
      </c>
      <c r="Q927" s="1">
        <v>0.11</v>
      </c>
      <c r="R927" s="1">
        <v>0.3</v>
      </c>
      <c r="S927" s="1">
        <v>0.01</v>
      </c>
      <c r="T927" s="1">
        <v>0.89</v>
      </c>
      <c r="U927" s="1">
        <v>5.63</v>
      </c>
      <c r="V927" s="1">
        <v>7.0000000000000007E-2</v>
      </c>
      <c r="W927" s="1">
        <v>0.24</v>
      </c>
      <c r="X927" s="1">
        <v>28464.243823000001</v>
      </c>
      <c r="Y927" s="1">
        <v>29986442.633900002</v>
      </c>
      <c r="Z927" t="str">
        <f>VLOOKUP(G927,'Code Pro'!$A$2:$B$9,2,FALSE)</f>
        <v>จ.สระแก้ว</v>
      </c>
      <c r="AA927" s="8">
        <f t="shared" si="127"/>
        <v>17092272.301323</v>
      </c>
      <c r="AB927" s="8">
        <f t="shared" si="128"/>
        <v>264480424.03099802</v>
      </c>
      <c r="AC927" s="8">
        <f t="shared" si="129"/>
        <v>3298508.689729</v>
      </c>
      <c r="AD927" s="8">
        <f t="shared" si="130"/>
        <v>8995932.7901700009</v>
      </c>
      <c r="AE927" s="8">
        <f t="shared" si="131"/>
        <v>299864.426339</v>
      </c>
      <c r="AF927" s="8">
        <f t="shared" si="132"/>
        <v>26687933.944171</v>
      </c>
      <c r="AG927" s="8">
        <f t="shared" si="133"/>
        <v>168823672.02885699</v>
      </c>
      <c r="AH927" s="8">
        <f t="shared" si="134"/>
        <v>2099050.9843730005</v>
      </c>
      <c r="AI927" s="8">
        <f t="shared" si="135"/>
        <v>7196746.2321359999</v>
      </c>
    </row>
    <row r="928" spans="1:35" x14ac:dyDescent="0.55000000000000004">
      <c r="A928" s="1">
        <v>926</v>
      </c>
      <c r="B928" s="1" t="s">
        <v>20</v>
      </c>
      <c r="C928" s="1">
        <v>61</v>
      </c>
      <c r="D928" s="1">
        <v>2</v>
      </c>
      <c r="E928" s="1" t="s">
        <v>139</v>
      </c>
      <c r="F928" s="1" t="s">
        <v>140</v>
      </c>
      <c r="G928" s="1">
        <v>27</v>
      </c>
      <c r="H928" s="1">
        <v>2</v>
      </c>
      <c r="I928" s="1">
        <v>27020000</v>
      </c>
      <c r="J928" s="1">
        <v>1022</v>
      </c>
      <c r="K928" s="1">
        <v>0</v>
      </c>
      <c r="L928" s="1">
        <v>14114</v>
      </c>
      <c r="M928" s="1">
        <v>13.608017</v>
      </c>
      <c r="N928" s="1">
        <v>102.18692</v>
      </c>
      <c r="O928" s="1">
        <v>0.21</v>
      </c>
      <c r="P928" s="1">
        <v>3.37</v>
      </c>
      <c r="Q928" s="1">
        <v>0.45</v>
      </c>
      <c r="R928" s="1">
        <v>0.5</v>
      </c>
      <c r="S928" s="1">
        <v>0</v>
      </c>
      <c r="T928" s="1">
        <v>5.94</v>
      </c>
      <c r="U928" s="1">
        <v>6.45</v>
      </c>
      <c r="V928" s="1">
        <v>0</v>
      </c>
      <c r="W928" s="1">
        <v>0.11</v>
      </c>
      <c r="X928" s="1">
        <v>29698.063816999998</v>
      </c>
      <c r="Y928" s="1">
        <v>34997815.137100004</v>
      </c>
      <c r="Z928" t="str">
        <f>VLOOKUP(G928,'Code Pro'!$A$2:$B$9,2,FALSE)</f>
        <v>จ.สระแก้ว</v>
      </c>
      <c r="AA928" s="8">
        <f t="shared" si="127"/>
        <v>7349541.1787910005</v>
      </c>
      <c r="AB928" s="8">
        <f t="shared" si="128"/>
        <v>117942637.01202701</v>
      </c>
      <c r="AC928" s="8">
        <f t="shared" si="129"/>
        <v>15749016.811695002</v>
      </c>
      <c r="AD928" s="8">
        <f t="shared" si="130"/>
        <v>17498907.568550002</v>
      </c>
      <c r="AE928" s="8">
        <f t="shared" si="131"/>
        <v>0</v>
      </c>
      <c r="AF928" s="8">
        <f t="shared" si="132"/>
        <v>207887021.91437402</v>
      </c>
      <c r="AG928" s="8">
        <f t="shared" si="133"/>
        <v>225735907.63429502</v>
      </c>
      <c r="AH928" s="8">
        <f t="shared" si="134"/>
        <v>0</v>
      </c>
      <c r="AI928" s="8">
        <f t="shared" si="135"/>
        <v>3849759.6650810004</v>
      </c>
    </row>
    <row r="929" spans="1:35" x14ac:dyDescent="0.55000000000000004">
      <c r="A929" s="1">
        <v>927</v>
      </c>
      <c r="B929" s="1" t="s">
        <v>20</v>
      </c>
      <c r="C929" s="1">
        <v>61</v>
      </c>
      <c r="D929" s="1">
        <v>2</v>
      </c>
      <c r="E929" s="1" t="s">
        <v>139</v>
      </c>
      <c r="F929" s="1" t="s">
        <v>140</v>
      </c>
      <c r="G929" s="1">
        <v>27</v>
      </c>
      <c r="H929" s="1">
        <v>2</v>
      </c>
      <c r="I929" s="1">
        <v>27020000</v>
      </c>
      <c r="J929" s="1">
        <v>1034</v>
      </c>
      <c r="K929" s="1">
        <v>0</v>
      </c>
      <c r="L929" s="1">
        <v>13995</v>
      </c>
      <c r="M929" s="1">
        <v>13.527199</v>
      </c>
      <c r="N929" s="1">
        <v>102.27006</v>
      </c>
      <c r="O929" s="1">
        <v>0.04</v>
      </c>
      <c r="P929" s="1">
        <v>2</v>
      </c>
      <c r="Q929" s="1">
        <v>0.04</v>
      </c>
      <c r="R929" s="1">
        <v>0.39</v>
      </c>
      <c r="S929" s="1">
        <v>1.28</v>
      </c>
      <c r="T929" s="1">
        <v>1.1499999999999999</v>
      </c>
      <c r="U929" s="1">
        <v>8.1199999999999992</v>
      </c>
      <c r="V929" s="1">
        <v>0.14000000000000001</v>
      </c>
      <c r="W929" s="1">
        <v>6.07</v>
      </c>
      <c r="X929" s="1">
        <v>36539.644253999999</v>
      </c>
      <c r="Y929" s="1">
        <v>80180049.298700005</v>
      </c>
      <c r="Z929" t="str">
        <f>VLOOKUP(G929,'Code Pro'!$A$2:$B$9,2,FALSE)</f>
        <v>จ.สระแก้ว</v>
      </c>
      <c r="AA929" s="8">
        <f t="shared" si="127"/>
        <v>3207201.9719480001</v>
      </c>
      <c r="AB929" s="8">
        <f t="shared" si="128"/>
        <v>160360098.59740001</v>
      </c>
      <c r="AC929" s="8">
        <f t="shared" si="129"/>
        <v>3207201.9719480001</v>
      </c>
      <c r="AD929" s="8">
        <f t="shared" si="130"/>
        <v>31270219.226493005</v>
      </c>
      <c r="AE929" s="8">
        <f t="shared" si="131"/>
        <v>102630463.102336</v>
      </c>
      <c r="AF929" s="8">
        <f t="shared" si="132"/>
        <v>92207056.693505004</v>
      </c>
      <c r="AG929" s="8">
        <f t="shared" si="133"/>
        <v>651062000.305444</v>
      </c>
      <c r="AH929" s="8">
        <f t="shared" si="134"/>
        <v>11225206.901818002</v>
      </c>
      <c r="AI929" s="8">
        <f t="shared" si="135"/>
        <v>486692899.24310905</v>
      </c>
    </row>
    <row r="930" spans="1:35" x14ac:dyDescent="0.55000000000000004">
      <c r="A930" s="1">
        <v>928</v>
      </c>
      <c r="B930" s="1" t="s">
        <v>20</v>
      </c>
      <c r="C930" s="1">
        <v>61</v>
      </c>
      <c r="D930" s="1">
        <v>2</v>
      </c>
      <c r="E930" s="1" t="s">
        <v>139</v>
      </c>
      <c r="F930" s="1" t="s">
        <v>140</v>
      </c>
      <c r="G930" s="1">
        <v>27</v>
      </c>
      <c r="H930" s="1">
        <v>2</v>
      </c>
      <c r="I930" s="1">
        <v>27020000</v>
      </c>
      <c r="J930" s="1">
        <v>1035</v>
      </c>
      <c r="K930" s="1">
        <v>0</v>
      </c>
      <c r="L930" s="1">
        <v>13996</v>
      </c>
      <c r="M930" s="1">
        <v>13.527199</v>
      </c>
      <c r="N930" s="1">
        <v>102.35319</v>
      </c>
      <c r="O930" s="1">
        <v>0.02</v>
      </c>
      <c r="P930" s="1">
        <v>4.9000000000000004</v>
      </c>
      <c r="Q930" s="1">
        <v>0</v>
      </c>
      <c r="R930" s="1">
        <v>0.05</v>
      </c>
      <c r="S930" s="1">
        <v>4.25</v>
      </c>
      <c r="T930" s="1">
        <v>2.85</v>
      </c>
      <c r="U930" s="1">
        <v>6.47</v>
      </c>
      <c r="V930" s="1">
        <v>0</v>
      </c>
      <c r="W930" s="1">
        <v>2.5299999999999998</v>
      </c>
      <c r="X930" s="1">
        <v>12523.077246000001</v>
      </c>
      <c r="Y930" s="1">
        <v>4622647.5840400001</v>
      </c>
      <c r="Z930" t="str">
        <f>VLOOKUP(G930,'Code Pro'!$A$2:$B$9,2,FALSE)</f>
        <v>จ.สระแก้ว</v>
      </c>
      <c r="AA930" s="8">
        <f t="shared" si="127"/>
        <v>92452.951680800004</v>
      </c>
      <c r="AB930" s="8">
        <f t="shared" si="128"/>
        <v>22650973.161796004</v>
      </c>
      <c r="AC930" s="8">
        <f t="shared" si="129"/>
        <v>0</v>
      </c>
      <c r="AD930" s="8">
        <f t="shared" si="130"/>
        <v>231132.37920200001</v>
      </c>
      <c r="AE930" s="8">
        <f t="shared" si="131"/>
        <v>19646252.232170001</v>
      </c>
      <c r="AF930" s="8">
        <f t="shared" si="132"/>
        <v>13174545.614514001</v>
      </c>
      <c r="AG930" s="8">
        <f t="shared" si="133"/>
        <v>29908529.8687388</v>
      </c>
      <c r="AH930" s="8">
        <f t="shared" si="134"/>
        <v>0</v>
      </c>
      <c r="AI930" s="8">
        <f t="shared" si="135"/>
        <v>11695298.3876212</v>
      </c>
    </row>
    <row r="931" spans="1:35" x14ac:dyDescent="0.55000000000000004">
      <c r="A931" s="1">
        <v>929</v>
      </c>
      <c r="B931" s="1" t="s">
        <v>20</v>
      </c>
      <c r="C931" s="1">
        <v>61</v>
      </c>
      <c r="D931" s="1">
        <v>2</v>
      </c>
      <c r="E931" s="1" t="s">
        <v>139</v>
      </c>
      <c r="F931" s="1" t="s">
        <v>140</v>
      </c>
      <c r="G931" s="1">
        <v>27</v>
      </c>
      <c r="H931" s="1">
        <v>2</v>
      </c>
      <c r="I931" s="1">
        <v>27020000</v>
      </c>
      <c r="J931" s="1">
        <v>1037</v>
      </c>
      <c r="K931" s="1">
        <v>0</v>
      </c>
      <c r="L931" s="1">
        <v>14115</v>
      </c>
      <c r="M931" s="1">
        <v>13.608017</v>
      </c>
      <c r="N931" s="1">
        <v>102.27006</v>
      </c>
      <c r="O931" s="1">
        <v>0.05</v>
      </c>
      <c r="P931" s="1">
        <v>11.7</v>
      </c>
      <c r="Q931" s="1">
        <v>0.28000000000000003</v>
      </c>
      <c r="R931" s="1">
        <v>0.37</v>
      </c>
      <c r="S931" s="1">
        <v>0</v>
      </c>
      <c r="T931" s="1">
        <v>2.38</v>
      </c>
      <c r="U931" s="1">
        <v>2.2999999999999998</v>
      </c>
      <c r="V931" s="1">
        <v>0</v>
      </c>
      <c r="W931" s="1">
        <v>0.23</v>
      </c>
      <c r="X931" s="1">
        <v>34909.959795000002</v>
      </c>
      <c r="Y931" s="1">
        <v>62201987.9912</v>
      </c>
      <c r="Z931" t="str">
        <f>VLOOKUP(G931,'Code Pro'!$A$2:$B$9,2,FALSE)</f>
        <v>จ.สระแก้ว</v>
      </c>
      <c r="AA931" s="8">
        <f t="shared" si="127"/>
        <v>3110099.3995600003</v>
      </c>
      <c r="AB931" s="8">
        <f t="shared" si="128"/>
        <v>727763259.49703991</v>
      </c>
      <c r="AC931" s="8">
        <f t="shared" si="129"/>
        <v>17416556.637536</v>
      </c>
      <c r="AD931" s="8">
        <f t="shared" si="130"/>
        <v>23014735.556743998</v>
      </c>
      <c r="AE931" s="8">
        <f t="shared" si="131"/>
        <v>0</v>
      </c>
      <c r="AF931" s="8">
        <f t="shared" si="132"/>
        <v>148040731.419056</v>
      </c>
      <c r="AG931" s="8">
        <f t="shared" si="133"/>
        <v>143064572.37976</v>
      </c>
      <c r="AH931" s="8">
        <f t="shared" si="134"/>
        <v>0</v>
      </c>
      <c r="AI931" s="8">
        <f t="shared" si="135"/>
        <v>14306457.237976</v>
      </c>
    </row>
    <row r="932" spans="1:35" x14ac:dyDescent="0.55000000000000004">
      <c r="A932" s="1">
        <v>930</v>
      </c>
      <c r="B932" s="1" t="s">
        <v>20</v>
      </c>
      <c r="C932" s="1">
        <v>61</v>
      </c>
      <c r="D932" s="1">
        <v>2</v>
      </c>
      <c r="E932" s="1" t="s">
        <v>139</v>
      </c>
      <c r="F932" s="1" t="s">
        <v>140</v>
      </c>
      <c r="G932" s="1">
        <v>27</v>
      </c>
      <c r="H932" s="1">
        <v>2</v>
      </c>
      <c r="I932" s="1">
        <v>27020000</v>
      </c>
      <c r="J932" s="1">
        <v>1038</v>
      </c>
      <c r="K932" s="1">
        <v>0</v>
      </c>
      <c r="L932" s="1">
        <v>14116</v>
      </c>
      <c r="M932" s="1">
        <v>13.608017</v>
      </c>
      <c r="N932" s="1">
        <v>102.35319</v>
      </c>
      <c r="O932" s="1">
        <v>0.02</v>
      </c>
      <c r="P932" s="1">
        <v>0.47</v>
      </c>
      <c r="Q932" s="1">
        <v>0.1</v>
      </c>
      <c r="R932" s="1">
        <v>0</v>
      </c>
      <c r="S932" s="1">
        <v>0</v>
      </c>
      <c r="T932" s="1">
        <v>2.3199999999999998</v>
      </c>
      <c r="U932" s="1">
        <v>2.39</v>
      </c>
      <c r="V932" s="1">
        <v>0</v>
      </c>
      <c r="W932" s="1">
        <v>0.3</v>
      </c>
      <c r="X932" s="1">
        <v>22594.836197000001</v>
      </c>
      <c r="Y932" s="1">
        <v>16632411.582699999</v>
      </c>
      <c r="Z932" t="str">
        <f>VLOOKUP(G932,'Code Pro'!$A$2:$B$9,2,FALSE)</f>
        <v>จ.สระแก้ว</v>
      </c>
      <c r="AA932" s="8">
        <f t="shared" si="127"/>
        <v>332648.231654</v>
      </c>
      <c r="AB932" s="8">
        <f t="shared" si="128"/>
        <v>7817233.4438689994</v>
      </c>
      <c r="AC932" s="8">
        <f t="shared" si="129"/>
        <v>1663241.15827</v>
      </c>
      <c r="AD932" s="8">
        <f t="shared" si="130"/>
        <v>0</v>
      </c>
      <c r="AE932" s="8">
        <f t="shared" si="131"/>
        <v>0</v>
      </c>
      <c r="AF932" s="8">
        <f t="shared" si="132"/>
        <v>38587194.871863998</v>
      </c>
      <c r="AG932" s="8">
        <f t="shared" si="133"/>
        <v>39751463.682653002</v>
      </c>
      <c r="AH932" s="8">
        <f t="shared" si="134"/>
        <v>0</v>
      </c>
      <c r="AI932" s="8">
        <f t="shared" si="135"/>
        <v>4989723.4748099996</v>
      </c>
    </row>
    <row r="933" spans="1:35" x14ac:dyDescent="0.55000000000000004">
      <c r="A933" s="1">
        <v>931</v>
      </c>
      <c r="B933" s="1" t="s">
        <v>20</v>
      </c>
      <c r="C933" s="1">
        <v>62</v>
      </c>
      <c r="D933" s="1">
        <v>3</v>
      </c>
      <c r="E933" s="1" t="s">
        <v>141</v>
      </c>
      <c r="F933" s="1" t="s">
        <v>142</v>
      </c>
      <c r="G933" s="1">
        <v>27</v>
      </c>
      <c r="H933" s="1">
        <v>2</v>
      </c>
      <c r="I933" s="1">
        <v>27030000</v>
      </c>
      <c r="J933" s="1">
        <v>1110</v>
      </c>
      <c r="K933" s="1">
        <v>0</v>
      </c>
      <c r="L933" s="1">
        <v>14480</v>
      </c>
      <c r="M933" s="1">
        <v>13.850304</v>
      </c>
      <c r="N933" s="1">
        <v>102.68574</v>
      </c>
      <c r="O933" s="1">
        <v>0</v>
      </c>
      <c r="P933" s="1">
        <v>0.02</v>
      </c>
      <c r="Q933" s="1">
        <v>0.04</v>
      </c>
      <c r="R933" s="1">
        <v>0</v>
      </c>
      <c r="S933" s="1">
        <v>0.11</v>
      </c>
      <c r="T933" s="1">
        <v>8.8000000000000007</v>
      </c>
      <c r="U933" s="1">
        <v>0.86</v>
      </c>
      <c r="V933" s="1">
        <v>0</v>
      </c>
      <c r="W933" s="1">
        <v>0.03</v>
      </c>
      <c r="X933" s="1">
        <v>3322.6777499999998</v>
      </c>
      <c r="Y933" s="1">
        <v>414785.23830800003</v>
      </c>
      <c r="Z933" t="str">
        <f>VLOOKUP(G933,'Code Pro'!$A$2:$B$9,2,FALSE)</f>
        <v>จ.สระแก้ว</v>
      </c>
      <c r="AA933" s="8">
        <f t="shared" si="127"/>
        <v>0</v>
      </c>
      <c r="AB933" s="8">
        <f t="shared" si="128"/>
        <v>8295.7047661600009</v>
      </c>
      <c r="AC933" s="8">
        <f t="shared" si="129"/>
        <v>16591.409532320002</v>
      </c>
      <c r="AD933" s="8">
        <f t="shared" si="130"/>
        <v>0</v>
      </c>
      <c r="AE933" s="8">
        <f t="shared" si="131"/>
        <v>45626.376213880001</v>
      </c>
      <c r="AF933" s="8">
        <f t="shared" si="132"/>
        <v>3650110.0971104004</v>
      </c>
      <c r="AG933" s="8">
        <f t="shared" si="133"/>
        <v>356715.30494488002</v>
      </c>
      <c r="AH933" s="8">
        <f t="shared" si="134"/>
        <v>0</v>
      </c>
      <c r="AI933" s="8">
        <f t="shared" si="135"/>
        <v>12443.557149240001</v>
      </c>
    </row>
    <row r="934" spans="1:35" x14ac:dyDescent="0.55000000000000004">
      <c r="A934" s="1">
        <v>932</v>
      </c>
      <c r="B934" s="1" t="s">
        <v>20</v>
      </c>
      <c r="C934" s="1">
        <v>62</v>
      </c>
      <c r="D934" s="1">
        <v>3</v>
      </c>
      <c r="E934" s="1" t="s">
        <v>141</v>
      </c>
      <c r="F934" s="1" t="s">
        <v>142</v>
      </c>
      <c r="G934" s="1">
        <v>27</v>
      </c>
      <c r="H934" s="1">
        <v>2</v>
      </c>
      <c r="I934" s="1">
        <v>27030000</v>
      </c>
      <c r="J934" s="1">
        <v>1118</v>
      </c>
      <c r="K934" s="1">
        <v>0</v>
      </c>
      <c r="L934" s="1">
        <v>14481</v>
      </c>
      <c r="M934" s="1">
        <v>13.850304</v>
      </c>
      <c r="N934" s="1">
        <v>102.76887000000001</v>
      </c>
      <c r="O934" s="1">
        <v>0</v>
      </c>
      <c r="P934" s="1">
        <v>0</v>
      </c>
      <c r="Q934" s="1">
        <v>0</v>
      </c>
      <c r="R934" s="1">
        <v>0</v>
      </c>
      <c r="S934" s="1">
        <v>0.53</v>
      </c>
      <c r="T934" s="1">
        <v>4.97</v>
      </c>
      <c r="U934" s="1">
        <v>0.69</v>
      </c>
      <c r="V934" s="1">
        <v>0</v>
      </c>
      <c r="W934" s="1">
        <v>0</v>
      </c>
      <c r="X934" s="1">
        <v>15369.259705</v>
      </c>
      <c r="Y934" s="1">
        <v>12642151.546499999</v>
      </c>
      <c r="Z934" t="str">
        <f>VLOOKUP(G934,'Code Pro'!$A$2:$B$9,2,FALSE)</f>
        <v>จ.สระแก้ว</v>
      </c>
      <c r="AA934" s="8">
        <f t="shared" si="127"/>
        <v>0</v>
      </c>
      <c r="AB934" s="8">
        <f t="shared" si="128"/>
        <v>0</v>
      </c>
      <c r="AC934" s="8">
        <f t="shared" si="129"/>
        <v>0</v>
      </c>
      <c r="AD934" s="8">
        <f t="shared" si="130"/>
        <v>0</v>
      </c>
      <c r="AE934" s="8">
        <f t="shared" si="131"/>
        <v>6700340.3196449997</v>
      </c>
      <c r="AF934" s="8">
        <f t="shared" si="132"/>
        <v>62831493.186104991</v>
      </c>
      <c r="AG934" s="8">
        <f t="shared" si="133"/>
        <v>8723084.5670849979</v>
      </c>
      <c r="AH934" s="8">
        <f t="shared" si="134"/>
        <v>0</v>
      </c>
      <c r="AI934" s="8">
        <f t="shared" si="135"/>
        <v>0</v>
      </c>
    </row>
    <row r="935" spans="1:35" x14ac:dyDescent="0.55000000000000004">
      <c r="A935" s="1">
        <v>933</v>
      </c>
      <c r="B935" s="1" t="s">
        <v>20</v>
      </c>
      <c r="C935" s="1">
        <v>62</v>
      </c>
      <c r="D935" s="1">
        <v>3</v>
      </c>
      <c r="E935" s="1" t="s">
        <v>141</v>
      </c>
      <c r="F935" s="1" t="s">
        <v>142</v>
      </c>
      <c r="G935" s="1">
        <v>27</v>
      </c>
      <c r="H935" s="1">
        <v>2</v>
      </c>
      <c r="I935" s="1">
        <v>27030000</v>
      </c>
      <c r="J935" s="1">
        <v>1181</v>
      </c>
      <c r="K935" s="1">
        <v>0</v>
      </c>
      <c r="L935" s="1">
        <v>14838</v>
      </c>
      <c r="M935" s="1">
        <v>14.092331</v>
      </c>
      <c r="N935" s="1">
        <v>102.51946</v>
      </c>
      <c r="O935" s="1">
        <v>0</v>
      </c>
      <c r="P935" s="1">
        <v>0.24</v>
      </c>
      <c r="Q935" s="1">
        <v>0</v>
      </c>
      <c r="R935" s="1">
        <v>0.11</v>
      </c>
      <c r="S935" s="1">
        <v>9.17</v>
      </c>
      <c r="T935" s="1">
        <v>17.870000999999998</v>
      </c>
      <c r="U935" s="1">
        <v>0.38</v>
      </c>
      <c r="V935" s="1">
        <v>0.01</v>
      </c>
      <c r="W935" s="1">
        <v>0.01</v>
      </c>
      <c r="X935" s="1">
        <v>31657.520617999999</v>
      </c>
      <c r="Y935" s="1">
        <v>40718208.968400002</v>
      </c>
      <c r="Z935" t="str">
        <f>VLOOKUP(G935,'Code Pro'!$A$2:$B$9,2,FALSE)</f>
        <v>จ.สระแก้ว</v>
      </c>
      <c r="AA935" s="8">
        <f t="shared" si="127"/>
        <v>0</v>
      </c>
      <c r="AB935" s="8">
        <f t="shared" si="128"/>
        <v>9772370.1524160001</v>
      </c>
      <c r="AC935" s="8">
        <f t="shared" si="129"/>
        <v>0</v>
      </c>
      <c r="AD935" s="8">
        <f t="shared" si="130"/>
        <v>4479002.9865239998</v>
      </c>
      <c r="AE935" s="8">
        <f t="shared" si="131"/>
        <v>373385976.240228</v>
      </c>
      <c r="AF935" s="8">
        <f t="shared" si="132"/>
        <v>727634434.98351693</v>
      </c>
      <c r="AG935" s="8">
        <f t="shared" si="133"/>
        <v>15472919.407992002</v>
      </c>
      <c r="AH935" s="8">
        <f t="shared" si="134"/>
        <v>407182.08968400001</v>
      </c>
      <c r="AI935" s="8">
        <f t="shared" si="135"/>
        <v>407182.08968400001</v>
      </c>
    </row>
    <row r="936" spans="1:35" x14ac:dyDescent="0.55000000000000004">
      <c r="A936" s="1">
        <v>934</v>
      </c>
      <c r="B936" s="1" t="s">
        <v>20</v>
      </c>
      <c r="C936" s="1">
        <v>62</v>
      </c>
      <c r="D936" s="1">
        <v>3</v>
      </c>
      <c r="E936" s="1" t="s">
        <v>141</v>
      </c>
      <c r="F936" s="1" t="s">
        <v>142</v>
      </c>
      <c r="G936" s="1">
        <v>27</v>
      </c>
      <c r="H936" s="1">
        <v>2</v>
      </c>
      <c r="I936" s="1">
        <v>27030000</v>
      </c>
      <c r="J936" s="1">
        <v>1183</v>
      </c>
      <c r="K936" s="1">
        <v>0</v>
      </c>
      <c r="L936" s="1">
        <v>14718</v>
      </c>
      <c r="M936" s="1">
        <v>14.011680999999999</v>
      </c>
      <c r="N936" s="1">
        <v>102.51946</v>
      </c>
      <c r="O936" s="1">
        <v>0</v>
      </c>
      <c r="P936" s="1">
        <v>0.57999999999999996</v>
      </c>
      <c r="Q936" s="1">
        <v>0.32</v>
      </c>
      <c r="R936" s="1">
        <v>0</v>
      </c>
      <c r="S936" s="1">
        <v>0.5</v>
      </c>
      <c r="T936" s="1">
        <v>12.73</v>
      </c>
      <c r="U936" s="1">
        <v>7.43</v>
      </c>
      <c r="V936" s="1">
        <v>0.01</v>
      </c>
      <c r="W936" s="1">
        <v>0</v>
      </c>
      <c r="X936" s="1">
        <v>18032.331389999999</v>
      </c>
      <c r="Y936" s="1">
        <v>7579048.89683</v>
      </c>
      <c r="Z936" t="str">
        <f>VLOOKUP(G936,'Code Pro'!$A$2:$B$9,2,FALSE)</f>
        <v>จ.สระแก้ว</v>
      </c>
      <c r="AA936" s="8">
        <f t="shared" si="127"/>
        <v>0</v>
      </c>
      <c r="AB936" s="8">
        <f t="shared" si="128"/>
        <v>4395848.3601613995</v>
      </c>
      <c r="AC936" s="8">
        <f t="shared" si="129"/>
        <v>2425295.6469856002</v>
      </c>
      <c r="AD936" s="8">
        <f t="shared" si="130"/>
        <v>0</v>
      </c>
      <c r="AE936" s="8">
        <f t="shared" si="131"/>
        <v>3789524.448415</v>
      </c>
      <c r="AF936" s="8">
        <f t="shared" si="132"/>
        <v>96481292.456645906</v>
      </c>
      <c r="AG936" s="8">
        <f t="shared" si="133"/>
        <v>56312333.303446896</v>
      </c>
      <c r="AH936" s="8">
        <f t="shared" si="134"/>
        <v>75790.488968300007</v>
      </c>
      <c r="AI936" s="8">
        <f t="shared" si="135"/>
        <v>0</v>
      </c>
    </row>
    <row r="937" spans="1:35" x14ac:dyDescent="0.55000000000000004">
      <c r="A937" s="1">
        <v>935</v>
      </c>
      <c r="B937" s="1" t="s">
        <v>20</v>
      </c>
      <c r="C937" s="1">
        <v>62</v>
      </c>
      <c r="D937" s="1">
        <v>3</v>
      </c>
      <c r="E937" s="1" t="s">
        <v>141</v>
      </c>
      <c r="F937" s="1" t="s">
        <v>142</v>
      </c>
      <c r="G937" s="1">
        <v>27</v>
      </c>
      <c r="H937" s="1">
        <v>2</v>
      </c>
      <c r="I937" s="1">
        <v>27030000</v>
      </c>
      <c r="J937" s="1">
        <v>1188</v>
      </c>
      <c r="K937" s="1">
        <v>0</v>
      </c>
      <c r="L937" s="1">
        <v>14958</v>
      </c>
      <c r="M937" s="1">
        <v>14.172943</v>
      </c>
      <c r="N937" s="1">
        <v>102.51946</v>
      </c>
      <c r="O937" s="1">
        <v>0.6</v>
      </c>
      <c r="P937" s="1">
        <v>0.05</v>
      </c>
      <c r="Q937" s="1">
        <v>0.14000000000000001</v>
      </c>
      <c r="R937" s="1">
        <v>0.09</v>
      </c>
      <c r="S937" s="1">
        <v>40.25</v>
      </c>
      <c r="T937" s="1">
        <v>19.84</v>
      </c>
      <c r="U937" s="1">
        <v>0.18</v>
      </c>
      <c r="V937" s="1">
        <v>0.15</v>
      </c>
      <c r="W937" s="1">
        <v>0.04</v>
      </c>
      <c r="X937" s="1">
        <v>14150.865854</v>
      </c>
      <c r="Y937" s="1">
        <v>3887436.8930899999</v>
      </c>
      <c r="Z937" t="str">
        <f>VLOOKUP(G937,'Code Pro'!$A$2:$B$9,2,FALSE)</f>
        <v>จ.สระแก้ว</v>
      </c>
      <c r="AA937" s="8">
        <f t="shared" si="127"/>
        <v>2332462.1358539998</v>
      </c>
      <c r="AB937" s="8">
        <f t="shared" si="128"/>
        <v>194371.84465450002</v>
      </c>
      <c r="AC937" s="8">
        <f t="shared" si="129"/>
        <v>544241.16503260005</v>
      </c>
      <c r="AD937" s="8">
        <f t="shared" si="130"/>
        <v>349869.32037809998</v>
      </c>
      <c r="AE937" s="8">
        <f t="shared" si="131"/>
        <v>156469334.9468725</v>
      </c>
      <c r="AF937" s="8">
        <f t="shared" si="132"/>
        <v>77126747.958905593</v>
      </c>
      <c r="AG937" s="8">
        <f t="shared" si="133"/>
        <v>699738.64075619995</v>
      </c>
      <c r="AH937" s="8">
        <f t="shared" si="134"/>
        <v>583115.53396349994</v>
      </c>
      <c r="AI937" s="8">
        <f t="shared" si="135"/>
        <v>155497.47572359999</v>
      </c>
    </row>
    <row r="938" spans="1:35" x14ac:dyDescent="0.55000000000000004">
      <c r="A938" s="1">
        <v>936</v>
      </c>
      <c r="B938" s="1" t="s">
        <v>20</v>
      </c>
      <c r="C938" s="1">
        <v>62</v>
      </c>
      <c r="D938" s="1">
        <v>3</v>
      </c>
      <c r="E938" s="1" t="s">
        <v>141</v>
      </c>
      <c r="F938" s="1" t="s">
        <v>142</v>
      </c>
      <c r="G938" s="1">
        <v>27</v>
      </c>
      <c r="H938" s="1">
        <v>2</v>
      </c>
      <c r="I938" s="1">
        <v>27030000</v>
      </c>
      <c r="J938" s="1">
        <v>1230</v>
      </c>
      <c r="K938" s="1">
        <v>0</v>
      </c>
      <c r="L938" s="1">
        <v>14599</v>
      </c>
      <c r="M938" s="1">
        <v>13.931006999999999</v>
      </c>
      <c r="N938" s="1">
        <v>102.6026</v>
      </c>
      <c r="O938" s="1">
        <v>0</v>
      </c>
      <c r="P938" s="1">
        <v>0</v>
      </c>
      <c r="Q938" s="1">
        <v>0</v>
      </c>
      <c r="R938" s="1">
        <v>0.26</v>
      </c>
      <c r="S938" s="1">
        <v>0.02</v>
      </c>
      <c r="T938" s="1">
        <v>17.93</v>
      </c>
      <c r="U938" s="1">
        <v>1.49</v>
      </c>
      <c r="V938" s="1">
        <v>0</v>
      </c>
      <c r="W938" s="1">
        <v>0.04</v>
      </c>
      <c r="X938" s="1">
        <v>22235.446671000002</v>
      </c>
      <c r="Y938" s="1">
        <v>23478835.497699998</v>
      </c>
      <c r="Z938" t="str">
        <f>VLOOKUP(G938,'Code Pro'!$A$2:$B$9,2,FALSE)</f>
        <v>จ.สระแก้ว</v>
      </c>
      <c r="AA938" s="8">
        <f t="shared" si="127"/>
        <v>0</v>
      </c>
      <c r="AB938" s="8">
        <f t="shared" si="128"/>
        <v>0</v>
      </c>
      <c r="AC938" s="8">
        <f t="shared" si="129"/>
        <v>0</v>
      </c>
      <c r="AD938" s="8">
        <f t="shared" si="130"/>
        <v>6104497.2294020001</v>
      </c>
      <c r="AE938" s="8">
        <f t="shared" si="131"/>
        <v>469576.70995399996</v>
      </c>
      <c r="AF938" s="8">
        <f t="shared" si="132"/>
        <v>420975520.47376096</v>
      </c>
      <c r="AG938" s="8">
        <f t="shared" si="133"/>
        <v>34983464.891572997</v>
      </c>
      <c r="AH938" s="8">
        <f t="shared" si="134"/>
        <v>0</v>
      </c>
      <c r="AI938" s="8">
        <f t="shared" si="135"/>
        <v>939153.41990799992</v>
      </c>
    </row>
    <row r="939" spans="1:35" x14ac:dyDescent="0.55000000000000004">
      <c r="A939" s="1">
        <v>937</v>
      </c>
      <c r="B939" s="1" t="s">
        <v>20</v>
      </c>
      <c r="C939" s="1">
        <v>62</v>
      </c>
      <c r="D939" s="1">
        <v>3</v>
      </c>
      <c r="E939" s="1" t="s">
        <v>141</v>
      </c>
      <c r="F939" s="1" t="s">
        <v>142</v>
      </c>
      <c r="G939" s="1">
        <v>27</v>
      </c>
      <c r="H939" s="1">
        <v>2</v>
      </c>
      <c r="I939" s="1">
        <v>27030000</v>
      </c>
      <c r="J939" s="1">
        <v>1231</v>
      </c>
      <c r="K939" s="1">
        <v>0</v>
      </c>
      <c r="L939" s="1">
        <v>14600</v>
      </c>
      <c r="M939" s="1">
        <v>13.931006999999999</v>
      </c>
      <c r="N939" s="1">
        <v>102.68574</v>
      </c>
      <c r="O939" s="1">
        <v>0</v>
      </c>
      <c r="P939" s="1">
        <v>0</v>
      </c>
      <c r="Q939" s="1">
        <v>0</v>
      </c>
      <c r="R939" s="1">
        <v>0.05</v>
      </c>
      <c r="S939" s="1">
        <v>0.34</v>
      </c>
      <c r="T939" s="1">
        <v>23.469999000000001</v>
      </c>
      <c r="U939" s="1">
        <v>15.55</v>
      </c>
      <c r="V939" s="1">
        <v>0</v>
      </c>
      <c r="W939" s="1">
        <v>6.52</v>
      </c>
      <c r="X939" s="1">
        <v>42198.187815999998</v>
      </c>
      <c r="Y939" s="1">
        <v>67143480.2676</v>
      </c>
      <c r="Z939" t="str">
        <f>VLOOKUP(G939,'Code Pro'!$A$2:$B$9,2,FALSE)</f>
        <v>จ.สระแก้ว</v>
      </c>
      <c r="AA939" s="8">
        <f t="shared" si="127"/>
        <v>0</v>
      </c>
      <c r="AB939" s="8">
        <f t="shared" si="128"/>
        <v>0</v>
      </c>
      <c r="AC939" s="8">
        <f t="shared" si="129"/>
        <v>0</v>
      </c>
      <c r="AD939" s="8">
        <f t="shared" si="130"/>
        <v>3357174.0133800004</v>
      </c>
      <c r="AE939" s="8">
        <f t="shared" si="131"/>
        <v>22828783.290984001</v>
      </c>
      <c r="AF939" s="8">
        <f t="shared" si="132"/>
        <v>1575857414.7370918</v>
      </c>
      <c r="AG939" s="8">
        <f t="shared" si="133"/>
        <v>1044081118.16118</v>
      </c>
      <c r="AH939" s="8">
        <f t="shared" si="134"/>
        <v>0</v>
      </c>
      <c r="AI939" s="8">
        <f t="shared" si="135"/>
        <v>437775491.34475195</v>
      </c>
    </row>
    <row r="940" spans="1:35" x14ac:dyDescent="0.55000000000000004">
      <c r="A940" s="1">
        <v>938</v>
      </c>
      <c r="B940" s="1" t="s">
        <v>20</v>
      </c>
      <c r="C940" s="1">
        <v>62</v>
      </c>
      <c r="D940" s="1">
        <v>3</v>
      </c>
      <c r="E940" s="1" t="s">
        <v>141</v>
      </c>
      <c r="F940" s="1" t="s">
        <v>142</v>
      </c>
      <c r="G940" s="1">
        <v>27</v>
      </c>
      <c r="H940" s="1">
        <v>2</v>
      </c>
      <c r="I940" s="1">
        <v>27030000</v>
      </c>
      <c r="J940" s="1">
        <v>1232</v>
      </c>
      <c r="K940" s="1">
        <v>0</v>
      </c>
      <c r="L940" s="1">
        <v>14840</v>
      </c>
      <c r="M940" s="1">
        <v>14.092331</v>
      </c>
      <c r="N940" s="1">
        <v>102.68574</v>
      </c>
      <c r="O940" s="1">
        <v>0</v>
      </c>
      <c r="P940" s="1">
        <v>0</v>
      </c>
      <c r="Q940" s="1">
        <v>0.01</v>
      </c>
      <c r="R940" s="1">
        <v>0</v>
      </c>
      <c r="S940" s="1">
        <v>1.29</v>
      </c>
      <c r="T940" s="1">
        <v>27.459999</v>
      </c>
      <c r="U940" s="1">
        <v>2.66</v>
      </c>
      <c r="V940" s="1">
        <v>0.01</v>
      </c>
      <c r="W940" s="1">
        <v>0</v>
      </c>
      <c r="X940" s="1">
        <v>35926.135887999997</v>
      </c>
      <c r="Y940" s="1">
        <v>80144545.793099999</v>
      </c>
      <c r="Z940" t="str">
        <f>VLOOKUP(G940,'Code Pro'!$A$2:$B$9,2,FALSE)</f>
        <v>จ.สระแก้ว</v>
      </c>
      <c r="AA940" s="8">
        <f t="shared" si="127"/>
        <v>0</v>
      </c>
      <c r="AB940" s="8">
        <f t="shared" si="128"/>
        <v>0</v>
      </c>
      <c r="AC940" s="8">
        <f t="shared" si="129"/>
        <v>801445.45793100004</v>
      </c>
      <c r="AD940" s="8">
        <f t="shared" si="130"/>
        <v>0</v>
      </c>
      <c r="AE940" s="8">
        <f t="shared" si="131"/>
        <v>103386464.073099</v>
      </c>
      <c r="AF940" s="8">
        <f t="shared" si="132"/>
        <v>2200769147.3339801</v>
      </c>
      <c r="AG940" s="8">
        <f t="shared" si="133"/>
        <v>213184491.80964601</v>
      </c>
      <c r="AH940" s="8">
        <f t="shared" si="134"/>
        <v>801445.45793100004</v>
      </c>
      <c r="AI940" s="8">
        <f t="shared" si="135"/>
        <v>0</v>
      </c>
    </row>
    <row r="941" spans="1:35" x14ac:dyDescent="0.55000000000000004">
      <c r="A941" s="1">
        <v>939</v>
      </c>
      <c r="B941" s="1" t="s">
        <v>20</v>
      </c>
      <c r="C941" s="1">
        <v>62</v>
      </c>
      <c r="D941" s="1">
        <v>3</v>
      </c>
      <c r="E941" s="1" t="s">
        <v>141</v>
      </c>
      <c r="F941" s="1" t="s">
        <v>142</v>
      </c>
      <c r="G941" s="1">
        <v>27</v>
      </c>
      <c r="H941" s="1">
        <v>2</v>
      </c>
      <c r="I941" s="1">
        <v>27030000</v>
      </c>
      <c r="J941" s="1">
        <v>1233</v>
      </c>
      <c r="K941" s="1">
        <v>0</v>
      </c>
      <c r="L941" s="1">
        <v>14719</v>
      </c>
      <c r="M941" s="1">
        <v>14.011680999999999</v>
      </c>
      <c r="N941" s="1">
        <v>102.6026</v>
      </c>
      <c r="O941" s="1">
        <v>0.01</v>
      </c>
      <c r="P941" s="1">
        <v>0.01</v>
      </c>
      <c r="Q941" s="1">
        <v>0.03</v>
      </c>
      <c r="R941" s="1">
        <v>0</v>
      </c>
      <c r="S941" s="1">
        <v>0.48</v>
      </c>
      <c r="T941" s="1">
        <v>41.549999</v>
      </c>
      <c r="U941" s="1">
        <v>8.5399999999999991</v>
      </c>
      <c r="V941" s="1">
        <v>0.17</v>
      </c>
      <c r="W941" s="1">
        <v>0</v>
      </c>
      <c r="X941" s="1">
        <v>35481.483808999998</v>
      </c>
      <c r="Y941" s="1">
        <v>76811749.420399994</v>
      </c>
      <c r="Z941" t="str">
        <f>VLOOKUP(G941,'Code Pro'!$A$2:$B$9,2,FALSE)</f>
        <v>จ.สระแก้ว</v>
      </c>
      <c r="AA941" s="8">
        <f t="shared" si="127"/>
        <v>768117.49420399999</v>
      </c>
      <c r="AB941" s="8">
        <f t="shared" si="128"/>
        <v>768117.49420399999</v>
      </c>
      <c r="AC941" s="8">
        <f t="shared" si="129"/>
        <v>2304352.4826119998</v>
      </c>
      <c r="AD941" s="8">
        <f t="shared" si="130"/>
        <v>0</v>
      </c>
      <c r="AE941" s="8">
        <f t="shared" si="131"/>
        <v>36869639.721791998</v>
      </c>
      <c r="AF941" s="8">
        <f t="shared" si="132"/>
        <v>3191528111.6058702</v>
      </c>
      <c r="AG941" s="8">
        <f t="shared" si="133"/>
        <v>655972340.05021584</v>
      </c>
      <c r="AH941" s="8">
        <f t="shared" si="134"/>
        <v>13057997.401467999</v>
      </c>
      <c r="AI941" s="8">
        <f t="shared" si="135"/>
        <v>0</v>
      </c>
    </row>
    <row r="942" spans="1:35" x14ac:dyDescent="0.55000000000000004">
      <c r="A942" s="1">
        <v>940</v>
      </c>
      <c r="B942" s="1" t="s">
        <v>20</v>
      </c>
      <c r="C942" s="1">
        <v>62</v>
      </c>
      <c r="D942" s="1">
        <v>3</v>
      </c>
      <c r="E942" s="1" t="s">
        <v>141</v>
      </c>
      <c r="F942" s="1" t="s">
        <v>142</v>
      </c>
      <c r="G942" s="1">
        <v>27</v>
      </c>
      <c r="H942" s="1">
        <v>2</v>
      </c>
      <c r="I942" s="1">
        <v>27030000</v>
      </c>
      <c r="J942" s="1">
        <v>1234</v>
      </c>
      <c r="K942" s="1">
        <v>0</v>
      </c>
      <c r="L942" s="1">
        <v>14720</v>
      </c>
      <c r="M942" s="1">
        <v>14.011680999999999</v>
      </c>
      <c r="N942" s="1">
        <v>102.68574</v>
      </c>
      <c r="O942" s="1">
        <v>2.2799999999999998</v>
      </c>
      <c r="P942" s="1">
        <v>0</v>
      </c>
      <c r="Q942" s="1">
        <v>0</v>
      </c>
      <c r="R942" s="1">
        <v>0</v>
      </c>
      <c r="S942" s="1">
        <v>0</v>
      </c>
      <c r="T942" s="1">
        <v>21.719999000000001</v>
      </c>
      <c r="U942" s="1">
        <v>1.93</v>
      </c>
      <c r="V942" s="1">
        <v>0.13</v>
      </c>
      <c r="W942" s="1">
        <v>0.01</v>
      </c>
      <c r="X942" s="1">
        <v>35866.646950000002</v>
      </c>
      <c r="Y942" s="1">
        <v>80400219.315699995</v>
      </c>
      <c r="Z942" t="str">
        <f>VLOOKUP(G942,'Code Pro'!$A$2:$B$9,2,FALSE)</f>
        <v>จ.สระแก้ว</v>
      </c>
      <c r="AA942" s="8">
        <f t="shared" si="127"/>
        <v>183312500.03979596</v>
      </c>
      <c r="AB942" s="8">
        <f t="shared" si="128"/>
        <v>0</v>
      </c>
      <c r="AC942" s="8">
        <f t="shared" si="129"/>
        <v>0</v>
      </c>
      <c r="AD942" s="8">
        <f t="shared" si="130"/>
        <v>0</v>
      </c>
      <c r="AE942" s="8">
        <f t="shared" si="131"/>
        <v>0</v>
      </c>
      <c r="AF942" s="8">
        <f t="shared" si="132"/>
        <v>1746292683.1367848</v>
      </c>
      <c r="AG942" s="8">
        <f t="shared" si="133"/>
        <v>155172423.27930099</v>
      </c>
      <c r="AH942" s="8">
        <f t="shared" si="134"/>
        <v>10452028.511041</v>
      </c>
      <c r="AI942" s="8">
        <f t="shared" si="135"/>
        <v>804002.193157</v>
      </c>
    </row>
    <row r="943" spans="1:35" x14ac:dyDescent="0.55000000000000004">
      <c r="A943" s="1">
        <v>941</v>
      </c>
      <c r="B943" s="1" t="s">
        <v>20</v>
      </c>
      <c r="C943" s="1">
        <v>62</v>
      </c>
      <c r="D943" s="1">
        <v>3</v>
      </c>
      <c r="E943" s="1" t="s">
        <v>141</v>
      </c>
      <c r="F943" s="1" t="s">
        <v>142</v>
      </c>
      <c r="G943" s="1">
        <v>27</v>
      </c>
      <c r="H943" s="1">
        <v>2</v>
      </c>
      <c r="I943" s="1">
        <v>27030000</v>
      </c>
      <c r="J943" s="1">
        <v>1235</v>
      </c>
      <c r="K943" s="1">
        <v>0</v>
      </c>
      <c r="L943" s="1">
        <v>14601</v>
      </c>
      <c r="M943" s="1">
        <v>13.931006999999999</v>
      </c>
      <c r="N943" s="1">
        <v>102.76887000000001</v>
      </c>
      <c r="O943" s="1">
        <v>0</v>
      </c>
      <c r="P943" s="1">
        <v>0</v>
      </c>
      <c r="Q943" s="1">
        <v>0</v>
      </c>
      <c r="R943" s="1">
        <v>0</v>
      </c>
      <c r="S943" s="1">
        <v>16.84</v>
      </c>
      <c r="T943" s="1">
        <v>10.53</v>
      </c>
      <c r="U943" s="1">
        <v>0.8</v>
      </c>
      <c r="V943" s="1">
        <v>0.01</v>
      </c>
      <c r="W943" s="1">
        <v>0.01</v>
      </c>
      <c r="X943" s="1">
        <v>33647.872509000001</v>
      </c>
      <c r="Y943" s="1">
        <v>61571310.048900001</v>
      </c>
      <c r="Z943" t="str">
        <f>VLOOKUP(G943,'Code Pro'!$A$2:$B$9,2,FALSE)</f>
        <v>จ.สระแก้ว</v>
      </c>
      <c r="AA943" s="8">
        <f t="shared" si="127"/>
        <v>0</v>
      </c>
      <c r="AB943" s="8">
        <f t="shared" si="128"/>
        <v>0</v>
      </c>
      <c r="AC943" s="8">
        <f t="shared" si="129"/>
        <v>0</v>
      </c>
      <c r="AD943" s="8">
        <f t="shared" si="130"/>
        <v>0</v>
      </c>
      <c r="AE943" s="8">
        <f t="shared" si="131"/>
        <v>1036860861.2234761</v>
      </c>
      <c r="AF943" s="8">
        <f t="shared" si="132"/>
        <v>648345894.81491697</v>
      </c>
      <c r="AG943" s="8">
        <f t="shared" si="133"/>
        <v>49257048.039120004</v>
      </c>
      <c r="AH943" s="8">
        <f t="shared" si="134"/>
        <v>615713.10048899997</v>
      </c>
      <c r="AI943" s="8">
        <f t="shared" si="135"/>
        <v>615713.10048899997</v>
      </c>
    </row>
    <row r="944" spans="1:35" x14ac:dyDescent="0.55000000000000004">
      <c r="A944" s="1">
        <v>942</v>
      </c>
      <c r="B944" s="1" t="s">
        <v>20</v>
      </c>
      <c r="C944" s="1">
        <v>62</v>
      </c>
      <c r="D944" s="1">
        <v>3</v>
      </c>
      <c r="E944" s="1" t="s">
        <v>141</v>
      </c>
      <c r="F944" s="1" t="s">
        <v>142</v>
      </c>
      <c r="G944" s="1">
        <v>27</v>
      </c>
      <c r="H944" s="1">
        <v>2</v>
      </c>
      <c r="I944" s="1">
        <v>27030000</v>
      </c>
      <c r="J944" s="1">
        <v>1236</v>
      </c>
      <c r="K944" s="1">
        <v>0</v>
      </c>
      <c r="L944" s="1">
        <v>14722</v>
      </c>
      <c r="M944" s="1">
        <v>14.011680999999999</v>
      </c>
      <c r="N944" s="1">
        <v>102.85200500000001</v>
      </c>
      <c r="O944" s="1">
        <v>0</v>
      </c>
      <c r="P944" s="1">
        <v>0</v>
      </c>
      <c r="Q944" s="1">
        <v>0</v>
      </c>
      <c r="R944" s="1">
        <v>0</v>
      </c>
      <c r="S944" s="1">
        <v>2.19</v>
      </c>
      <c r="T944" s="1">
        <v>15.1</v>
      </c>
      <c r="U944" s="1">
        <v>1.45</v>
      </c>
      <c r="V944" s="1">
        <v>0</v>
      </c>
      <c r="W944" s="1">
        <v>0.01</v>
      </c>
      <c r="X944" s="1">
        <v>33887.478725000001</v>
      </c>
      <c r="Y944" s="1">
        <v>61806308.186700001</v>
      </c>
      <c r="Z944" t="str">
        <f>VLOOKUP(G944,'Code Pro'!$A$2:$B$9,2,FALSE)</f>
        <v>จ.สระแก้ว</v>
      </c>
      <c r="AA944" s="8">
        <f t="shared" si="127"/>
        <v>0</v>
      </c>
      <c r="AB944" s="8">
        <f t="shared" si="128"/>
        <v>0</v>
      </c>
      <c r="AC944" s="8">
        <f t="shared" si="129"/>
        <v>0</v>
      </c>
      <c r="AD944" s="8">
        <f t="shared" si="130"/>
        <v>0</v>
      </c>
      <c r="AE944" s="8">
        <f t="shared" si="131"/>
        <v>135355814.928873</v>
      </c>
      <c r="AF944" s="8">
        <f t="shared" si="132"/>
        <v>933275253.61916995</v>
      </c>
      <c r="AG944" s="8">
        <f t="shared" si="133"/>
        <v>89619146.870714992</v>
      </c>
      <c r="AH944" s="8">
        <f t="shared" si="134"/>
        <v>0</v>
      </c>
      <c r="AI944" s="8">
        <f t="shared" si="135"/>
        <v>618063.08186699997</v>
      </c>
    </row>
    <row r="945" spans="1:35" x14ac:dyDescent="0.55000000000000004">
      <c r="A945" s="1">
        <v>943</v>
      </c>
      <c r="B945" s="1" t="s">
        <v>20</v>
      </c>
      <c r="C945" s="1">
        <v>62</v>
      </c>
      <c r="D945" s="1">
        <v>3</v>
      </c>
      <c r="E945" s="1" t="s">
        <v>141</v>
      </c>
      <c r="F945" s="1" t="s">
        <v>142</v>
      </c>
      <c r="G945" s="1">
        <v>27</v>
      </c>
      <c r="H945" s="1">
        <v>2</v>
      </c>
      <c r="I945" s="1">
        <v>27030000</v>
      </c>
      <c r="J945" s="1">
        <v>1237</v>
      </c>
      <c r="K945" s="1">
        <v>0</v>
      </c>
      <c r="L945" s="1">
        <v>14602</v>
      </c>
      <c r="M945" s="1">
        <v>13.931006999999999</v>
      </c>
      <c r="N945" s="1">
        <v>102.85200500000001</v>
      </c>
      <c r="O945" s="1">
        <v>0</v>
      </c>
      <c r="P945" s="1">
        <v>0</v>
      </c>
      <c r="Q945" s="1">
        <v>0.01</v>
      </c>
      <c r="R945" s="1">
        <v>0</v>
      </c>
      <c r="S945" s="1">
        <v>0.84</v>
      </c>
      <c r="T945" s="1">
        <v>14.97</v>
      </c>
      <c r="U945" s="1">
        <v>0</v>
      </c>
      <c r="V945" s="1">
        <v>0</v>
      </c>
      <c r="W945" s="1">
        <v>0.03</v>
      </c>
      <c r="X945" s="1">
        <v>6323.5087979999998</v>
      </c>
      <c r="Y945" s="1">
        <v>1110174.2875399999</v>
      </c>
      <c r="Z945" t="str">
        <f>VLOOKUP(G945,'Code Pro'!$A$2:$B$9,2,FALSE)</f>
        <v>จ.สระแก้ว</v>
      </c>
      <c r="AA945" s="8">
        <f t="shared" si="127"/>
        <v>0</v>
      </c>
      <c r="AB945" s="8">
        <f t="shared" si="128"/>
        <v>0</v>
      </c>
      <c r="AC945" s="8">
        <f t="shared" si="129"/>
        <v>11101.742875399999</v>
      </c>
      <c r="AD945" s="8">
        <f t="shared" si="130"/>
        <v>0</v>
      </c>
      <c r="AE945" s="8">
        <f t="shared" si="131"/>
        <v>932546.40153359994</v>
      </c>
      <c r="AF945" s="8">
        <f t="shared" si="132"/>
        <v>16619309.0844738</v>
      </c>
      <c r="AG945" s="8">
        <f t="shared" si="133"/>
        <v>0</v>
      </c>
      <c r="AH945" s="8">
        <f t="shared" si="134"/>
        <v>0</v>
      </c>
      <c r="AI945" s="8">
        <f t="shared" si="135"/>
        <v>33305.228626199998</v>
      </c>
    </row>
    <row r="946" spans="1:35" x14ac:dyDescent="0.55000000000000004">
      <c r="A946" s="1">
        <v>944</v>
      </c>
      <c r="B946" s="1" t="s">
        <v>20</v>
      </c>
      <c r="C946" s="1">
        <v>62</v>
      </c>
      <c r="D946" s="1">
        <v>3</v>
      </c>
      <c r="E946" s="1" t="s">
        <v>141</v>
      </c>
      <c r="F946" s="1" t="s">
        <v>142</v>
      </c>
      <c r="G946" s="1">
        <v>27</v>
      </c>
      <c r="H946" s="1">
        <v>2</v>
      </c>
      <c r="I946" s="1">
        <v>27030000</v>
      </c>
      <c r="J946" s="1">
        <v>1238</v>
      </c>
      <c r="K946" s="1">
        <v>0</v>
      </c>
      <c r="L946" s="1">
        <v>14721</v>
      </c>
      <c r="M946" s="1">
        <v>14.011680999999999</v>
      </c>
      <c r="N946" s="1">
        <v>102.76887000000001</v>
      </c>
      <c r="O946" s="1">
        <v>0</v>
      </c>
      <c r="P946" s="1">
        <v>0</v>
      </c>
      <c r="Q946" s="1">
        <v>0</v>
      </c>
      <c r="R946" s="1">
        <v>0</v>
      </c>
      <c r="S946" s="1">
        <v>1.29</v>
      </c>
      <c r="T946" s="1">
        <v>5.9</v>
      </c>
      <c r="U946" s="1">
        <v>1.0900000000000001</v>
      </c>
      <c r="V946" s="1">
        <v>0.01</v>
      </c>
      <c r="W946" s="1">
        <v>0</v>
      </c>
      <c r="X946" s="1">
        <v>35869.317071999998</v>
      </c>
      <c r="Y946" s="1">
        <v>80412198.296900004</v>
      </c>
      <c r="Z946" t="str">
        <f>VLOOKUP(G946,'Code Pro'!$A$2:$B$9,2,FALSE)</f>
        <v>จ.สระแก้ว</v>
      </c>
      <c r="AA946" s="8">
        <f t="shared" si="127"/>
        <v>0</v>
      </c>
      <c r="AB946" s="8">
        <f t="shared" si="128"/>
        <v>0</v>
      </c>
      <c r="AC946" s="8">
        <f t="shared" si="129"/>
        <v>0</v>
      </c>
      <c r="AD946" s="8">
        <f t="shared" si="130"/>
        <v>0</v>
      </c>
      <c r="AE946" s="8">
        <f t="shared" si="131"/>
        <v>103731735.803001</v>
      </c>
      <c r="AF946" s="8">
        <f t="shared" si="132"/>
        <v>474431969.95171005</v>
      </c>
      <c r="AG946" s="8">
        <f t="shared" si="133"/>
        <v>87649296.143621013</v>
      </c>
      <c r="AH946" s="8">
        <f t="shared" si="134"/>
        <v>804121.982969</v>
      </c>
      <c r="AI946" s="8">
        <f t="shared" si="135"/>
        <v>0</v>
      </c>
    </row>
    <row r="947" spans="1:35" x14ac:dyDescent="0.55000000000000004">
      <c r="A947" s="1">
        <v>945</v>
      </c>
      <c r="B947" s="1" t="s">
        <v>20</v>
      </c>
      <c r="C947" s="1">
        <v>62</v>
      </c>
      <c r="D947" s="1">
        <v>3</v>
      </c>
      <c r="E947" s="1" t="s">
        <v>141</v>
      </c>
      <c r="F947" s="1" t="s">
        <v>142</v>
      </c>
      <c r="G947" s="1">
        <v>27</v>
      </c>
      <c r="H947" s="1">
        <v>2</v>
      </c>
      <c r="I947" s="1">
        <v>27030000</v>
      </c>
      <c r="J947" s="1">
        <v>1239</v>
      </c>
      <c r="K947" s="1">
        <v>0</v>
      </c>
      <c r="L947" s="1">
        <v>14841</v>
      </c>
      <c r="M947" s="1">
        <v>14.092331</v>
      </c>
      <c r="N947" s="1">
        <v>102.76887000000001</v>
      </c>
      <c r="O947" s="1">
        <v>2.44</v>
      </c>
      <c r="P947" s="1">
        <v>0</v>
      </c>
      <c r="Q947" s="1">
        <v>0</v>
      </c>
      <c r="R947" s="1">
        <v>0</v>
      </c>
      <c r="S947" s="1">
        <v>2.25</v>
      </c>
      <c r="T947" s="1">
        <v>11.24</v>
      </c>
      <c r="U947" s="1">
        <v>9.7899999999999991</v>
      </c>
      <c r="V947" s="1">
        <v>0.01</v>
      </c>
      <c r="W947" s="1">
        <v>0</v>
      </c>
      <c r="X947" s="1">
        <v>35856.215742</v>
      </c>
      <c r="Y947" s="1">
        <v>80353460.622199997</v>
      </c>
      <c r="Z947" t="str">
        <f>VLOOKUP(G947,'Code Pro'!$A$2:$B$9,2,FALSE)</f>
        <v>จ.สระแก้ว</v>
      </c>
      <c r="AA947" s="8">
        <f t="shared" si="127"/>
        <v>196062443.91816798</v>
      </c>
      <c r="AB947" s="8">
        <f t="shared" si="128"/>
        <v>0</v>
      </c>
      <c r="AC947" s="8">
        <f t="shared" si="129"/>
        <v>0</v>
      </c>
      <c r="AD947" s="8">
        <f t="shared" si="130"/>
        <v>0</v>
      </c>
      <c r="AE947" s="8">
        <f t="shared" si="131"/>
        <v>180795286.39995</v>
      </c>
      <c r="AF947" s="8">
        <f t="shared" si="132"/>
        <v>903172897.39352798</v>
      </c>
      <c r="AG947" s="8">
        <f t="shared" si="133"/>
        <v>786660379.4913379</v>
      </c>
      <c r="AH947" s="8">
        <f t="shared" si="134"/>
        <v>803534.60622199997</v>
      </c>
      <c r="AI947" s="8">
        <f t="shared" si="135"/>
        <v>0</v>
      </c>
    </row>
    <row r="948" spans="1:35" x14ac:dyDescent="0.55000000000000004">
      <c r="A948" s="1">
        <v>946</v>
      </c>
      <c r="B948" s="1" t="s">
        <v>20</v>
      </c>
      <c r="C948" s="1">
        <v>62</v>
      </c>
      <c r="D948" s="1">
        <v>3</v>
      </c>
      <c r="E948" s="1" t="s">
        <v>141</v>
      </c>
      <c r="F948" s="1" t="s">
        <v>142</v>
      </c>
      <c r="G948" s="1">
        <v>27</v>
      </c>
      <c r="H948" s="1">
        <v>2</v>
      </c>
      <c r="I948" s="1">
        <v>27030000</v>
      </c>
      <c r="J948" s="1">
        <v>1240</v>
      </c>
      <c r="K948" s="1">
        <v>0</v>
      </c>
      <c r="L948" s="1">
        <v>14960</v>
      </c>
      <c r="M948" s="1">
        <v>14.172943</v>
      </c>
      <c r="N948" s="1">
        <v>102.68574</v>
      </c>
      <c r="O948" s="1">
        <v>3.8</v>
      </c>
      <c r="P948" s="1">
        <v>0.16</v>
      </c>
      <c r="Q948" s="1">
        <v>0.49</v>
      </c>
      <c r="R948" s="1">
        <v>0</v>
      </c>
      <c r="S948" s="1">
        <v>37.349997999999999</v>
      </c>
      <c r="T948" s="1">
        <v>13.12</v>
      </c>
      <c r="U948" s="1">
        <v>0.09</v>
      </c>
      <c r="V948" s="1">
        <v>0.78</v>
      </c>
      <c r="W948" s="1">
        <v>0</v>
      </c>
      <c r="X948" s="1">
        <v>20654.142365</v>
      </c>
      <c r="Y948" s="1">
        <v>14550788.114700001</v>
      </c>
      <c r="Z948" t="str">
        <f>VLOOKUP(G948,'Code Pro'!$A$2:$B$9,2,FALSE)</f>
        <v>จ.สระแก้ว</v>
      </c>
      <c r="AA948" s="8">
        <f t="shared" si="127"/>
        <v>55292994.835859999</v>
      </c>
      <c r="AB948" s="8">
        <f t="shared" si="128"/>
        <v>2328126.0983520001</v>
      </c>
      <c r="AC948" s="8">
        <f t="shared" si="129"/>
        <v>7129886.1762030004</v>
      </c>
      <c r="AD948" s="8">
        <f t="shared" si="130"/>
        <v>0</v>
      </c>
      <c r="AE948" s="8">
        <f t="shared" si="131"/>
        <v>543471906.98246884</v>
      </c>
      <c r="AF948" s="8">
        <f t="shared" si="132"/>
        <v>190906340.06486401</v>
      </c>
      <c r="AG948" s="8">
        <f t="shared" si="133"/>
        <v>1309570.9303230001</v>
      </c>
      <c r="AH948" s="8">
        <f t="shared" si="134"/>
        <v>11349614.729466001</v>
      </c>
      <c r="AI948" s="8">
        <f t="shared" si="135"/>
        <v>0</v>
      </c>
    </row>
    <row r="949" spans="1:35" x14ac:dyDescent="0.55000000000000004">
      <c r="A949" s="1">
        <v>947</v>
      </c>
      <c r="B949" s="1" t="s">
        <v>20</v>
      </c>
      <c r="C949" s="1">
        <v>62</v>
      </c>
      <c r="D949" s="1">
        <v>3</v>
      </c>
      <c r="E949" s="1" t="s">
        <v>141</v>
      </c>
      <c r="F949" s="1" t="s">
        <v>142</v>
      </c>
      <c r="G949" s="1">
        <v>27</v>
      </c>
      <c r="H949" s="1">
        <v>2</v>
      </c>
      <c r="I949" s="1">
        <v>27030000</v>
      </c>
      <c r="J949" s="1">
        <v>1241</v>
      </c>
      <c r="K949" s="1">
        <v>0</v>
      </c>
      <c r="L949" s="1">
        <v>14959</v>
      </c>
      <c r="M949" s="1">
        <v>14.172943</v>
      </c>
      <c r="N949" s="1">
        <v>102.6026</v>
      </c>
      <c r="O949" s="1">
        <v>1.34</v>
      </c>
      <c r="P949" s="1">
        <v>10.199999999999999</v>
      </c>
      <c r="Q949" s="1">
        <v>10.220000000000001</v>
      </c>
      <c r="R949" s="1">
        <v>0</v>
      </c>
      <c r="S949" s="1">
        <v>7.83</v>
      </c>
      <c r="T949" s="1">
        <v>8.18</v>
      </c>
      <c r="U949" s="1">
        <v>0.17</v>
      </c>
      <c r="V949" s="1">
        <v>2.02</v>
      </c>
      <c r="W949" s="1">
        <v>0</v>
      </c>
      <c r="X949" s="1">
        <v>24820.564858999998</v>
      </c>
      <c r="Y949" s="1">
        <v>25368033.167100001</v>
      </c>
      <c r="Z949" t="str">
        <f>VLOOKUP(G949,'Code Pro'!$A$2:$B$9,2,FALSE)</f>
        <v>จ.สระแก้ว</v>
      </c>
      <c r="AA949" s="8">
        <f t="shared" si="127"/>
        <v>33993164.443914004</v>
      </c>
      <c r="AB949" s="8">
        <f t="shared" si="128"/>
        <v>258753938.30441999</v>
      </c>
      <c r="AC949" s="8">
        <f t="shared" si="129"/>
        <v>259261298.96776202</v>
      </c>
      <c r="AD949" s="8">
        <f t="shared" si="130"/>
        <v>0</v>
      </c>
      <c r="AE949" s="8">
        <f t="shared" si="131"/>
        <v>198631699.69839302</v>
      </c>
      <c r="AF949" s="8">
        <f t="shared" si="132"/>
        <v>207510511.306878</v>
      </c>
      <c r="AG949" s="8">
        <f t="shared" si="133"/>
        <v>4312565.6384070003</v>
      </c>
      <c r="AH949" s="8">
        <f t="shared" si="134"/>
        <v>51243426.997542001</v>
      </c>
      <c r="AI949" s="8">
        <f t="shared" si="135"/>
        <v>0</v>
      </c>
    </row>
    <row r="950" spans="1:35" x14ac:dyDescent="0.55000000000000004">
      <c r="A950" s="1">
        <v>948</v>
      </c>
      <c r="B950" s="1" t="s">
        <v>20</v>
      </c>
      <c r="C950" s="1">
        <v>62</v>
      </c>
      <c r="D950" s="1">
        <v>3</v>
      </c>
      <c r="E950" s="1" t="s">
        <v>141</v>
      </c>
      <c r="F950" s="1" t="s">
        <v>142</v>
      </c>
      <c r="G950" s="1">
        <v>27</v>
      </c>
      <c r="H950" s="1">
        <v>2</v>
      </c>
      <c r="I950" s="1">
        <v>27030000</v>
      </c>
      <c r="J950" s="1">
        <v>1245</v>
      </c>
      <c r="K950" s="1">
        <v>0</v>
      </c>
      <c r="L950" s="1">
        <v>14839</v>
      </c>
      <c r="M950" s="1">
        <v>14.092331</v>
      </c>
      <c r="N950" s="1">
        <v>102.6026</v>
      </c>
      <c r="O950" s="1">
        <v>0.32</v>
      </c>
      <c r="P950" s="1">
        <v>0.01</v>
      </c>
      <c r="Q950" s="1">
        <v>0.1</v>
      </c>
      <c r="R950" s="1">
        <v>0</v>
      </c>
      <c r="S950" s="1">
        <v>4.5599999999999996</v>
      </c>
      <c r="T950" s="1">
        <v>10.76</v>
      </c>
      <c r="U950" s="1">
        <v>2.57</v>
      </c>
      <c r="V950" s="1">
        <v>7.0000000000000007E-2</v>
      </c>
      <c r="W950" s="1">
        <v>0</v>
      </c>
      <c r="X950" s="1">
        <v>35851.494531999997</v>
      </c>
      <c r="Y950" s="1">
        <v>80332278.598199993</v>
      </c>
      <c r="Z950" t="str">
        <f>VLOOKUP(G950,'Code Pro'!$A$2:$B$9,2,FALSE)</f>
        <v>จ.สระแก้ว</v>
      </c>
      <c r="AA950" s="8">
        <f t="shared" si="127"/>
        <v>25706329.151423998</v>
      </c>
      <c r="AB950" s="8">
        <f t="shared" si="128"/>
        <v>803322.78598199994</v>
      </c>
      <c r="AC950" s="8">
        <f t="shared" si="129"/>
        <v>8033227.8598199999</v>
      </c>
      <c r="AD950" s="8">
        <f t="shared" si="130"/>
        <v>0</v>
      </c>
      <c r="AE950" s="8">
        <f t="shared" si="131"/>
        <v>366315190.40779191</v>
      </c>
      <c r="AF950" s="8">
        <f t="shared" si="132"/>
        <v>864375317.71663189</v>
      </c>
      <c r="AG950" s="8">
        <f t="shared" si="133"/>
        <v>206453955.99737397</v>
      </c>
      <c r="AH950" s="8">
        <f t="shared" si="134"/>
        <v>5623259.5018739998</v>
      </c>
      <c r="AI950" s="8">
        <f t="shared" si="135"/>
        <v>0</v>
      </c>
    </row>
    <row r="951" spans="1:35" x14ac:dyDescent="0.55000000000000004">
      <c r="A951" s="1">
        <v>949</v>
      </c>
      <c r="B951" s="1" t="s">
        <v>20</v>
      </c>
      <c r="C951" s="1">
        <v>62</v>
      </c>
      <c r="D951" s="1">
        <v>3</v>
      </c>
      <c r="E951" s="1" t="s">
        <v>141</v>
      </c>
      <c r="F951" s="1" t="s">
        <v>142</v>
      </c>
      <c r="G951" s="1">
        <v>27</v>
      </c>
      <c r="H951" s="1">
        <v>2</v>
      </c>
      <c r="I951" s="1">
        <v>27030000</v>
      </c>
      <c r="J951" s="1">
        <v>1246</v>
      </c>
      <c r="K951" s="1">
        <v>0</v>
      </c>
      <c r="L951" s="1">
        <v>14842</v>
      </c>
      <c r="M951" s="1">
        <v>14.092331</v>
      </c>
      <c r="N951" s="1">
        <v>102.85200500000001</v>
      </c>
      <c r="O951" s="1">
        <v>0.21</v>
      </c>
      <c r="P951" s="1">
        <v>0</v>
      </c>
      <c r="Q951" s="1">
        <v>0.04</v>
      </c>
      <c r="R951" s="1">
        <v>0</v>
      </c>
      <c r="S951" s="1">
        <v>5.89</v>
      </c>
      <c r="T951" s="1">
        <v>2.12</v>
      </c>
      <c r="U951" s="1">
        <v>5.04</v>
      </c>
      <c r="V951" s="1">
        <v>0</v>
      </c>
      <c r="W951" s="1">
        <v>0</v>
      </c>
      <c r="X951" s="1">
        <v>35860.036303000001</v>
      </c>
      <c r="Y951" s="1">
        <v>80370577.566400006</v>
      </c>
      <c r="Z951" t="str">
        <f>VLOOKUP(G951,'Code Pro'!$A$2:$B$9,2,FALSE)</f>
        <v>จ.สระแก้ว</v>
      </c>
      <c r="AA951" s="8">
        <f t="shared" si="127"/>
        <v>16877821.288944002</v>
      </c>
      <c r="AB951" s="8">
        <f t="shared" si="128"/>
        <v>0</v>
      </c>
      <c r="AC951" s="8">
        <f t="shared" si="129"/>
        <v>3214823.1026560003</v>
      </c>
      <c r="AD951" s="8">
        <f t="shared" si="130"/>
        <v>0</v>
      </c>
      <c r="AE951" s="8">
        <f t="shared" si="131"/>
        <v>473382701.86609602</v>
      </c>
      <c r="AF951" s="8">
        <f t="shared" si="132"/>
        <v>170385624.44076803</v>
      </c>
      <c r="AG951" s="8">
        <f t="shared" si="133"/>
        <v>405067710.93465602</v>
      </c>
      <c r="AH951" s="8">
        <f t="shared" si="134"/>
        <v>0</v>
      </c>
      <c r="AI951" s="8">
        <f t="shared" si="135"/>
        <v>0</v>
      </c>
    </row>
    <row r="952" spans="1:35" x14ac:dyDescent="0.55000000000000004">
      <c r="A952" s="1">
        <v>950</v>
      </c>
      <c r="B952" s="1" t="s">
        <v>20</v>
      </c>
      <c r="C952" s="1">
        <v>62</v>
      </c>
      <c r="D952" s="1">
        <v>3</v>
      </c>
      <c r="E952" s="1" t="s">
        <v>141</v>
      </c>
      <c r="F952" s="1" t="s">
        <v>142</v>
      </c>
      <c r="G952" s="1">
        <v>27</v>
      </c>
      <c r="H952" s="1">
        <v>2</v>
      </c>
      <c r="I952" s="1">
        <v>27030000</v>
      </c>
      <c r="J952" s="1">
        <v>1247</v>
      </c>
      <c r="K952" s="1">
        <v>0</v>
      </c>
      <c r="L952" s="1">
        <v>14961</v>
      </c>
      <c r="M952" s="1">
        <v>14.172943</v>
      </c>
      <c r="N952" s="1">
        <v>102.76887000000001</v>
      </c>
      <c r="O952" s="1">
        <v>0.72</v>
      </c>
      <c r="P952" s="1">
        <v>0</v>
      </c>
      <c r="Q952" s="1">
        <v>0</v>
      </c>
      <c r="R952" s="1">
        <v>0</v>
      </c>
      <c r="S952" s="1">
        <v>6.62</v>
      </c>
      <c r="T952" s="1">
        <v>27.120000999999998</v>
      </c>
      <c r="U952" s="1">
        <v>0.87</v>
      </c>
      <c r="V952" s="1">
        <v>0.01</v>
      </c>
      <c r="W952" s="1">
        <v>0</v>
      </c>
      <c r="X952" s="1">
        <v>29342.507248000002</v>
      </c>
      <c r="Y952" s="1">
        <v>18760688.609000001</v>
      </c>
      <c r="Z952" t="str">
        <f>VLOOKUP(G952,'Code Pro'!$A$2:$B$9,2,FALSE)</f>
        <v>จ.สระแก้ว</v>
      </c>
      <c r="AA952" s="8">
        <f t="shared" si="127"/>
        <v>13507695.79848</v>
      </c>
      <c r="AB952" s="8">
        <f t="shared" si="128"/>
        <v>0</v>
      </c>
      <c r="AC952" s="8">
        <f t="shared" si="129"/>
        <v>0</v>
      </c>
      <c r="AD952" s="8">
        <f t="shared" si="130"/>
        <v>0</v>
      </c>
      <c r="AE952" s="8">
        <f t="shared" si="131"/>
        <v>124195758.59158</v>
      </c>
      <c r="AF952" s="8">
        <f t="shared" si="132"/>
        <v>508789893.83676863</v>
      </c>
      <c r="AG952" s="8">
        <f t="shared" si="133"/>
        <v>16321799.08983</v>
      </c>
      <c r="AH952" s="8">
        <f t="shared" si="134"/>
        <v>187606.88609000001</v>
      </c>
      <c r="AI952" s="8">
        <f t="shared" si="135"/>
        <v>0</v>
      </c>
    </row>
    <row r="953" spans="1:35" x14ac:dyDescent="0.55000000000000004">
      <c r="A953" s="1">
        <v>951</v>
      </c>
      <c r="B953" s="1" t="s">
        <v>20</v>
      </c>
      <c r="C953" s="1">
        <v>62</v>
      </c>
      <c r="D953" s="1">
        <v>3</v>
      </c>
      <c r="E953" s="1" t="s">
        <v>141</v>
      </c>
      <c r="F953" s="1" t="s">
        <v>142</v>
      </c>
      <c r="G953" s="1">
        <v>27</v>
      </c>
      <c r="H953" s="1">
        <v>2</v>
      </c>
      <c r="I953" s="1">
        <v>27030000</v>
      </c>
      <c r="J953" s="1">
        <v>1250</v>
      </c>
      <c r="K953" s="1">
        <v>0</v>
      </c>
      <c r="L953" s="1">
        <v>14962</v>
      </c>
      <c r="M953" s="1">
        <v>14.172943</v>
      </c>
      <c r="N953" s="1">
        <v>102.85200500000001</v>
      </c>
      <c r="O953" s="1">
        <v>0</v>
      </c>
      <c r="P953" s="1">
        <v>0.04</v>
      </c>
      <c r="Q953" s="1">
        <v>7.67</v>
      </c>
      <c r="R953" s="1">
        <v>0</v>
      </c>
      <c r="S953" s="1">
        <v>4.76</v>
      </c>
      <c r="T953" s="1">
        <v>4.9400000000000004</v>
      </c>
      <c r="U953" s="1">
        <v>18.559999000000001</v>
      </c>
      <c r="V953" s="1">
        <v>0.16</v>
      </c>
      <c r="W953" s="1">
        <v>0</v>
      </c>
      <c r="X953" s="1">
        <v>31420.263723</v>
      </c>
      <c r="Y953" s="1">
        <v>30644349.707199998</v>
      </c>
      <c r="Z953" t="str">
        <f>VLOOKUP(G953,'Code Pro'!$A$2:$B$9,2,FALSE)</f>
        <v>จ.สระแก้ว</v>
      </c>
      <c r="AA953" s="8">
        <f t="shared" si="127"/>
        <v>0</v>
      </c>
      <c r="AB953" s="8">
        <f t="shared" si="128"/>
        <v>1225773.988288</v>
      </c>
      <c r="AC953" s="8">
        <f t="shared" si="129"/>
        <v>235042162.25422397</v>
      </c>
      <c r="AD953" s="8">
        <f t="shared" si="130"/>
        <v>0</v>
      </c>
      <c r="AE953" s="8">
        <f t="shared" si="131"/>
        <v>145867104.60627198</v>
      </c>
      <c r="AF953" s="8">
        <f t="shared" si="132"/>
        <v>151383087.55356801</v>
      </c>
      <c r="AG953" s="8">
        <f t="shared" si="133"/>
        <v>568759099.92128229</v>
      </c>
      <c r="AH953" s="8">
        <f t="shared" si="134"/>
        <v>4903095.953152</v>
      </c>
      <c r="AI953" s="8">
        <f t="shared" si="135"/>
        <v>0</v>
      </c>
    </row>
    <row r="954" spans="1:35" x14ac:dyDescent="0.55000000000000004">
      <c r="A954" s="1">
        <v>952</v>
      </c>
      <c r="B954" s="1" t="s">
        <v>20</v>
      </c>
      <c r="C954" s="1">
        <v>62</v>
      </c>
      <c r="D954" s="1">
        <v>3</v>
      </c>
      <c r="E954" s="1" t="s">
        <v>141</v>
      </c>
      <c r="F954" s="1" t="s">
        <v>142</v>
      </c>
      <c r="G954" s="1">
        <v>27</v>
      </c>
      <c r="H954" s="1">
        <v>2</v>
      </c>
      <c r="I954" s="1">
        <v>27030000</v>
      </c>
      <c r="J954" s="1">
        <v>1254</v>
      </c>
      <c r="K954" s="1">
        <v>0</v>
      </c>
      <c r="L954" s="1">
        <v>14723</v>
      </c>
      <c r="M954" s="1">
        <v>14.011680999999999</v>
      </c>
      <c r="N954" s="1">
        <v>102.93514</v>
      </c>
      <c r="O954" s="1">
        <v>0</v>
      </c>
      <c r="P954" s="1">
        <v>0</v>
      </c>
      <c r="Q954" s="1">
        <v>0</v>
      </c>
      <c r="R954" s="1">
        <v>0</v>
      </c>
      <c r="S954" s="1">
        <v>22.690000999999999</v>
      </c>
      <c r="T954" s="1">
        <v>21.76</v>
      </c>
      <c r="U954" s="1">
        <v>0.08</v>
      </c>
      <c r="V954" s="1">
        <v>0</v>
      </c>
      <c r="W954" s="1">
        <v>0</v>
      </c>
      <c r="X954" s="1">
        <v>12781.309251999999</v>
      </c>
      <c r="Y954" s="1">
        <v>5133947.2615900002</v>
      </c>
      <c r="Z954" t="str">
        <f>VLOOKUP(G954,'Code Pro'!$A$2:$B$9,2,FALSE)</f>
        <v>จ.สระแก้ว</v>
      </c>
      <c r="AA954" s="8">
        <f t="shared" si="127"/>
        <v>0</v>
      </c>
      <c r="AB954" s="8">
        <f t="shared" si="128"/>
        <v>0</v>
      </c>
      <c r="AC954" s="8">
        <f t="shared" si="129"/>
        <v>0</v>
      </c>
      <c r="AD954" s="8">
        <f t="shared" si="130"/>
        <v>0</v>
      </c>
      <c r="AE954" s="8">
        <f t="shared" si="131"/>
        <v>116489268.49942435</v>
      </c>
      <c r="AF954" s="8">
        <f t="shared" si="132"/>
        <v>111714692.41219841</v>
      </c>
      <c r="AG954" s="8">
        <f t="shared" si="133"/>
        <v>410715.78092720004</v>
      </c>
      <c r="AH954" s="8">
        <f t="shared" si="134"/>
        <v>0</v>
      </c>
      <c r="AI954" s="8">
        <f t="shared" si="135"/>
        <v>0</v>
      </c>
    </row>
    <row r="955" spans="1:35" x14ac:dyDescent="0.55000000000000004">
      <c r="A955" s="1">
        <v>953</v>
      </c>
      <c r="B955" s="1" t="s">
        <v>20</v>
      </c>
      <c r="C955" s="1">
        <v>62</v>
      </c>
      <c r="D955" s="1">
        <v>3</v>
      </c>
      <c r="E955" s="1" t="s">
        <v>141</v>
      </c>
      <c r="F955" s="1" t="s">
        <v>142</v>
      </c>
      <c r="G955" s="1">
        <v>27</v>
      </c>
      <c r="H955" s="1">
        <v>2</v>
      </c>
      <c r="I955" s="1">
        <v>27030000</v>
      </c>
      <c r="J955" s="1">
        <v>1257</v>
      </c>
      <c r="K955" s="1">
        <v>0</v>
      </c>
      <c r="L955" s="1">
        <v>14963</v>
      </c>
      <c r="M955" s="1">
        <v>14.172943</v>
      </c>
      <c r="N955" s="1">
        <v>102.93514</v>
      </c>
      <c r="O955" s="1">
        <v>0.44</v>
      </c>
      <c r="P955" s="1">
        <v>0</v>
      </c>
      <c r="Q955" s="1">
        <v>0.93</v>
      </c>
      <c r="R955" s="1">
        <v>3.7</v>
      </c>
      <c r="S955" s="1">
        <v>6.33</v>
      </c>
      <c r="T955" s="1">
        <v>4.3499999999999996</v>
      </c>
      <c r="U955" s="1">
        <v>7.54</v>
      </c>
      <c r="V955" s="1">
        <v>0.02</v>
      </c>
      <c r="W955" s="1">
        <v>0</v>
      </c>
      <c r="X955" s="1">
        <v>18002.801147999999</v>
      </c>
      <c r="Y955" s="1">
        <v>19042121.5748</v>
      </c>
      <c r="Z955" t="str">
        <f>VLOOKUP(G955,'Code Pro'!$A$2:$B$9,2,FALSE)</f>
        <v>จ.สระแก้ว</v>
      </c>
      <c r="AA955" s="8">
        <f t="shared" si="127"/>
        <v>8378533.492912</v>
      </c>
      <c r="AB955" s="8">
        <f t="shared" si="128"/>
        <v>0</v>
      </c>
      <c r="AC955" s="8">
        <f t="shared" si="129"/>
        <v>17709173.064564001</v>
      </c>
      <c r="AD955" s="8">
        <f t="shared" si="130"/>
        <v>70455849.826760009</v>
      </c>
      <c r="AE955" s="8">
        <f t="shared" si="131"/>
        <v>120536629.56848399</v>
      </c>
      <c r="AF955" s="8">
        <f t="shared" si="132"/>
        <v>82833228.850379989</v>
      </c>
      <c r="AG955" s="8">
        <f t="shared" si="133"/>
        <v>143577596.67399201</v>
      </c>
      <c r="AH955" s="8">
        <f t="shared" si="134"/>
        <v>380842.43149599998</v>
      </c>
      <c r="AI955" s="8">
        <f t="shared" si="135"/>
        <v>0</v>
      </c>
    </row>
    <row r="956" spans="1:35" x14ac:dyDescent="0.55000000000000004">
      <c r="A956" s="1">
        <v>954</v>
      </c>
      <c r="B956" s="1" t="s">
        <v>20</v>
      </c>
      <c r="C956" s="1">
        <v>62</v>
      </c>
      <c r="D956" s="1">
        <v>3</v>
      </c>
      <c r="E956" s="1" t="s">
        <v>141</v>
      </c>
      <c r="F956" s="1" t="s">
        <v>142</v>
      </c>
      <c r="G956" s="1">
        <v>27</v>
      </c>
      <c r="H956" s="1">
        <v>2</v>
      </c>
      <c r="I956" s="1">
        <v>27030000</v>
      </c>
      <c r="J956" s="1">
        <v>1258</v>
      </c>
      <c r="K956" s="1">
        <v>0</v>
      </c>
      <c r="L956" s="1">
        <v>14843</v>
      </c>
      <c r="M956" s="1">
        <v>14.092331</v>
      </c>
      <c r="N956" s="1">
        <v>102.93514</v>
      </c>
      <c r="O956" s="1">
        <v>0.05</v>
      </c>
      <c r="P956" s="1">
        <v>0</v>
      </c>
      <c r="Q956" s="1">
        <v>0.01</v>
      </c>
      <c r="R956" s="1">
        <v>0.01</v>
      </c>
      <c r="S956" s="1">
        <v>26.790001</v>
      </c>
      <c r="T956" s="1">
        <v>5</v>
      </c>
      <c r="U956" s="1">
        <v>1.01</v>
      </c>
      <c r="V956" s="1">
        <v>0</v>
      </c>
      <c r="W956" s="1">
        <v>0</v>
      </c>
      <c r="X956" s="1">
        <v>23760.997454</v>
      </c>
      <c r="Y956" s="1">
        <v>16980697.279399998</v>
      </c>
      <c r="Z956" t="str">
        <f>VLOOKUP(G956,'Code Pro'!$A$2:$B$9,2,FALSE)</f>
        <v>จ.สระแก้ว</v>
      </c>
      <c r="AA956" s="8">
        <f t="shared" si="127"/>
        <v>849034.86396999995</v>
      </c>
      <c r="AB956" s="8">
        <f t="shared" si="128"/>
        <v>0</v>
      </c>
      <c r="AC956" s="8">
        <f t="shared" si="129"/>
        <v>169806.972794</v>
      </c>
      <c r="AD956" s="8">
        <f t="shared" si="130"/>
        <v>169806.972794</v>
      </c>
      <c r="AE956" s="8">
        <f t="shared" si="131"/>
        <v>454912897.09582323</v>
      </c>
      <c r="AF956" s="8">
        <f t="shared" si="132"/>
        <v>84903486.396999985</v>
      </c>
      <c r="AG956" s="8">
        <f t="shared" si="133"/>
        <v>17150504.252193999</v>
      </c>
      <c r="AH956" s="8">
        <f t="shared" si="134"/>
        <v>0</v>
      </c>
      <c r="AI956" s="8">
        <f t="shared" si="135"/>
        <v>0</v>
      </c>
    </row>
    <row r="957" spans="1:35" x14ac:dyDescent="0.55000000000000004">
      <c r="A957" s="1">
        <v>955</v>
      </c>
      <c r="B957" s="1" t="s">
        <v>20</v>
      </c>
      <c r="C957" s="1">
        <v>63</v>
      </c>
      <c r="D957" s="1">
        <v>4</v>
      </c>
      <c r="E957" s="1" t="s">
        <v>143</v>
      </c>
      <c r="F957" s="1" t="s">
        <v>144</v>
      </c>
      <c r="G957" s="1">
        <v>27</v>
      </c>
      <c r="H957" s="1">
        <v>2</v>
      </c>
      <c r="I957" s="1">
        <v>27040000</v>
      </c>
      <c r="J957" s="1">
        <v>985</v>
      </c>
      <c r="K957" s="1">
        <v>0</v>
      </c>
      <c r="L957" s="1">
        <v>13871</v>
      </c>
      <c r="M957" s="1">
        <v>13.446358</v>
      </c>
      <c r="N957" s="1">
        <v>101.93751</v>
      </c>
      <c r="O957" s="1">
        <v>1.22</v>
      </c>
      <c r="P957" s="1">
        <v>0.04</v>
      </c>
      <c r="Q957" s="1">
        <v>0.22</v>
      </c>
      <c r="R957" s="1">
        <v>0.02</v>
      </c>
      <c r="S957" s="1">
        <v>0.19</v>
      </c>
      <c r="T957" s="1">
        <v>8.06</v>
      </c>
      <c r="U957" s="1">
        <v>31.709999</v>
      </c>
      <c r="V957" s="1">
        <v>0</v>
      </c>
      <c r="W957" s="1">
        <v>0</v>
      </c>
      <c r="X957" s="1">
        <v>24508.280144</v>
      </c>
      <c r="Y957" s="1">
        <v>30265680.331900001</v>
      </c>
      <c r="Z957" t="str">
        <f>VLOOKUP(G957,'Code Pro'!$A$2:$B$9,2,FALSE)</f>
        <v>จ.สระแก้ว</v>
      </c>
      <c r="AA957" s="8">
        <f t="shared" si="127"/>
        <v>36924130.004918002</v>
      </c>
      <c r="AB957" s="8">
        <f t="shared" si="128"/>
        <v>1210627.213276</v>
      </c>
      <c r="AC957" s="8">
        <f t="shared" si="129"/>
        <v>6658449.6730180001</v>
      </c>
      <c r="AD957" s="8">
        <f t="shared" si="130"/>
        <v>605313.606638</v>
      </c>
      <c r="AE957" s="8">
        <f t="shared" si="131"/>
        <v>5750479.263061</v>
      </c>
      <c r="AF957" s="8">
        <f t="shared" si="132"/>
        <v>243941383.47511402</v>
      </c>
      <c r="AG957" s="8">
        <f t="shared" si="133"/>
        <v>959724693.05886865</v>
      </c>
      <c r="AH957" s="8">
        <f t="shared" si="134"/>
        <v>0</v>
      </c>
      <c r="AI957" s="8">
        <f t="shared" si="135"/>
        <v>0</v>
      </c>
    </row>
    <row r="958" spans="1:35" x14ac:dyDescent="0.55000000000000004">
      <c r="A958" s="1">
        <v>956</v>
      </c>
      <c r="B958" s="1" t="s">
        <v>20</v>
      </c>
      <c r="C958" s="1">
        <v>63</v>
      </c>
      <c r="D958" s="1">
        <v>4</v>
      </c>
      <c r="E958" s="1" t="s">
        <v>143</v>
      </c>
      <c r="F958" s="1" t="s">
        <v>144</v>
      </c>
      <c r="G958" s="1">
        <v>27</v>
      </c>
      <c r="H958" s="1">
        <v>2</v>
      </c>
      <c r="I958" s="1">
        <v>27040000</v>
      </c>
      <c r="J958" s="1">
        <v>986</v>
      </c>
      <c r="K958" s="1">
        <v>0</v>
      </c>
      <c r="L958" s="1">
        <v>13872</v>
      </c>
      <c r="M958" s="1">
        <v>13.446358</v>
      </c>
      <c r="N958" s="1">
        <v>102.020645</v>
      </c>
      <c r="O958" s="1">
        <v>4.82</v>
      </c>
      <c r="P958" s="1">
        <v>0.28999999999999998</v>
      </c>
      <c r="Q958" s="1">
        <v>0.65</v>
      </c>
      <c r="R958" s="1">
        <v>0.03</v>
      </c>
      <c r="S958" s="1">
        <v>0.22</v>
      </c>
      <c r="T958" s="1">
        <v>5.76</v>
      </c>
      <c r="U958" s="1">
        <v>48.610000999999997</v>
      </c>
      <c r="V958" s="1">
        <v>0.02</v>
      </c>
      <c r="W958" s="1">
        <v>0</v>
      </c>
      <c r="X958" s="1">
        <v>34611.382013000002</v>
      </c>
      <c r="Y958" s="1">
        <v>60073949.018100001</v>
      </c>
      <c r="Z958" t="str">
        <f>VLOOKUP(G958,'Code Pro'!$A$2:$B$9,2,FALSE)</f>
        <v>จ.สระแก้ว</v>
      </c>
      <c r="AA958" s="8">
        <f t="shared" si="127"/>
        <v>289556434.26724201</v>
      </c>
      <c r="AB958" s="8">
        <f t="shared" si="128"/>
        <v>17421445.215248998</v>
      </c>
      <c r="AC958" s="8">
        <f t="shared" si="129"/>
        <v>39048066.861765005</v>
      </c>
      <c r="AD958" s="8">
        <f t="shared" si="130"/>
        <v>1802218.4705429999</v>
      </c>
      <c r="AE958" s="8">
        <f t="shared" si="131"/>
        <v>13216268.783981999</v>
      </c>
      <c r="AF958" s="8">
        <f t="shared" si="132"/>
        <v>346025946.34425598</v>
      </c>
      <c r="AG958" s="8">
        <f t="shared" si="133"/>
        <v>2920194721.8437901</v>
      </c>
      <c r="AH958" s="8">
        <f t="shared" si="134"/>
        <v>1201478.9803619999</v>
      </c>
      <c r="AI958" s="8">
        <f t="shared" si="135"/>
        <v>0</v>
      </c>
    </row>
    <row r="959" spans="1:35" x14ac:dyDescent="0.55000000000000004">
      <c r="A959" s="1">
        <v>957</v>
      </c>
      <c r="B959" s="1" t="s">
        <v>20</v>
      </c>
      <c r="C959" s="1">
        <v>63</v>
      </c>
      <c r="D959" s="1">
        <v>4</v>
      </c>
      <c r="E959" s="1" t="s">
        <v>143</v>
      </c>
      <c r="F959" s="1" t="s">
        <v>144</v>
      </c>
      <c r="G959" s="1">
        <v>27</v>
      </c>
      <c r="H959" s="1">
        <v>2</v>
      </c>
      <c r="I959" s="1">
        <v>27040000</v>
      </c>
      <c r="J959" s="1">
        <v>990</v>
      </c>
      <c r="K959" s="1">
        <v>0</v>
      </c>
      <c r="L959" s="1">
        <v>13874</v>
      </c>
      <c r="M959" s="1">
        <v>13.446358</v>
      </c>
      <c r="N959" s="1">
        <v>102.18692</v>
      </c>
      <c r="O959" s="1">
        <v>9.34</v>
      </c>
      <c r="P959" s="1">
        <v>7.0000000000000007E-2</v>
      </c>
      <c r="Q959" s="1">
        <v>2.4</v>
      </c>
      <c r="R959" s="1">
        <v>16.780000999999999</v>
      </c>
      <c r="S959" s="1">
        <v>7.0000000000000007E-2</v>
      </c>
      <c r="T959" s="1">
        <v>10.64</v>
      </c>
      <c r="U959" s="1">
        <v>20.190000999999999</v>
      </c>
      <c r="V959" s="1">
        <v>0.03</v>
      </c>
      <c r="W959" s="1">
        <v>0.01</v>
      </c>
      <c r="X959" s="1">
        <v>23077.513739999999</v>
      </c>
      <c r="Y959" s="1">
        <v>17144183.081799999</v>
      </c>
      <c r="Z959" t="str">
        <f>VLOOKUP(G959,'Code Pro'!$A$2:$B$9,2,FALSE)</f>
        <v>จ.สระแก้ว</v>
      </c>
      <c r="AA959" s="8">
        <f t="shared" si="127"/>
        <v>160126669.98401198</v>
      </c>
      <c r="AB959" s="8">
        <f t="shared" si="128"/>
        <v>1200092.8157260001</v>
      </c>
      <c r="AC959" s="8">
        <f t="shared" si="129"/>
        <v>41146039.396319993</v>
      </c>
      <c r="AD959" s="8">
        <f t="shared" si="130"/>
        <v>287679409.25678706</v>
      </c>
      <c r="AE959" s="8">
        <f t="shared" si="131"/>
        <v>1200092.8157260001</v>
      </c>
      <c r="AF959" s="8">
        <f t="shared" si="132"/>
        <v>182414107.990352</v>
      </c>
      <c r="AG959" s="8">
        <f t="shared" si="133"/>
        <v>346141073.56572503</v>
      </c>
      <c r="AH959" s="8">
        <f t="shared" si="134"/>
        <v>514325.49245399993</v>
      </c>
      <c r="AI959" s="8">
        <f t="shared" si="135"/>
        <v>171441.83081799999</v>
      </c>
    </row>
    <row r="960" spans="1:35" x14ac:dyDescent="0.55000000000000004">
      <c r="A960" s="1">
        <v>958</v>
      </c>
      <c r="B960" s="1" t="s">
        <v>20</v>
      </c>
      <c r="C960" s="1">
        <v>63</v>
      </c>
      <c r="D960" s="1">
        <v>4</v>
      </c>
      <c r="E960" s="1" t="s">
        <v>143</v>
      </c>
      <c r="F960" s="1" t="s">
        <v>144</v>
      </c>
      <c r="G960" s="1">
        <v>27</v>
      </c>
      <c r="H960" s="1">
        <v>2</v>
      </c>
      <c r="I960" s="1">
        <v>27040000</v>
      </c>
      <c r="J960" s="1">
        <v>991</v>
      </c>
      <c r="K960" s="1">
        <v>0</v>
      </c>
      <c r="L960" s="1">
        <v>13873</v>
      </c>
      <c r="M960" s="1">
        <v>13.446358</v>
      </c>
      <c r="N960" s="1">
        <v>102.10378</v>
      </c>
      <c r="O960" s="1">
        <v>18.309999000000001</v>
      </c>
      <c r="P960" s="1">
        <v>0.06</v>
      </c>
      <c r="Q960" s="1">
        <v>0.2</v>
      </c>
      <c r="R960" s="1">
        <v>0.15</v>
      </c>
      <c r="S960" s="1">
        <v>0</v>
      </c>
      <c r="T960" s="1">
        <v>2.63</v>
      </c>
      <c r="U960" s="1">
        <v>26.02</v>
      </c>
      <c r="V960" s="1">
        <v>0.22</v>
      </c>
      <c r="W960" s="1">
        <v>0.01</v>
      </c>
      <c r="X960" s="1">
        <v>29763.762078</v>
      </c>
      <c r="Y960" s="1">
        <v>38217081.945900001</v>
      </c>
      <c r="Z960" t="str">
        <f>VLOOKUP(G960,'Code Pro'!$A$2:$B$9,2,FALSE)</f>
        <v>จ.สระแก้ว</v>
      </c>
      <c r="AA960" s="8">
        <f t="shared" si="127"/>
        <v>699754732.21234715</v>
      </c>
      <c r="AB960" s="8">
        <f t="shared" si="128"/>
        <v>2293024.9167539999</v>
      </c>
      <c r="AC960" s="8">
        <f t="shared" si="129"/>
        <v>7643416.3891800009</v>
      </c>
      <c r="AD960" s="8">
        <f t="shared" si="130"/>
        <v>5732562.2918849997</v>
      </c>
      <c r="AE960" s="8">
        <f t="shared" si="131"/>
        <v>0</v>
      </c>
      <c r="AF960" s="8">
        <f t="shared" si="132"/>
        <v>100510925.517717</v>
      </c>
      <c r="AG960" s="8">
        <f t="shared" si="133"/>
        <v>994408472.23231804</v>
      </c>
      <c r="AH960" s="8">
        <f t="shared" si="134"/>
        <v>8407758.0280980002</v>
      </c>
      <c r="AI960" s="8">
        <f t="shared" si="135"/>
        <v>382170.81945900002</v>
      </c>
    </row>
    <row r="961" spans="1:35" x14ac:dyDescent="0.55000000000000004">
      <c r="A961" s="1">
        <v>959</v>
      </c>
      <c r="B961" s="1" t="s">
        <v>20</v>
      </c>
      <c r="C961" s="1">
        <v>63</v>
      </c>
      <c r="D961" s="1">
        <v>4</v>
      </c>
      <c r="E961" s="1" t="s">
        <v>143</v>
      </c>
      <c r="F961" s="1" t="s">
        <v>144</v>
      </c>
      <c r="G961" s="1">
        <v>27</v>
      </c>
      <c r="H961" s="1">
        <v>2</v>
      </c>
      <c r="I961" s="1">
        <v>27040000</v>
      </c>
      <c r="J961" s="1">
        <v>1011</v>
      </c>
      <c r="K961" s="1">
        <v>0</v>
      </c>
      <c r="L961" s="1">
        <v>13992</v>
      </c>
      <c r="M961" s="1">
        <v>13.527199</v>
      </c>
      <c r="N961" s="1">
        <v>102.020645</v>
      </c>
      <c r="O961" s="1">
        <v>0.1</v>
      </c>
      <c r="P961" s="1">
        <v>0.43</v>
      </c>
      <c r="Q961" s="1">
        <v>0.54</v>
      </c>
      <c r="R961" s="1">
        <v>0.01</v>
      </c>
      <c r="S961" s="1">
        <v>0.47</v>
      </c>
      <c r="T961" s="1">
        <v>2.2400000000000002</v>
      </c>
      <c r="U961" s="1">
        <v>17.700001</v>
      </c>
      <c r="V961" s="1">
        <v>0</v>
      </c>
      <c r="W961" s="1">
        <v>0.38</v>
      </c>
      <c r="X961" s="1">
        <v>35431.313575</v>
      </c>
      <c r="Y961" s="1">
        <v>69300591.932600006</v>
      </c>
      <c r="Z961" t="str">
        <f>VLOOKUP(G961,'Code Pro'!$A$2:$B$9,2,FALSE)</f>
        <v>จ.สระแก้ว</v>
      </c>
      <c r="AA961" s="8">
        <f t="shared" si="127"/>
        <v>6930059.193260001</v>
      </c>
      <c r="AB961" s="8">
        <f t="shared" si="128"/>
        <v>29799254.531018004</v>
      </c>
      <c r="AC961" s="8">
        <f t="shared" si="129"/>
        <v>37422319.643604003</v>
      </c>
      <c r="AD961" s="8">
        <f t="shared" si="130"/>
        <v>693005.91932600003</v>
      </c>
      <c r="AE961" s="8">
        <f t="shared" si="131"/>
        <v>32571278.208322</v>
      </c>
      <c r="AF961" s="8">
        <f t="shared" si="132"/>
        <v>155233325.92902404</v>
      </c>
      <c r="AG961" s="8">
        <f t="shared" si="133"/>
        <v>1226620546.507612</v>
      </c>
      <c r="AH961" s="8">
        <f t="shared" si="134"/>
        <v>0</v>
      </c>
      <c r="AI961" s="8">
        <f t="shared" si="135"/>
        <v>26334224.934388004</v>
      </c>
    </row>
    <row r="962" spans="1:35" x14ac:dyDescent="0.55000000000000004">
      <c r="A962" s="1">
        <v>960</v>
      </c>
      <c r="B962" s="1" t="s">
        <v>20</v>
      </c>
      <c r="C962" s="1">
        <v>63</v>
      </c>
      <c r="D962" s="1">
        <v>4</v>
      </c>
      <c r="E962" s="1" t="s">
        <v>143</v>
      </c>
      <c r="F962" s="1" t="s">
        <v>144</v>
      </c>
      <c r="G962" s="1">
        <v>27</v>
      </c>
      <c r="H962" s="1">
        <v>2</v>
      </c>
      <c r="I962" s="1">
        <v>27040000</v>
      </c>
      <c r="J962" s="1">
        <v>1013</v>
      </c>
      <c r="K962" s="1">
        <v>0</v>
      </c>
      <c r="L962" s="1">
        <v>14112</v>
      </c>
      <c r="M962" s="1">
        <v>13.608017</v>
      </c>
      <c r="N962" s="1">
        <v>102.020645</v>
      </c>
      <c r="O962" s="1">
        <v>0.1</v>
      </c>
      <c r="P962" s="1">
        <v>0.33</v>
      </c>
      <c r="Q962" s="1">
        <v>0.03</v>
      </c>
      <c r="R962" s="1">
        <v>1.47</v>
      </c>
      <c r="S962" s="1">
        <v>0.36</v>
      </c>
      <c r="T962" s="1">
        <v>20.299999</v>
      </c>
      <c r="U962" s="1">
        <v>22.91</v>
      </c>
      <c r="V962" s="1">
        <v>2.8</v>
      </c>
      <c r="W962" s="1">
        <v>0</v>
      </c>
      <c r="X962" s="1">
        <v>6799.1121929999999</v>
      </c>
      <c r="Y962" s="1">
        <v>1110591.90173</v>
      </c>
      <c r="Z962" t="str">
        <f>VLOOKUP(G962,'Code Pro'!$A$2:$B$9,2,FALSE)</f>
        <v>จ.สระแก้ว</v>
      </c>
      <c r="AA962" s="8">
        <f t="shared" si="127"/>
        <v>111059.19017300001</v>
      </c>
      <c r="AB962" s="8">
        <f t="shared" si="128"/>
        <v>366495.32757090003</v>
      </c>
      <c r="AC962" s="8">
        <f t="shared" si="129"/>
        <v>33317.7570519</v>
      </c>
      <c r="AD962" s="8">
        <f t="shared" si="130"/>
        <v>1632570.0955431</v>
      </c>
      <c r="AE962" s="8">
        <f t="shared" si="131"/>
        <v>399813.0846228</v>
      </c>
      <c r="AF962" s="8">
        <f t="shared" si="132"/>
        <v>22545014.494527098</v>
      </c>
      <c r="AG962" s="8">
        <f t="shared" si="133"/>
        <v>25443660.4686343</v>
      </c>
      <c r="AH962" s="8">
        <f t="shared" si="134"/>
        <v>3109657.3248439999</v>
      </c>
      <c r="AI962" s="8">
        <f t="shared" si="135"/>
        <v>0</v>
      </c>
    </row>
    <row r="963" spans="1:35" x14ac:dyDescent="0.55000000000000004">
      <c r="A963" s="1">
        <v>961</v>
      </c>
      <c r="B963" s="1" t="s">
        <v>20</v>
      </c>
      <c r="C963" s="1">
        <v>63</v>
      </c>
      <c r="D963" s="1">
        <v>4</v>
      </c>
      <c r="E963" s="1" t="s">
        <v>143</v>
      </c>
      <c r="F963" s="1" t="s">
        <v>144</v>
      </c>
      <c r="G963" s="1">
        <v>27</v>
      </c>
      <c r="H963" s="1">
        <v>2</v>
      </c>
      <c r="I963" s="1">
        <v>27040000</v>
      </c>
      <c r="J963" s="1">
        <v>1016</v>
      </c>
      <c r="K963" s="1">
        <v>0</v>
      </c>
      <c r="L963" s="1">
        <v>13991</v>
      </c>
      <c r="M963" s="1">
        <v>13.527199</v>
      </c>
      <c r="N963" s="1">
        <v>101.93751</v>
      </c>
      <c r="O963" s="1">
        <v>0.01</v>
      </c>
      <c r="P963" s="1">
        <v>0</v>
      </c>
      <c r="Q963" s="1">
        <v>0.02</v>
      </c>
      <c r="R963" s="1">
        <v>0.12</v>
      </c>
      <c r="S963" s="1">
        <v>0.01</v>
      </c>
      <c r="T963" s="1">
        <v>7.56</v>
      </c>
      <c r="U963" s="1">
        <v>13.65</v>
      </c>
      <c r="V963" s="1">
        <v>0</v>
      </c>
      <c r="W963" s="1">
        <v>0.02</v>
      </c>
      <c r="X963" s="1">
        <v>15661.673359</v>
      </c>
      <c r="Y963" s="1">
        <v>9852434.0858699996</v>
      </c>
      <c r="Z963" t="str">
        <f>VLOOKUP(G963,'Code Pro'!$A$2:$B$9,2,FALSE)</f>
        <v>จ.สระแก้ว</v>
      </c>
      <c r="AA963" s="8">
        <f t="shared" ref="AA963:AA1026" si="136">+O963*$Y963</f>
        <v>98524.340858700001</v>
      </c>
      <c r="AB963" s="8">
        <f t="shared" ref="AB963:AB1026" si="137">+P963*$Y963</f>
        <v>0</v>
      </c>
      <c r="AC963" s="8">
        <f t="shared" ref="AC963:AC1026" si="138">+Q963*$Y963</f>
        <v>197048.6817174</v>
      </c>
      <c r="AD963" s="8">
        <f t="shared" ref="AD963:AD1026" si="139">+R963*$Y963</f>
        <v>1182292.0903043998</v>
      </c>
      <c r="AE963" s="8">
        <f t="shared" ref="AE963:AE1026" si="140">+S963*$Y963</f>
        <v>98524.340858700001</v>
      </c>
      <c r="AF963" s="8">
        <f t="shared" ref="AF963:AF1026" si="141">+T963*$Y963</f>
        <v>74484401.6891772</v>
      </c>
      <c r="AG963" s="8">
        <f t="shared" ref="AG963:AG1026" si="142">+U963*$Y963</f>
        <v>134485725.27212551</v>
      </c>
      <c r="AH963" s="8">
        <f t="shared" ref="AH963:AH1026" si="143">+V963*$Y963</f>
        <v>0</v>
      </c>
      <c r="AI963" s="8">
        <f t="shared" ref="AI963:AI1026" si="144">+W963*$Y963</f>
        <v>197048.6817174</v>
      </c>
    </row>
    <row r="964" spans="1:35" x14ac:dyDescent="0.55000000000000004">
      <c r="A964" s="1">
        <v>962</v>
      </c>
      <c r="B964" s="1" t="s">
        <v>20</v>
      </c>
      <c r="C964" s="1">
        <v>63</v>
      </c>
      <c r="D964" s="1">
        <v>4</v>
      </c>
      <c r="E964" s="1" t="s">
        <v>143</v>
      </c>
      <c r="F964" s="1" t="s">
        <v>144</v>
      </c>
      <c r="G964" s="1">
        <v>27</v>
      </c>
      <c r="H964" s="1">
        <v>2</v>
      </c>
      <c r="I964" s="1">
        <v>27040000</v>
      </c>
      <c r="J964" s="1">
        <v>1017</v>
      </c>
      <c r="K964" s="1">
        <v>0</v>
      </c>
      <c r="L964" s="1">
        <v>13993</v>
      </c>
      <c r="M964" s="1">
        <v>13.527199</v>
      </c>
      <c r="N964" s="1">
        <v>102.10378</v>
      </c>
      <c r="O964" s="1">
        <v>3.21</v>
      </c>
      <c r="P964" s="1">
        <v>7.0000000000000007E-2</v>
      </c>
      <c r="Q964" s="1">
        <v>0.73</v>
      </c>
      <c r="R964" s="1">
        <v>0.24</v>
      </c>
      <c r="S964" s="1">
        <v>0</v>
      </c>
      <c r="T964" s="1">
        <v>2.12</v>
      </c>
      <c r="U964" s="1">
        <v>8.11</v>
      </c>
      <c r="V964" s="1">
        <v>0</v>
      </c>
      <c r="W964" s="1">
        <v>0.24</v>
      </c>
      <c r="X964" s="1">
        <v>35920.392900999999</v>
      </c>
      <c r="Y964" s="1">
        <v>80641344.615899995</v>
      </c>
      <c r="Z964" t="str">
        <f>VLOOKUP(G964,'Code Pro'!$A$2:$B$9,2,FALSE)</f>
        <v>จ.สระแก้ว</v>
      </c>
      <c r="AA964" s="8">
        <f t="shared" si="136"/>
        <v>258858716.21703899</v>
      </c>
      <c r="AB964" s="8">
        <f t="shared" si="137"/>
        <v>5644894.1231129998</v>
      </c>
      <c r="AC964" s="8">
        <f t="shared" si="138"/>
        <v>58868181.569606997</v>
      </c>
      <c r="AD964" s="8">
        <f t="shared" si="139"/>
        <v>19353922.707815997</v>
      </c>
      <c r="AE964" s="8">
        <f t="shared" si="140"/>
        <v>0</v>
      </c>
      <c r="AF964" s="8">
        <f t="shared" si="141"/>
        <v>170959650.58570799</v>
      </c>
      <c r="AG964" s="8">
        <f t="shared" si="142"/>
        <v>654001304.8349489</v>
      </c>
      <c r="AH964" s="8">
        <f t="shared" si="143"/>
        <v>0</v>
      </c>
      <c r="AI964" s="8">
        <f t="shared" si="144"/>
        <v>19353922.707815997</v>
      </c>
    </row>
    <row r="965" spans="1:35" x14ac:dyDescent="0.55000000000000004">
      <c r="A965" s="1">
        <v>963</v>
      </c>
      <c r="B965" s="1" t="s">
        <v>20</v>
      </c>
      <c r="C965" s="1">
        <v>63</v>
      </c>
      <c r="D965" s="1">
        <v>4</v>
      </c>
      <c r="E965" s="1" t="s">
        <v>143</v>
      </c>
      <c r="F965" s="1" t="s">
        <v>144</v>
      </c>
      <c r="G965" s="1">
        <v>27</v>
      </c>
      <c r="H965" s="1">
        <v>2</v>
      </c>
      <c r="I965" s="1">
        <v>27040000</v>
      </c>
      <c r="J965" s="1">
        <v>1018</v>
      </c>
      <c r="K965" s="1">
        <v>0</v>
      </c>
      <c r="L965" s="1">
        <v>13994</v>
      </c>
      <c r="M965" s="1">
        <v>13.527199</v>
      </c>
      <c r="N965" s="1">
        <v>102.18692</v>
      </c>
      <c r="O965" s="1">
        <v>0.56999999999999995</v>
      </c>
      <c r="P965" s="1">
        <v>8.82</v>
      </c>
      <c r="Q965" s="1">
        <v>0.11</v>
      </c>
      <c r="R965" s="1">
        <v>0.3</v>
      </c>
      <c r="S965" s="1">
        <v>0.01</v>
      </c>
      <c r="T965" s="1">
        <v>0.89</v>
      </c>
      <c r="U965" s="1">
        <v>5.63</v>
      </c>
      <c r="V965" s="1">
        <v>7.0000000000000007E-2</v>
      </c>
      <c r="W965" s="1">
        <v>0.24</v>
      </c>
      <c r="X965" s="1">
        <v>34349.605025999997</v>
      </c>
      <c r="Y965" s="1">
        <v>50669560.513899997</v>
      </c>
      <c r="Z965" t="str">
        <f>VLOOKUP(G965,'Code Pro'!$A$2:$B$9,2,FALSE)</f>
        <v>จ.สระแก้ว</v>
      </c>
      <c r="AA965" s="8">
        <f t="shared" si="136"/>
        <v>28881649.492922995</v>
      </c>
      <c r="AB965" s="8">
        <f t="shared" si="137"/>
        <v>446905523.73259801</v>
      </c>
      <c r="AC965" s="8">
        <f t="shared" si="138"/>
        <v>5573651.656529</v>
      </c>
      <c r="AD965" s="8">
        <f t="shared" si="139"/>
        <v>15200868.154169999</v>
      </c>
      <c r="AE965" s="8">
        <f t="shared" si="140"/>
        <v>506695.60513899999</v>
      </c>
      <c r="AF965" s="8">
        <f t="shared" si="141"/>
        <v>45095908.857370995</v>
      </c>
      <c r="AG965" s="8">
        <f t="shared" si="142"/>
        <v>285269625.69325697</v>
      </c>
      <c r="AH965" s="8">
        <f t="shared" si="143"/>
        <v>3546869.2359730001</v>
      </c>
      <c r="AI965" s="8">
        <f t="shared" si="144"/>
        <v>12160694.523335999</v>
      </c>
    </row>
    <row r="966" spans="1:35" x14ac:dyDescent="0.55000000000000004">
      <c r="A966" s="1">
        <v>964</v>
      </c>
      <c r="B966" s="1" t="s">
        <v>20</v>
      </c>
      <c r="C966" s="1">
        <v>63</v>
      </c>
      <c r="D966" s="1">
        <v>4</v>
      </c>
      <c r="E966" s="1" t="s">
        <v>143</v>
      </c>
      <c r="F966" s="1" t="s">
        <v>144</v>
      </c>
      <c r="G966" s="1">
        <v>27</v>
      </c>
      <c r="H966" s="1">
        <v>2</v>
      </c>
      <c r="I966" s="1">
        <v>27040000</v>
      </c>
      <c r="J966" s="1">
        <v>1019</v>
      </c>
      <c r="K966" s="1">
        <v>0</v>
      </c>
      <c r="L966" s="1">
        <v>14113</v>
      </c>
      <c r="M966" s="1">
        <v>13.608017</v>
      </c>
      <c r="N966" s="1">
        <v>102.10378</v>
      </c>
      <c r="O966" s="1">
        <v>0.08</v>
      </c>
      <c r="P966" s="1">
        <v>1.46</v>
      </c>
      <c r="Q966" s="1">
        <v>0.3</v>
      </c>
      <c r="R966" s="1">
        <v>0.93</v>
      </c>
      <c r="S966" s="1">
        <v>0.04</v>
      </c>
      <c r="T966" s="1">
        <v>8.18</v>
      </c>
      <c r="U966" s="1">
        <v>12.27</v>
      </c>
      <c r="V966" s="1">
        <v>1.4</v>
      </c>
      <c r="W966" s="1">
        <v>0.03</v>
      </c>
      <c r="X966" s="1">
        <v>42733.551583</v>
      </c>
      <c r="Y966" s="1">
        <v>54610049.757700004</v>
      </c>
      <c r="Z966" t="str">
        <f>VLOOKUP(G966,'Code Pro'!$A$2:$B$9,2,FALSE)</f>
        <v>จ.สระแก้ว</v>
      </c>
      <c r="AA966" s="8">
        <f t="shared" si="136"/>
        <v>4368803.9806160005</v>
      </c>
      <c r="AB966" s="8">
        <f t="shared" si="137"/>
        <v>79730672.646242008</v>
      </c>
      <c r="AC966" s="8">
        <f t="shared" si="138"/>
        <v>16383014.927310001</v>
      </c>
      <c r="AD966" s="8">
        <f t="shared" si="139"/>
        <v>50787346.274661005</v>
      </c>
      <c r="AE966" s="8">
        <f t="shared" si="140"/>
        <v>2184401.9903080002</v>
      </c>
      <c r="AF966" s="8">
        <f t="shared" si="141"/>
        <v>446710207.017986</v>
      </c>
      <c r="AG966" s="8">
        <f t="shared" si="142"/>
        <v>670065310.52697897</v>
      </c>
      <c r="AH966" s="8">
        <f t="shared" si="143"/>
        <v>76454069.660779998</v>
      </c>
      <c r="AI966" s="8">
        <f t="shared" si="144"/>
        <v>1638301.4927310001</v>
      </c>
    </row>
    <row r="967" spans="1:35" x14ac:dyDescent="0.55000000000000004">
      <c r="A967" s="1">
        <v>965</v>
      </c>
      <c r="B967" s="1" t="s">
        <v>20</v>
      </c>
      <c r="C967" s="1">
        <v>63</v>
      </c>
      <c r="D967" s="1">
        <v>4</v>
      </c>
      <c r="E967" s="1" t="s">
        <v>143</v>
      </c>
      <c r="F967" s="1" t="s">
        <v>144</v>
      </c>
      <c r="G967" s="1">
        <v>27</v>
      </c>
      <c r="H967" s="1">
        <v>2</v>
      </c>
      <c r="I967" s="1">
        <v>27040000</v>
      </c>
      <c r="J967" s="1">
        <v>1020</v>
      </c>
      <c r="K967" s="1">
        <v>0</v>
      </c>
      <c r="L967" s="1">
        <v>14234</v>
      </c>
      <c r="M967" s="1">
        <v>13.688805</v>
      </c>
      <c r="N967" s="1">
        <v>102.18692</v>
      </c>
      <c r="O967" s="1">
        <v>0.06</v>
      </c>
      <c r="P967" s="1">
        <v>7.0000000000000007E-2</v>
      </c>
      <c r="Q967" s="1">
        <v>0.45</v>
      </c>
      <c r="R967" s="1">
        <v>1.38</v>
      </c>
      <c r="S967" s="1">
        <v>0.04</v>
      </c>
      <c r="T967" s="1">
        <v>4.1500000000000004</v>
      </c>
      <c r="U967" s="1">
        <v>14.32</v>
      </c>
      <c r="V967" s="1">
        <v>0</v>
      </c>
      <c r="W967" s="1">
        <v>0</v>
      </c>
      <c r="X967" s="1">
        <v>4163.610533</v>
      </c>
      <c r="Y967" s="1">
        <v>782854.18940499995</v>
      </c>
      <c r="Z967" t="str">
        <f>VLOOKUP(G967,'Code Pro'!$A$2:$B$9,2,FALSE)</f>
        <v>จ.สระแก้ว</v>
      </c>
      <c r="AA967" s="8">
        <f t="shared" si="136"/>
        <v>46971.251364299998</v>
      </c>
      <c r="AB967" s="8">
        <f t="shared" si="137"/>
        <v>54799.793258350001</v>
      </c>
      <c r="AC967" s="8">
        <f t="shared" si="138"/>
        <v>352284.38523224997</v>
      </c>
      <c r="AD967" s="8">
        <f t="shared" si="139"/>
        <v>1080338.7813788999</v>
      </c>
      <c r="AE967" s="8">
        <f t="shared" si="140"/>
        <v>31314.167576199998</v>
      </c>
      <c r="AF967" s="8">
        <f t="shared" si="141"/>
        <v>3248844.8860307499</v>
      </c>
      <c r="AG967" s="8">
        <f t="shared" si="142"/>
        <v>11210471.9922796</v>
      </c>
      <c r="AH967" s="8">
        <f t="shared" si="143"/>
        <v>0</v>
      </c>
      <c r="AI967" s="8">
        <f t="shared" si="144"/>
        <v>0</v>
      </c>
    </row>
    <row r="968" spans="1:35" x14ac:dyDescent="0.55000000000000004">
      <c r="A968" s="1">
        <v>966</v>
      </c>
      <c r="B968" s="1" t="s">
        <v>20</v>
      </c>
      <c r="C968" s="1">
        <v>63</v>
      </c>
      <c r="D968" s="1">
        <v>4</v>
      </c>
      <c r="E968" s="1" t="s">
        <v>143</v>
      </c>
      <c r="F968" s="1" t="s">
        <v>144</v>
      </c>
      <c r="G968" s="1">
        <v>27</v>
      </c>
      <c r="H968" s="1">
        <v>2</v>
      </c>
      <c r="I968" s="1">
        <v>27040000</v>
      </c>
      <c r="J968" s="1">
        <v>1021</v>
      </c>
      <c r="K968" s="1">
        <v>0</v>
      </c>
      <c r="L968" s="1">
        <v>14233</v>
      </c>
      <c r="M968" s="1">
        <v>13.688805</v>
      </c>
      <c r="N968" s="1">
        <v>102.10378</v>
      </c>
      <c r="O968" s="1">
        <v>2.66</v>
      </c>
      <c r="P968" s="1">
        <v>0.09</v>
      </c>
      <c r="Q968" s="1">
        <v>7.0000000000000007E-2</v>
      </c>
      <c r="R968" s="1">
        <v>4.74</v>
      </c>
      <c r="S968" s="1">
        <v>0.08</v>
      </c>
      <c r="T968" s="1">
        <v>17.200001</v>
      </c>
      <c r="U968" s="1">
        <v>8.41</v>
      </c>
      <c r="V968" s="1">
        <v>0</v>
      </c>
      <c r="W968" s="1">
        <v>0</v>
      </c>
      <c r="X968" s="1">
        <v>11238.01196</v>
      </c>
      <c r="Y968" s="1">
        <v>5412559.1142300004</v>
      </c>
      <c r="Z968" t="str">
        <f>VLOOKUP(G968,'Code Pro'!$A$2:$B$9,2,FALSE)</f>
        <v>จ.สระแก้ว</v>
      </c>
      <c r="AA968" s="8">
        <f t="shared" si="136"/>
        <v>14397407.243851801</v>
      </c>
      <c r="AB968" s="8">
        <f t="shared" si="137"/>
        <v>487130.32028069999</v>
      </c>
      <c r="AC968" s="8">
        <f t="shared" si="138"/>
        <v>378879.13799610006</v>
      </c>
      <c r="AD968" s="8">
        <f t="shared" si="139"/>
        <v>25655530.201450203</v>
      </c>
      <c r="AE968" s="8">
        <f t="shared" si="140"/>
        <v>433004.72913840006</v>
      </c>
      <c r="AF968" s="8">
        <f t="shared" si="141"/>
        <v>93096022.177315116</v>
      </c>
      <c r="AG968" s="8">
        <f t="shared" si="142"/>
        <v>45519622.150674306</v>
      </c>
      <c r="AH968" s="8">
        <f t="shared" si="143"/>
        <v>0</v>
      </c>
      <c r="AI968" s="8">
        <f t="shared" si="144"/>
        <v>0</v>
      </c>
    </row>
    <row r="969" spans="1:35" x14ac:dyDescent="0.55000000000000004">
      <c r="A969" s="1">
        <v>967</v>
      </c>
      <c r="B969" s="1" t="s">
        <v>20</v>
      </c>
      <c r="C969" s="1">
        <v>63</v>
      </c>
      <c r="D969" s="1">
        <v>4</v>
      </c>
      <c r="E969" s="1" t="s">
        <v>143</v>
      </c>
      <c r="F969" s="1" t="s">
        <v>144</v>
      </c>
      <c r="G969" s="1">
        <v>27</v>
      </c>
      <c r="H969" s="1">
        <v>2</v>
      </c>
      <c r="I969" s="1">
        <v>27040000</v>
      </c>
      <c r="J969" s="1">
        <v>1022</v>
      </c>
      <c r="K969" s="1">
        <v>0</v>
      </c>
      <c r="L969" s="1">
        <v>14114</v>
      </c>
      <c r="M969" s="1">
        <v>13.608017</v>
      </c>
      <c r="N969" s="1">
        <v>102.18692</v>
      </c>
      <c r="O969" s="1">
        <v>0.21</v>
      </c>
      <c r="P969" s="1">
        <v>3.37</v>
      </c>
      <c r="Q969" s="1">
        <v>0.45</v>
      </c>
      <c r="R969" s="1">
        <v>0.5</v>
      </c>
      <c r="S969" s="1">
        <v>0</v>
      </c>
      <c r="T969" s="1">
        <v>5.94</v>
      </c>
      <c r="U969" s="1">
        <v>6.45</v>
      </c>
      <c r="V969" s="1">
        <v>0</v>
      </c>
      <c r="W969" s="1">
        <v>0.11</v>
      </c>
      <c r="X969" s="1">
        <v>20591.703475999999</v>
      </c>
      <c r="Y969" s="1">
        <v>13828734.1019</v>
      </c>
      <c r="Z969" t="str">
        <f>VLOOKUP(G969,'Code Pro'!$A$2:$B$9,2,FALSE)</f>
        <v>จ.สระแก้ว</v>
      </c>
      <c r="AA969" s="8">
        <f t="shared" si="136"/>
        <v>2904034.1613989999</v>
      </c>
      <c r="AB969" s="8">
        <f t="shared" si="137"/>
        <v>46602833.923403002</v>
      </c>
      <c r="AC969" s="8">
        <f t="shared" si="138"/>
        <v>6222930.3458550004</v>
      </c>
      <c r="AD969" s="8">
        <f t="shared" si="139"/>
        <v>6914367.0509500001</v>
      </c>
      <c r="AE969" s="8">
        <f t="shared" si="140"/>
        <v>0</v>
      </c>
      <c r="AF969" s="8">
        <f t="shared" si="141"/>
        <v>82142680.565286011</v>
      </c>
      <c r="AG969" s="8">
        <f t="shared" si="142"/>
        <v>89195334.957255006</v>
      </c>
      <c r="AH969" s="8">
        <f t="shared" si="143"/>
        <v>0</v>
      </c>
      <c r="AI969" s="8">
        <f t="shared" si="144"/>
        <v>1521160.7512090001</v>
      </c>
    </row>
    <row r="970" spans="1:35" x14ac:dyDescent="0.55000000000000004">
      <c r="A970" s="1">
        <v>968</v>
      </c>
      <c r="B970" s="1" t="s">
        <v>20</v>
      </c>
      <c r="C970" s="1">
        <v>64</v>
      </c>
      <c r="D970" s="1">
        <v>5</v>
      </c>
      <c r="E970" s="1" t="s">
        <v>145</v>
      </c>
      <c r="F970" s="1" t="s">
        <v>146</v>
      </c>
      <c r="G970" s="1">
        <v>27</v>
      </c>
      <c r="H970" s="1">
        <v>2</v>
      </c>
      <c r="I970" s="1">
        <v>27050000</v>
      </c>
      <c r="J970" s="1">
        <v>1020</v>
      </c>
      <c r="K970" s="1">
        <v>0</v>
      </c>
      <c r="L970" s="1">
        <v>14234</v>
      </c>
      <c r="M970" s="1">
        <v>13.688805</v>
      </c>
      <c r="N970" s="1">
        <v>102.18692</v>
      </c>
      <c r="O970" s="1">
        <v>0.06</v>
      </c>
      <c r="P970" s="1">
        <v>7.0000000000000007E-2</v>
      </c>
      <c r="Q970" s="1">
        <v>0.45</v>
      </c>
      <c r="R970" s="1">
        <v>1.38</v>
      </c>
      <c r="S970" s="1">
        <v>0.04</v>
      </c>
      <c r="T970" s="1">
        <v>4.1500000000000004</v>
      </c>
      <c r="U970" s="1">
        <v>14.32</v>
      </c>
      <c r="V970" s="1">
        <v>0</v>
      </c>
      <c r="W970" s="1">
        <v>0</v>
      </c>
      <c r="X970" s="1">
        <v>31972.632450000001</v>
      </c>
      <c r="Y970" s="1">
        <v>40223582.973999999</v>
      </c>
      <c r="Z970" t="str">
        <f>VLOOKUP(G970,'Code Pro'!$A$2:$B$9,2,FALSE)</f>
        <v>จ.สระแก้ว</v>
      </c>
      <c r="AA970" s="8">
        <f t="shared" si="136"/>
        <v>2413414.9784399997</v>
      </c>
      <c r="AB970" s="8">
        <f t="shared" si="137"/>
        <v>2815650.8081800002</v>
      </c>
      <c r="AC970" s="8">
        <f t="shared" si="138"/>
        <v>18100612.338300001</v>
      </c>
      <c r="AD970" s="8">
        <f t="shared" si="139"/>
        <v>55508544.504119992</v>
      </c>
      <c r="AE970" s="8">
        <f t="shared" si="140"/>
        <v>1608943.3189600001</v>
      </c>
      <c r="AF970" s="8">
        <f t="shared" si="141"/>
        <v>166927869.34210002</v>
      </c>
      <c r="AG970" s="8">
        <f t="shared" si="142"/>
        <v>576001708.18768001</v>
      </c>
      <c r="AH970" s="8">
        <f t="shared" si="143"/>
        <v>0</v>
      </c>
      <c r="AI970" s="8">
        <f t="shared" si="144"/>
        <v>0</v>
      </c>
    </row>
    <row r="971" spans="1:35" x14ac:dyDescent="0.55000000000000004">
      <c r="A971" s="1">
        <v>969</v>
      </c>
      <c r="B971" s="1" t="s">
        <v>20</v>
      </c>
      <c r="C971" s="1">
        <v>64</v>
      </c>
      <c r="D971" s="1">
        <v>5</v>
      </c>
      <c r="E971" s="1" t="s">
        <v>145</v>
      </c>
      <c r="F971" s="1" t="s">
        <v>146</v>
      </c>
      <c r="G971" s="1">
        <v>27</v>
      </c>
      <c r="H971" s="1">
        <v>2</v>
      </c>
      <c r="I971" s="1">
        <v>27050000</v>
      </c>
      <c r="J971" s="1">
        <v>1022</v>
      </c>
      <c r="K971" s="1">
        <v>0</v>
      </c>
      <c r="L971" s="1">
        <v>14114</v>
      </c>
      <c r="M971" s="1">
        <v>13.608017</v>
      </c>
      <c r="N971" s="1">
        <v>102.18692</v>
      </c>
      <c r="O971" s="1">
        <v>0.21</v>
      </c>
      <c r="P971" s="1">
        <v>3.37</v>
      </c>
      <c r="Q971" s="1">
        <v>0.45</v>
      </c>
      <c r="R971" s="1">
        <v>0.5</v>
      </c>
      <c r="S971" s="1">
        <v>0</v>
      </c>
      <c r="T971" s="1">
        <v>5.94</v>
      </c>
      <c r="U971" s="1">
        <v>6.45</v>
      </c>
      <c r="V971" s="1">
        <v>0</v>
      </c>
      <c r="W971" s="1">
        <v>0.11</v>
      </c>
      <c r="X971" s="1">
        <v>16588.170461000002</v>
      </c>
      <c r="Y971" s="1">
        <v>11668830.3923</v>
      </c>
      <c r="Z971" t="str">
        <f>VLOOKUP(G971,'Code Pro'!$A$2:$B$9,2,FALSE)</f>
        <v>จ.สระแก้ว</v>
      </c>
      <c r="AA971" s="8">
        <f t="shared" si="136"/>
        <v>2450454.3823830001</v>
      </c>
      <c r="AB971" s="8">
        <f t="shared" si="137"/>
        <v>39323958.422051005</v>
      </c>
      <c r="AC971" s="8">
        <f t="shared" si="138"/>
        <v>5250973.6765350001</v>
      </c>
      <c r="AD971" s="8">
        <f t="shared" si="139"/>
        <v>5834415.1961500002</v>
      </c>
      <c r="AE971" s="8">
        <f t="shared" si="140"/>
        <v>0</v>
      </c>
      <c r="AF971" s="8">
        <f t="shared" si="141"/>
        <v>69312852.530262008</v>
      </c>
      <c r="AG971" s="8">
        <f t="shared" si="142"/>
        <v>75263956.030335009</v>
      </c>
      <c r="AH971" s="8">
        <f t="shared" si="143"/>
        <v>0</v>
      </c>
      <c r="AI971" s="8">
        <f t="shared" si="144"/>
        <v>1283571.3431530001</v>
      </c>
    </row>
    <row r="972" spans="1:35" x14ac:dyDescent="0.55000000000000004">
      <c r="A972" s="1">
        <v>970</v>
      </c>
      <c r="B972" s="1" t="s">
        <v>20</v>
      </c>
      <c r="C972" s="1">
        <v>64</v>
      </c>
      <c r="D972" s="1">
        <v>5</v>
      </c>
      <c r="E972" s="1" t="s">
        <v>145</v>
      </c>
      <c r="F972" s="1" t="s">
        <v>146</v>
      </c>
      <c r="G972" s="1">
        <v>27</v>
      </c>
      <c r="H972" s="1">
        <v>2</v>
      </c>
      <c r="I972" s="1">
        <v>27050000</v>
      </c>
      <c r="J972" s="1">
        <v>1031</v>
      </c>
      <c r="K972" s="1">
        <v>0</v>
      </c>
      <c r="L972" s="1">
        <v>14354</v>
      </c>
      <c r="M972" s="1">
        <v>13.769569000000001</v>
      </c>
      <c r="N972" s="1">
        <v>102.18692</v>
      </c>
      <c r="O972" s="1">
        <v>0.02</v>
      </c>
      <c r="P972" s="1">
        <v>0.18</v>
      </c>
      <c r="Q972" s="1">
        <v>0.08</v>
      </c>
      <c r="R972" s="1">
        <v>1.54</v>
      </c>
      <c r="S972" s="1">
        <v>9.5</v>
      </c>
      <c r="T972" s="1">
        <v>1.93</v>
      </c>
      <c r="U972" s="1">
        <v>1.26</v>
      </c>
      <c r="V972" s="1">
        <v>0</v>
      </c>
      <c r="W972" s="1">
        <v>0</v>
      </c>
      <c r="X972" s="1">
        <v>23893.383847000001</v>
      </c>
      <c r="Y972" s="1">
        <v>20632273.219599999</v>
      </c>
      <c r="Z972" t="str">
        <f>VLOOKUP(G972,'Code Pro'!$A$2:$B$9,2,FALSE)</f>
        <v>จ.สระแก้ว</v>
      </c>
      <c r="AA972" s="8">
        <f t="shared" si="136"/>
        <v>412645.46439199999</v>
      </c>
      <c r="AB972" s="8">
        <f t="shared" si="137"/>
        <v>3713809.1795279998</v>
      </c>
      <c r="AC972" s="8">
        <f t="shared" si="138"/>
        <v>1650581.857568</v>
      </c>
      <c r="AD972" s="8">
        <f t="shared" si="139"/>
        <v>31773700.758184001</v>
      </c>
      <c r="AE972" s="8">
        <f t="shared" si="140"/>
        <v>196006595.5862</v>
      </c>
      <c r="AF972" s="8">
        <f t="shared" si="141"/>
        <v>39820287.313827999</v>
      </c>
      <c r="AG972" s="8">
        <f t="shared" si="142"/>
        <v>25996664.256696001</v>
      </c>
      <c r="AH972" s="8">
        <f t="shared" si="143"/>
        <v>0</v>
      </c>
      <c r="AI972" s="8">
        <f t="shared" si="144"/>
        <v>0</v>
      </c>
    </row>
    <row r="973" spans="1:35" x14ac:dyDescent="0.55000000000000004">
      <c r="A973" s="1">
        <v>971</v>
      </c>
      <c r="B973" s="1" t="s">
        <v>20</v>
      </c>
      <c r="C973" s="1">
        <v>64</v>
      </c>
      <c r="D973" s="1">
        <v>5</v>
      </c>
      <c r="E973" s="1" t="s">
        <v>145</v>
      </c>
      <c r="F973" s="1" t="s">
        <v>146</v>
      </c>
      <c r="G973" s="1">
        <v>27</v>
      </c>
      <c r="H973" s="1">
        <v>2</v>
      </c>
      <c r="I973" s="1">
        <v>27050000</v>
      </c>
      <c r="J973" s="1">
        <v>1036</v>
      </c>
      <c r="K973" s="1">
        <v>0</v>
      </c>
      <c r="L973" s="1">
        <v>14236</v>
      </c>
      <c r="M973" s="1">
        <v>13.688805</v>
      </c>
      <c r="N973" s="1">
        <v>102.35319</v>
      </c>
      <c r="O973" s="1">
        <v>4.79</v>
      </c>
      <c r="P973" s="1">
        <v>4.9400000000000004</v>
      </c>
      <c r="Q973" s="1">
        <v>7.45</v>
      </c>
      <c r="R973" s="1">
        <v>0.04</v>
      </c>
      <c r="S973" s="1">
        <v>0.04</v>
      </c>
      <c r="T973" s="1">
        <v>6.89</v>
      </c>
      <c r="U973" s="1">
        <v>3.26</v>
      </c>
      <c r="V973" s="1">
        <v>0</v>
      </c>
      <c r="W973" s="1">
        <v>0</v>
      </c>
      <c r="X973" s="1">
        <v>35993.242487000003</v>
      </c>
      <c r="Y973" s="1">
        <v>68033654.885600001</v>
      </c>
      <c r="Z973" t="str">
        <f>VLOOKUP(G973,'Code Pro'!$A$2:$B$9,2,FALSE)</f>
        <v>จ.สระแก้ว</v>
      </c>
      <c r="AA973" s="8">
        <f t="shared" si="136"/>
        <v>325881206.90202403</v>
      </c>
      <c r="AB973" s="8">
        <f t="shared" si="137"/>
        <v>336086255.13486403</v>
      </c>
      <c r="AC973" s="8">
        <f t="shared" si="138"/>
        <v>506850728.89772004</v>
      </c>
      <c r="AD973" s="8">
        <f t="shared" si="139"/>
        <v>2721346.1954240003</v>
      </c>
      <c r="AE973" s="8">
        <f t="shared" si="140"/>
        <v>2721346.1954240003</v>
      </c>
      <c r="AF973" s="8">
        <f t="shared" si="141"/>
        <v>468751882.16178399</v>
      </c>
      <c r="AG973" s="8">
        <f t="shared" si="142"/>
        <v>221789714.92705598</v>
      </c>
      <c r="AH973" s="8">
        <f t="shared" si="143"/>
        <v>0</v>
      </c>
      <c r="AI973" s="8">
        <f t="shared" si="144"/>
        <v>0</v>
      </c>
    </row>
    <row r="974" spans="1:35" x14ac:dyDescent="0.55000000000000004">
      <c r="A974" s="1">
        <v>972</v>
      </c>
      <c r="B974" s="1" t="s">
        <v>20</v>
      </c>
      <c r="C974" s="1">
        <v>64</v>
      </c>
      <c r="D974" s="1">
        <v>5</v>
      </c>
      <c r="E974" s="1" t="s">
        <v>145</v>
      </c>
      <c r="F974" s="1" t="s">
        <v>146</v>
      </c>
      <c r="G974" s="1">
        <v>27</v>
      </c>
      <c r="H974" s="1">
        <v>2</v>
      </c>
      <c r="I974" s="1">
        <v>27050000</v>
      </c>
      <c r="J974" s="1">
        <v>1037</v>
      </c>
      <c r="K974" s="1">
        <v>0</v>
      </c>
      <c r="L974" s="1">
        <v>14115</v>
      </c>
      <c r="M974" s="1">
        <v>13.608017</v>
      </c>
      <c r="N974" s="1">
        <v>102.27006</v>
      </c>
      <c r="O974" s="1">
        <v>0.05</v>
      </c>
      <c r="P974" s="1">
        <v>11.7</v>
      </c>
      <c r="Q974" s="1">
        <v>0.28000000000000003</v>
      </c>
      <c r="R974" s="1">
        <v>0.37</v>
      </c>
      <c r="S974" s="1">
        <v>0</v>
      </c>
      <c r="T974" s="1">
        <v>2.38</v>
      </c>
      <c r="U974" s="1">
        <v>2.2999999999999998</v>
      </c>
      <c r="V974" s="1">
        <v>0</v>
      </c>
      <c r="W974" s="1">
        <v>0.23</v>
      </c>
      <c r="X974" s="1">
        <v>22943.946824999999</v>
      </c>
      <c r="Y974" s="1">
        <v>18408356.752599999</v>
      </c>
      <c r="Z974" t="str">
        <f>VLOOKUP(G974,'Code Pro'!$A$2:$B$9,2,FALSE)</f>
        <v>จ.สระแก้ว</v>
      </c>
      <c r="AA974" s="8">
        <f t="shared" si="136"/>
        <v>920417.83762999997</v>
      </c>
      <c r="AB974" s="8">
        <f t="shared" si="137"/>
        <v>215377774.00541997</v>
      </c>
      <c r="AC974" s="8">
        <f t="shared" si="138"/>
        <v>5154339.8907280006</v>
      </c>
      <c r="AD974" s="8">
        <f t="shared" si="139"/>
        <v>6811091.9984619999</v>
      </c>
      <c r="AE974" s="8">
        <f t="shared" si="140"/>
        <v>0</v>
      </c>
      <c r="AF974" s="8">
        <f t="shared" si="141"/>
        <v>43811889.071187995</v>
      </c>
      <c r="AG974" s="8">
        <f t="shared" si="142"/>
        <v>42339220.530979998</v>
      </c>
      <c r="AH974" s="8">
        <f t="shared" si="143"/>
        <v>0</v>
      </c>
      <c r="AI974" s="8">
        <f t="shared" si="144"/>
        <v>4233922.0530979997</v>
      </c>
    </row>
    <row r="975" spans="1:35" x14ac:dyDescent="0.55000000000000004">
      <c r="A975" s="1">
        <v>973</v>
      </c>
      <c r="B975" s="1" t="s">
        <v>20</v>
      </c>
      <c r="C975" s="1">
        <v>64</v>
      </c>
      <c r="D975" s="1">
        <v>5</v>
      </c>
      <c r="E975" s="1" t="s">
        <v>145</v>
      </c>
      <c r="F975" s="1" t="s">
        <v>146</v>
      </c>
      <c r="G975" s="1">
        <v>27</v>
      </c>
      <c r="H975" s="1">
        <v>2</v>
      </c>
      <c r="I975" s="1">
        <v>27050000</v>
      </c>
      <c r="J975" s="1">
        <v>1038</v>
      </c>
      <c r="K975" s="1">
        <v>0</v>
      </c>
      <c r="L975" s="1">
        <v>14116</v>
      </c>
      <c r="M975" s="1">
        <v>13.608017</v>
      </c>
      <c r="N975" s="1">
        <v>102.35319</v>
      </c>
      <c r="O975" s="1">
        <v>0.02</v>
      </c>
      <c r="P975" s="1">
        <v>0.47</v>
      </c>
      <c r="Q975" s="1">
        <v>0.1</v>
      </c>
      <c r="R975" s="1">
        <v>0</v>
      </c>
      <c r="S975" s="1">
        <v>0</v>
      </c>
      <c r="T975" s="1">
        <v>2.3199999999999998</v>
      </c>
      <c r="U975" s="1">
        <v>2.39</v>
      </c>
      <c r="V975" s="1">
        <v>0</v>
      </c>
      <c r="W975" s="1">
        <v>0.3</v>
      </c>
      <c r="X975" s="1">
        <v>7256.7847549999997</v>
      </c>
      <c r="Y975" s="1">
        <v>2244034.7374800001</v>
      </c>
      <c r="Z975" t="str">
        <f>VLOOKUP(G975,'Code Pro'!$A$2:$B$9,2,FALSE)</f>
        <v>จ.สระแก้ว</v>
      </c>
      <c r="AA975" s="8">
        <f t="shared" si="136"/>
        <v>44880.694749600007</v>
      </c>
      <c r="AB975" s="8">
        <f t="shared" si="137"/>
        <v>1054696.3266155999</v>
      </c>
      <c r="AC975" s="8">
        <f t="shared" si="138"/>
        <v>224403.47374800002</v>
      </c>
      <c r="AD975" s="8">
        <f t="shared" si="139"/>
        <v>0</v>
      </c>
      <c r="AE975" s="8">
        <f t="shared" si="140"/>
        <v>0</v>
      </c>
      <c r="AF975" s="8">
        <f t="shared" si="141"/>
        <v>5206160.5909535997</v>
      </c>
      <c r="AG975" s="8">
        <f t="shared" si="142"/>
        <v>5363243.022577201</v>
      </c>
      <c r="AH975" s="8">
        <f t="shared" si="143"/>
        <v>0</v>
      </c>
      <c r="AI975" s="8">
        <f t="shared" si="144"/>
        <v>673210.42124399997</v>
      </c>
    </row>
    <row r="976" spans="1:35" x14ac:dyDescent="0.55000000000000004">
      <c r="A976" s="1">
        <v>974</v>
      </c>
      <c r="B976" s="1" t="s">
        <v>20</v>
      </c>
      <c r="C976" s="1">
        <v>64</v>
      </c>
      <c r="D976" s="1">
        <v>5</v>
      </c>
      <c r="E976" s="1" t="s">
        <v>145</v>
      </c>
      <c r="F976" s="1" t="s">
        <v>146</v>
      </c>
      <c r="G976" s="1">
        <v>27</v>
      </c>
      <c r="H976" s="1">
        <v>2</v>
      </c>
      <c r="I976" s="1">
        <v>27050000</v>
      </c>
      <c r="J976" s="1">
        <v>1042</v>
      </c>
      <c r="K976" s="1">
        <v>0</v>
      </c>
      <c r="L976" s="1">
        <v>14237</v>
      </c>
      <c r="M976" s="1">
        <v>13.688805</v>
      </c>
      <c r="N976" s="1">
        <v>102.436325</v>
      </c>
      <c r="O976" s="1">
        <v>0.05</v>
      </c>
      <c r="P976" s="1">
        <v>0.46</v>
      </c>
      <c r="Q976" s="1">
        <v>0.54</v>
      </c>
      <c r="R976" s="1">
        <v>0</v>
      </c>
      <c r="S976" s="1">
        <v>0.12</v>
      </c>
      <c r="T976" s="1">
        <v>7.34</v>
      </c>
      <c r="U976" s="1">
        <v>0.06</v>
      </c>
      <c r="V976" s="1">
        <v>0</v>
      </c>
      <c r="W976" s="1">
        <v>0</v>
      </c>
      <c r="X976" s="1">
        <v>20473.19081</v>
      </c>
      <c r="Y976" s="1">
        <v>13620333.9147</v>
      </c>
      <c r="Z976" t="str">
        <f>VLOOKUP(G976,'Code Pro'!$A$2:$B$9,2,FALSE)</f>
        <v>จ.สระแก้ว</v>
      </c>
      <c r="AA976" s="8">
        <f t="shared" si="136"/>
        <v>681016.69573500007</v>
      </c>
      <c r="AB976" s="8">
        <f t="shared" si="137"/>
        <v>6265353.6007620003</v>
      </c>
      <c r="AC976" s="8">
        <f t="shared" si="138"/>
        <v>7354980.3139380002</v>
      </c>
      <c r="AD976" s="8">
        <f t="shared" si="139"/>
        <v>0</v>
      </c>
      <c r="AE976" s="8">
        <f t="shared" si="140"/>
        <v>1634440.0697639999</v>
      </c>
      <c r="AF976" s="8">
        <f t="shared" si="141"/>
        <v>99973250.933898002</v>
      </c>
      <c r="AG976" s="8">
        <f t="shared" si="142"/>
        <v>817220.03488199995</v>
      </c>
      <c r="AH976" s="8">
        <f t="shared" si="143"/>
        <v>0</v>
      </c>
      <c r="AI976" s="8">
        <f t="shared" si="144"/>
        <v>0</v>
      </c>
    </row>
    <row r="977" spans="1:35" x14ac:dyDescent="0.55000000000000004">
      <c r="A977" s="1">
        <v>975</v>
      </c>
      <c r="B977" s="1" t="s">
        <v>20</v>
      </c>
      <c r="C977" s="1">
        <v>64</v>
      </c>
      <c r="D977" s="1">
        <v>5</v>
      </c>
      <c r="E977" s="1" t="s">
        <v>145</v>
      </c>
      <c r="F977" s="1" t="s">
        <v>146</v>
      </c>
      <c r="G977" s="1">
        <v>27</v>
      </c>
      <c r="H977" s="1">
        <v>2</v>
      </c>
      <c r="I977" s="1">
        <v>27050000</v>
      </c>
      <c r="J977" s="1">
        <v>1043</v>
      </c>
      <c r="K977" s="1">
        <v>0</v>
      </c>
      <c r="L977" s="1">
        <v>14355</v>
      </c>
      <c r="M977" s="1">
        <v>13.769569000000001</v>
      </c>
      <c r="N977" s="1">
        <v>102.27006</v>
      </c>
      <c r="O977" s="1">
        <v>0.01</v>
      </c>
      <c r="P977" s="1">
        <v>0.03</v>
      </c>
      <c r="Q977" s="1">
        <v>0.47</v>
      </c>
      <c r="R977" s="1">
        <v>1.75</v>
      </c>
      <c r="S977" s="1">
        <v>1.08</v>
      </c>
      <c r="T977" s="1">
        <v>5.96</v>
      </c>
      <c r="U977" s="1">
        <v>3.16</v>
      </c>
      <c r="V977" s="1">
        <v>0</v>
      </c>
      <c r="W977" s="1">
        <v>0</v>
      </c>
      <c r="X977" s="1">
        <v>36890.845631999997</v>
      </c>
      <c r="Y977" s="1">
        <v>79569373.981600001</v>
      </c>
      <c r="Z977" t="str">
        <f>VLOOKUP(G977,'Code Pro'!$A$2:$B$9,2,FALSE)</f>
        <v>จ.สระแก้ว</v>
      </c>
      <c r="AA977" s="8">
        <f t="shared" si="136"/>
        <v>795693.73981599999</v>
      </c>
      <c r="AB977" s="8">
        <f t="shared" si="137"/>
        <v>2387081.2194479997</v>
      </c>
      <c r="AC977" s="8">
        <f t="shared" si="138"/>
        <v>37397605.771352001</v>
      </c>
      <c r="AD977" s="8">
        <f t="shared" si="139"/>
        <v>139246404.46779999</v>
      </c>
      <c r="AE977" s="8">
        <f t="shared" si="140"/>
        <v>85934923.900128007</v>
      </c>
      <c r="AF977" s="8">
        <f t="shared" si="141"/>
        <v>474233468.930336</v>
      </c>
      <c r="AG977" s="8">
        <f t="shared" si="142"/>
        <v>251439221.78185603</v>
      </c>
      <c r="AH977" s="8">
        <f t="shared" si="143"/>
        <v>0</v>
      </c>
      <c r="AI977" s="8">
        <f t="shared" si="144"/>
        <v>0</v>
      </c>
    </row>
    <row r="978" spans="1:35" x14ac:dyDescent="0.55000000000000004">
      <c r="A978" s="1">
        <v>976</v>
      </c>
      <c r="B978" s="1" t="s">
        <v>20</v>
      </c>
      <c r="C978" s="1">
        <v>64</v>
      </c>
      <c r="D978" s="1">
        <v>5</v>
      </c>
      <c r="E978" s="1" t="s">
        <v>145</v>
      </c>
      <c r="F978" s="1" t="s">
        <v>146</v>
      </c>
      <c r="G978" s="1">
        <v>27</v>
      </c>
      <c r="H978" s="1">
        <v>2</v>
      </c>
      <c r="I978" s="1">
        <v>27050000</v>
      </c>
      <c r="J978" s="1">
        <v>1044</v>
      </c>
      <c r="K978" s="1">
        <v>0</v>
      </c>
      <c r="L978" s="1">
        <v>14474</v>
      </c>
      <c r="M978" s="1">
        <v>13.850304</v>
      </c>
      <c r="N978" s="1">
        <v>102.18692</v>
      </c>
      <c r="O978" s="1">
        <v>7.0000000000000007E-2</v>
      </c>
      <c r="P978" s="1">
        <v>0.65</v>
      </c>
      <c r="Q978" s="1">
        <v>7.0000000000000007E-2</v>
      </c>
      <c r="R978" s="1">
        <v>0.04</v>
      </c>
      <c r="S978" s="1">
        <v>3.7</v>
      </c>
      <c r="T978" s="1">
        <v>1.7</v>
      </c>
      <c r="U978" s="1">
        <v>15.78</v>
      </c>
      <c r="V978" s="1">
        <v>0.02</v>
      </c>
      <c r="W978" s="1">
        <v>0</v>
      </c>
      <c r="X978" s="1">
        <v>32703.783749999999</v>
      </c>
      <c r="Y978" s="1">
        <v>49929353.6193</v>
      </c>
      <c r="Z978" t="str">
        <f>VLOOKUP(G978,'Code Pro'!$A$2:$B$9,2,FALSE)</f>
        <v>จ.สระแก้ว</v>
      </c>
      <c r="AA978" s="8">
        <f t="shared" si="136"/>
        <v>3495054.7533510001</v>
      </c>
      <c r="AB978" s="8">
        <f t="shared" si="137"/>
        <v>32454079.852545001</v>
      </c>
      <c r="AC978" s="8">
        <f t="shared" si="138"/>
        <v>3495054.7533510001</v>
      </c>
      <c r="AD978" s="8">
        <f t="shared" si="139"/>
        <v>1997174.1447720001</v>
      </c>
      <c r="AE978" s="8">
        <f t="shared" si="140"/>
        <v>184738608.39141002</v>
      </c>
      <c r="AF978" s="8">
        <f t="shared" si="141"/>
        <v>84879901.152809992</v>
      </c>
      <c r="AG978" s="8">
        <f t="shared" si="142"/>
        <v>787885200.11255395</v>
      </c>
      <c r="AH978" s="8">
        <f t="shared" si="143"/>
        <v>998587.07238600007</v>
      </c>
      <c r="AI978" s="8">
        <f t="shared" si="144"/>
        <v>0</v>
      </c>
    </row>
    <row r="979" spans="1:35" x14ac:dyDescent="0.55000000000000004">
      <c r="A979" s="1">
        <v>977</v>
      </c>
      <c r="B979" s="1" t="s">
        <v>20</v>
      </c>
      <c r="C979" s="1">
        <v>64</v>
      </c>
      <c r="D979" s="1">
        <v>5</v>
      </c>
      <c r="E979" s="1" t="s">
        <v>145</v>
      </c>
      <c r="F979" s="1" t="s">
        <v>146</v>
      </c>
      <c r="G979" s="1">
        <v>27</v>
      </c>
      <c r="H979" s="1">
        <v>2</v>
      </c>
      <c r="I979" s="1">
        <v>27050000</v>
      </c>
      <c r="J979" s="1">
        <v>1045</v>
      </c>
      <c r="K979" s="1">
        <v>0</v>
      </c>
      <c r="L979" s="1">
        <v>14595</v>
      </c>
      <c r="M979" s="1">
        <v>13.931006999999999</v>
      </c>
      <c r="N979" s="1">
        <v>102.27006</v>
      </c>
      <c r="O979" s="1">
        <v>4.3</v>
      </c>
      <c r="P979" s="1">
        <v>0</v>
      </c>
      <c r="Q979" s="1">
        <v>0.03</v>
      </c>
      <c r="R979" s="1">
        <v>0</v>
      </c>
      <c r="S979" s="1">
        <v>0.02</v>
      </c>
      <c r="T979" s="1">
        <v>1.52</v>
      </c>
      <c r="U979" s="1">
        <v>0.34</v>
      </c>
      <c r="V979" s="1">
        <v>0.01</v>
      </c>
      <c r="W979" s="1">
        <v>0</v>
      </c>
      <c r="X979" s="1">
        <v>34373.469219999999</v>
      </c>
      <c r="Y979" s="1">
        <v>72884619.304299995</v>
      </c>
      <c r="Z979" t="str">
        <f>VLOOKUP(G979,'Code Pro'!$A$2:$B$9,2,FALSE)</f>
        <v>จ.สระแก้ว</v>
      </c>
      <c r="AA979" s="8">
        <f t="shared" si="136"/>
        <v>313403863.00848997</v>
      </c>
      <c r="AB979" s="8">
        <f t="shared" si="137"/>
        <v>0</v>
      </c>
      <c r="AC979" s="8">
        <f t="shared" si="138"/>
        <v>2186538.5791289997</v>
      </c>
      <c r="AD979" s="8">
        <f t="shared" si="139"/>
        <v>0</v>
      </c>
      <c r="AE979" s="8">
        <f t="shared" si="140"/>
        <v>1457692.3860859999</v>
      </c>
      <c r="AF979" s="8">
        <f t="shared" si="141"/>
        <v>110784621.34253599</v>
      </c>
      <c r="AG979" s="8">
        <f t="shared" si="142"/>
        <v>24780770.563462</v>
      </c>
      <c r="AH979" s="8">
        <f t="shared" si="143"/>
        <v>728846.19304299995</v>
      </c>
      <c r="AI979" s="8">
        <f t="shared" si="144"/>
        <v>0</v>
      </c>
    </row>
    <row r="980" spans="1:35" x14ac:dyDescent="0.55000000000000004">
      <c r="A980" s="1">
        <v>978</v>
      </c>
      <c r="B980" s="1" t="s">
        <v>20</v>
      </c>
      <c r="C980" s="1">
        <v>64</v>
      </c>
      <c r="D980" s="1">
        <v>5</v>
      </c>
      <c r="E980" s="1" t="s">
        <v>145</v>
      </c>
      <c r="F980" s="1" t="s">
        <v>146</v>
      </c>
      <c r="G980" s="1">
        <v>27</v>
      </c>
      <c r="H980" s="1">
        <v>2</v>
      </c>
      <c r="I980" s="1">
        <v>27050000</v>
      </c>
      <c r="J980" s="1">
        <v>1046</v>
      </c>
      <c r="K980" s="1">
        <v>0</v>
      </c>
      <c r="L980" s="1">
        <v>14594</v>
      </c>
      <c r="M980" s="1">
        <v>13.931006999999999</v>
      </c>
      <c r="N980" s="1">
        <v>102.18692</v>
      </c>
      <c r="O980" s="1">
        <v>0.02</v>
      </c>
      <c r="P980" s="1">
        <v>0.02</v>
      </c>
      <c r="Q980" s="1">
        <v>0.62</v>
      </c>
      <c r="R980" s="1">
        <v>0.04</v>
      </c>
      <c r="S980" s="1">
        <v>0</v>
      </c>
      <c r="T980" s="1">
        <v>1.58</v>
      </c>
      <c r="U980" s="1">
        <v>2.5099999999999998</v>
      </c>
      <c r="V980" s="1">
        <v>8.33</v>
      </c>
      <c r="W980" s="1">
        <v>0</v>
      </c>
      <c r="X980" s="1">
        <v>19688.953600000001</v>
      </c>
      <c r="Y980" s="1">
        <v>15149678.840700001</v>
      </c>
      <c r="Z980" t="str">
        <f>VLOOKUP(G980,'Code Pro'!$A$2:$B$9,2,FALSE)</f>
        <v>จ.สระแก้ว</v>
      </c>
      <c r="AA980" s="8">
        <f t="shared" si="136"/>
        <v>302993.57681400003</v>
      </c>
      <c r="AB980" s="8">
        <f t="shared" si="137"/>
        <v>302993.57681400003</v>
      </c>
      <c r="AC980" s="8">
        <f t="shared" si="138"/>
        <v>9392800.8812339995</v>
      </c>
      <c r="AD980" s="8">
        <f t="shared" si="139"/>
        <v>605987.15362800006</v>
      </c>
      <c r="AE980" s="8">
        <f t="shared" si="140"/>
        <v>0</v>
      </c>
      <c r="AF980" s="8">
        <f t="shared" si="141"/>
        <v>23936492.568306003</v>
      </c>
      <c r="AG980" s="8">
        <f t="shared" si="142"/>
        <v>38025693.890156999</v>
      </c>
      <c r="AH980" s="8">
        <f t="shared" si="143"/>
        <v>126196824.74303101</v>
      </c>
      <c r="AI980" s="8">
        <f t="shared" si="144"/>
        <v>0</v>
      </c>
    </row>
    <row r="981" spans="1:35" x14ac:dyDescent="0.55000000000000004">
      <c r="A981" s="1">
        <v>979</v>
      </c>
      <c r="B981" s="1" t="s">
        <v>20</v>
      </c>
      <c r="C981" s="1">
        <v>64</v>
      </c>
      <c r="D981" s="1">
        <v>5</v>
      </c>
      <c r="E981" s="1" t="s">
        <v>145</v>
      </c>
      <c r="F981" s="1" t="s">
        <v>146</v>
      </c>
      <c r="G981" s="1">
        <v>27</v>
      </c>
      <c r="H981" s="1">
        <v>2</v>
      </c>
      <c r="I981" s="1">
        <v>27050000</v>
      </c>
      <c r="J981" s="1">
        <v>1047</v>
      </c>
      <c r="K981" s="1">
        <v>0</v>
      </c>
      <c r="L981" s="1">
        <v>14475</v>
      </c>
      <c r="M981" s="1">
        <v>13.850304</v>
      </c>
      <c r="N981" s="1">
        <v>102.27006</v>
      </c>
      <c r="O981" s="1">
        <v>0.05</v>
      </c>
      <c r="P981" s="1">
        <v>0.01</v>
      </c>
      <c r="Q981" s="1">
        <v>0.01</v>
      </c>
      <c r="R981" s="1">
        <v>0.17</v>
      </c>
      <c r="S981" s="1">
        <v>1.77</v>
      </c>
      <c r="T981" s="1">
        <v>7.23</v>
      </c>
      <c r="U981" s="1">
        <v>2.61</v>
      </c>
      <c r="V981" s="1">
        <v>0</v>
      </c>
      <c r="W981" s="1">
        <v>0</v>
      </c>
      <c r="X981" s="1">
        <v>35876.628662000003</v>
      </c>
      <c r="Y981" s="1">
        <v>80444976.186199993</v>
      </c>
      <c r="Z981" t="str">
        <f>VLOOKUP(G981,'Code Pro'!$A$2:$B$9,2,FALSE)</f>
        <v>จ.สระแก้ว</v>
      </c>
      <c r="AA981" s="8">
        <f t="shared" si="136"/>
        <v>4022248.8093099999</v>
      </c>
      <c r="AB981" s="8">
        <f t="shared" si="137"/>
        <v>804449.76186199998</v>
      </c>
      <c r="AC981" s="8">
        <f t="shared" si="138"/>
        <v>804449.76186199998</v>
      </c>
      <c r="AD981" s="8">
        <f t="shared" si="139"/>
        <v>13675645.951654</v>
      </c>
      <c r="AE981" s="8">
        <f t="shared" si="140"/>
        <v>142387607.849574</v>
      </c>
      <c r="AF981" s="8">
        <f t="shared" si="141"/>
        <v>581617177.826226</v>
      </c>
      <c r="AG981" s="8">
        <f t="shared" si="142"/>
        <v>209961387.84598199</v>
      </c>
      <c r="AH981" s="8">
        <f t="shared" si="143"/>
        <v>0</v>
      </c>
      <c r="AI981" s="8">
        <f t="shared" si="144"/>
        <v>0</v>
      </c>
    </row>
    <row r="982" spans="1:35" x14ac:dyDescent="0.55000000000000004">
      <c r="A982" s="1">
        <v>980</v>
      </c>
      <c r="B982" s="1" t="s">
        <v>20</v>
      </c>
      <c r="C982" s="1">
        <v>64</v>
      </c>
      <c r="D982" s="1">
        <v>5</v>
      </c>
      <c r="E982" s="1" t="s">
        <v>145</v>
      </c>
      <c r="F982" s="1" t="s">
        <v>146</v>
      </c>
      <c r="G982" s="1">
        <v>27</v>
      </c>
      <c r="H982" s="1">
        <v>2</v>
      </c>
      <c r="I982" s="1">
        <v>27050000</v>
      </c>
      <c r="J982" s="1">
        <v>1048</v>
      </c>
      <c r="K982" s="1">
        <v>0</v>
      </c>
      <c r="L982" s="1">
        <v>14235</v>
      </c>
      <c r="M982" s="1">
        <v>13.688805</v>
      </c>
      <c r="N982" s="1">
        <v>102.27006</v>
      </c>
      <c r="O982" s="1">
        <v>0.04</v>
      </c>
      <c r="P982" s="1">
        <v>2.5299999999999998</v>
      </c>
      <c r="Q982" s="1">
        <v>14.67</v>
      </c>
      <c r="R982" s="1">
        <v>0.98</v>
      </c>
      <c r="S982" s="1">
        <v>0.01</v>
      </c>
      <c r="T982" s="1">
        <v>0.92</v>
      </c>
      <c r="U982" s="1">
        <v>8.5500000000000007</v>
      </c>
      <c r="V982" s="1">
        <v>0</v>
      </c>
      <c r="W982" s="1">
        <v>0</v>
      </c>
      <c r="X982" s="1">
        <v>35862.333791999998</v>
      </c>
      <c r="Y982" s="1">
        <v>80552913.062000006</v>
      </c>
      <c r="Z982" t="str">
        <f>VLOOKUP(G982,'Code Pro'!$A$2:$B$9,2,FALSE)</f>
        <v>จ.สระแก้ว</v>
      </c>
      <c r="AA982" s="8">
        <f t="shared" si="136"/>
        <v>3222116.5224800003</v>
      </c>
      <c r="AB982" s="8">
        <f t="shared" si="137"/>
        <v>203798870.04686001</v>
      </c>
      <c r="AC982" s="8">
        <f t="shared" si="138"/>
        <v>1181711234.61954</v>
      </c>
      <c r="AD982" s="8">
        <f t="shared" si="139"/>
        <v>78941854.800760001</v>
      </c>
      <c r="AE982" s="8">
        <f t="shared" si="140"/>
        <v>805529.13062000007</v>
      </c>
      <c r="AF982" s="8">
        <f t="shared" si="141"/>
        <v>74108680.017040014</v>
      </c>
      <c r="AG982" s="8">
        <f t="shared" si="142"/>
        <v>688727406.68010008</v>
      </c>
      <c r="AH982" s="8">
        <f t="shared" si="143"/>
        <v>0</v>
      </c>
      <c r="AI982" s="8">
        <f t="shared" si="144"/>
        <v>0</v>
      </c>
    </row>
    <row r="983" spans="1:35" x14ac:dyDescent="0.55000000000000004">
      <c r="A983" s="1">
        <v>981</v>
      </c>
      <c r="B983" s="1" t="s">
        <v>20</v>
      </c>
      <c r="C983" s="1">
        <v>64</v>
      </c>
      <c r="D983" s="1">
        <v>5</v>
      </c>
      <c r="E983" s="1" t="s">
        <v>145</v>
      </c>
      <c r="F983" s="1" t="s">
        <v>146</v>
      </c>
      <c r="G983" s="1">
        <v>27</v>
      </c>
      <c r="H983" s="1">
        <v>2</v>
      </c>
      <c r="I983" s="1">
        <v>27050000</v>
      </c>
      <c r="J983" s="1">
        <v>1050</v>
      </c>
      <c r="K983" s="1">
        <v>0</v>
      </c>
      <c r="L983" s="1">
        <v>14357</v>
      </c>
      <c r="M983" s="1">
        <v>13.769569000000001</v>
      </c>
      <c r="N983" s="1">
        <v>102.436325</v>
      </c>
      <c r="O983" s="1">
        <v>0.03</v>
      </c>
      <c r="P983" s="1">
        <v>0.61</v>
      </c>
      <c r="Q983" s="1">
        <v>0.08</v>
      </c>
      <c r="R983" s="1">
        <v>0.08</v>
      </c>
      <c r="S983" s="1">
        <v>10.050000000000001</v>
      </c>
      <c r="T983" s="1">
        <v>74.089995999999999</v>
      </c>
      <c r="U983" s="1">
        <v>9.5</v>
      </c>
      <c r="V983" s="1">
        <v>0</v>
      </c>
      <c r="W983" s="1">
        <v>0</v>
      </c>
      <c r="X983" s="1">
        <v>31492.429215</v>
      </c>
      <c r="Y983" s="1">
        <v>24488133.808200002</v>
      </c>
      <c r="Z983" t="str">
        <f>VLOOKUP(G983,'Code Pro'!$A$2:$B$9,2,FALSE)</f>
        <v>จ.สระแก้ว</v>
      </c>
      <c r="AA983" s="8">
        <f t="shared" si="136"/>
        <v>734644.01424599998</v>
      </c>
      <c r="AB983" s="8">
        <f t="shared" si="137"/>
        <v>14937761.623002</v>
      </c>
      <c r="AC983" s="8">
        <f t="shared" si="138"/>
        <v>1959050.7046560002</v>
      </c>
      <c r="AD983" s="8">
        <f t="shared" si="139"/>
        <v>1959050.7046560002</v>
      </c>
      <c r="AE983" s="8">
        <f t="shared" si="140"/>
        <v>246105744.77241004</v>
      </c>
      <c r="AF983" s="8">
        <f t="shared" si="141"/>
        <v>1814325735.8970029</v>
      </c>
      <c r="AG983" s="8">
        <f t="shared" si="142"/>
        <v>232637271.17790002</v>
      </c>
      <c r="AH983" s="8">
        <f t="shared" si="143"/>
        <v>0</v>
      </c>
      <c r="AI983" s="8">
        <f t="shared" si="144"/>
        <v>0</v>
      </c>
    </row>
    <row r="984" spans="1:35" x14ac:dyDescent="0.55000000000000004">
      <c r="A984" s="1">
        <v>982</v>
      </c>
      <c r="B984" s="1" t="s">
        <v>20</v>
      </c>
      <c r="C984" s="1">
        <v>64</v>
      </c>
      <c r="D984" s="1">
        <v>5</v>
      </c>
      <c r="E984" s="1" t="s">
        <v>145</v>
      </c>
      <c r="F984" s="1" t="s">
        <v>146</v>
      </c>
      <c r="G984" s="1">
        <v>27</v>
      </c>
      <c r="H984" s="1">
        <v>2</v>
      </c>
      <c r="I984" s="1">
        <v>27050000</v>
      </c>
      <c r="J984" s="1">
        <v>1051</v>
      </c>
      <c r="K984" s="1">
        <v>0</v>
      </c>
      <c r="L984" s="1">
        <v>14356</v>
      </c>
      <c r="M984" s="1">
        <v>13.769569000000001</v>
      </c>
      <c r="N984" s="1">
        <v>102.35319</v>
      </c>
      <c r="O984" s="1">
        <v>7.0000000000000007E-2</v>
      </c>
      <c r="P984" s="1">
        <v>2.4900000000000002</v>
      </c>
      <c r="Q984" s="1">
        <v>0.38</v>
      </c>
      <c r="R984" s="1">
        <v>0.97</v>
      </c>
      <c r="S984" s="1">
        <v>3.1</v>
      </c>
      <c r="T984" s="1">
        <v>72.620002999999997</v>
      </c>
      <c r="U984" s="1">
        <v>11.65</v>
      </c>
      <c r="V984" s="1">
        <v>0</v>
      </c>
      <c r="W984" s="1">
        <v>0</v>
      </c>
      <c r="X984" s="1">
        <v>35891.819950999998</v>
      </c>
      <c r="Y984" s="1">
        <v>80513130.928599998</v>
      </c>
      <c r="Z984" t="str">
        <f>VLOOKUP(G984,'Code Pro'!$A$2:$B$9,2,FALSE)</f>
        <v>จ.สระแก้ว</v>
      </c>
      <c r="AA984" s="8">
        <f t="shared" si="136"/>
        <v>5635919.1650020005</v>
      </c>
      <c r="AB984" s="8">
        <f t="shared" si="137"/>
        <v>200477696.012214</v>
      </c>
      <c r="AC984" s="8">
        <f t="shared" si="138"/>
        <v>30594989.752868</v>
      </c>
      <c r="AD984" s="8">
        <f t="shared" si="139"/>
        <v>78097737.000742003</v>
      </c>
      <c r="AE984" s="8">
        <f t="shared" si="140"/>
        <v>249590705.87865999</v>
      </c>
      <c r="AF984" s="8">
        <f t="shared" si="141"/>
        <v>5846863809.5743246</v>
      </c>
      <c r="AG984" s="8">
        <f t="shared" si="142"/>
        <v>937977975.31818998</v>
      </c>
      <c r="AH984" s="8">
        <f t="shared" si="143"/>
        <v>0</v>
      </c>
      <c r="AI984" s="8">
        <f t="shared" si="144"/>
        <v>0</v>
      </c>
    </row>
    <row r="985" spans="1:35" x14ac:dyDescent="0.55000000000000004">
      <c r="A985" s="1">
        <v>983</v>
      </c>
      <c r="B985" s="1" t="s">
        <v>20</v>
      </c>
      <c r="C985" s="1">
        <v>64</v>
      </c>
      <c r="D985" s="1">
        <v>5</v>
      </c>
      <c r="E985" s="1" t="s">
        <v>145</v>
      </c>
      <c r="F985" s="1" t="s">
        <v>146</v>
      </c>
      <c r="G985" s="1">
        <v>27</v>
      </c>
      <c r="H985" s="1">
        <v>2</v>
      </c>
      <c r="I985" s="1">
        <v>27050000</v>
      </c>
      <c r="J985" s="1">
        <v>1053</v>
      </c>
      <c r="K985" s="1">
        <v>0</v>
      </c>
      <c r="L985" s="1">
        <v>14476</v>
      </c>
      <c r="M985" s="1">
        <v>13.850304</v>
      </c>
      <c r="N985" s="1">
        <v>102.35319</v>
      </c>
      <c r="O985" s="1">
        <v>0.04</v>
      </c>
      <c r="P985" s="1">
        <v>0.03</v>
      </c>
      <c r="Q985" s="1">
        <v>0.06</v>
      </c>
      <c r="R985" s="1">
        <v>0.38</v>
      </c>
      <c r="S985" s="1">
        <v>0.41</v>
      </c>
      <c r="T985" s="1">
        <v>16.170000000000002</v>
      </c>
      <c r="U985" s="1">
        <v>0.36</v>
      </c>
      <c r="V985" s="1">
        <v>0</v>
      </c>
      <c r="W985" s="1">
        <v>0</v>
      </c>
      <c r="X985" s="1">
        <v>35878.944617000001</v>
      </c>
      <c r="Y985" s="1">
        <v>80455370.122700006</v>
      </c>
      <c r="Z985" t="str">
        <f>VLOOKUP(G985,'Code Pro'!$A$2:$B$9,2,FALSE)</f>
        <v>จ.สระแก้ว</v>
      </c>
      <c r="AA985" s="8">
        <f t="shared" si="136"/>
        <v>3218214.8049080004</v>
      </c>
      <c r="AB985" s="8">
        <f t="shared" si="137"/>
        <v>2413661.1036809999</v>
      </c>
      <c r="AC985" s="8">
        <f t="shared" si="138"/>
        <v>4827322.2073619999</v>
      </c>
      <c r="AD985" s="8">
        <f t="shared" si="139"/>
        <v>30573040.646626003</v>
      </c>
      <c r="AE985" s="8">
        <f t="shared" si="140"/>
        <v>32986701.750307001</v>
      </c>
      <c r="AF985" s="8">
        <f t="shared" si="141"/>
        <v>1300963334.8840592</v>
      </c>
      <c r="AG985" s="8">
        <f t="shared" si="142"/>
        <v>28963933.244171999</v>
      </c>
      <c r="AH985" s="8">
        <f t="shared" si="143"/>
        <v>0</v>
      </c>
      <c r="AI985" s="8">
        <f t="shared" si="144"/>
        <v>0</v>
      </c>
    </row>
    <row r="986" spans="1:35" x14ac:dyDescent="0.55000000000000004">
      <c r="A986" s="1">
        <v>984</v>
      </c>
      <c r="B986" s="1" t="s">
        <v>20</v>
      </c>
      <c r="C986" s="1">
        <v>64</v>
      </c>
      <c r="D986" s="1">
        <v>5</v>
      </c>
      <c r="E986" s="1" t="s">
        <v>145</v>
      </c>
      <c r="F986" s="1" t="s">
        <v>146</v>
      </c>
      <c r="G986" s="1">
        <v>27</v>
      </c>
      <c r="H986" s="1">
        <v>2</v>
      </c>
      <c r="I986" s="1">
        <v>27050000</v>
      </c>
      <c r="J986" s="1">
        <v>1055</v>
      </c>
      <c r="K986" s="1">
        <v>0</v>
      </c>
      <c r="L986" s="1">
        <v>14477</v>
      </c>
      <c r="M986" s="1">
        <v>13.850304</v>
      </c>
      <c r="N986" s="1">
        <v>102.436325</v>
      </c>
      <c r="O986" s="1">
        <v>0.03</v>
      </c>
      <c r="P986" s="1">
        <v>0.53</v>
      </c>
      <c r="Q986" s="1">
        <v>0.08</v>
      </c>
      <c r="R986" s="1">
        <v>0.11</v>
      </c>
      <c r="S986" s="1">
        <v>0.24</v>
      </c>
      <c r="T986" s="1">
        <v>26.030000999999999</v>
      </c>
      <c r="U986" s="1">
        <v>0.18</v>
      </c>
      <c r="V986" s="1">
        <v>0</v>
      </c>
      <c r="W986" s="1">
        <v>0</v>
      </c>
      <c r="X986" s="1">
        <v>34753.124487000001</v>
      </c>
      <c r="Y986" s="1">
        <v>40092165.070299998</v>
      </c>
      <c r="Z986" t="str">
        <f>VLOOKUP(G986,'Code Pro'!$A$2:$B$9,2,FALSE)</f>
        <v>จ.สระแก้ว</v>
      </c>
      <c r="AA986" s="8">
        <f t="shared" si="136"/>
        <v>1202764.9521089999</v>
      </c>
      <c r="AB986" s="8">
        <f t="shared" si="137"/>
        <v>21248847.487259001</v>
      </c>
      <c r="AC986" s="8">
        <f t="shared" si="138"/>
        <v>3207373.2056239997</v>
      </c>
      <c r="AD986" s="8">
        <f t="shared" si="139"/>
        <v>4410138.1577329999</v>
      </c>
      <c r="AE986" s="8">
        <f t="shared" si="140"/>
        <v>9622119.6168719996</v>
      </c>
      <c r="AF986" s="8">
        <f t="shared" si="141"/>
        <v>1043599096.872074</v>
      </c>
      <c r="AG986" s="8">
        <f t="shared" si="142"/>
        <v>7216589.7126539992</v>
      </c>
      <c r="AH986" s="8">
        <f t="shared" si="143"/>
        <v>0</v>
      </c>
      <c r="AI986" s="8">
        <f t="shared" si="144"/>
        <v>0</v>
      </c>
    </row>
    <row r="987" spans="1:35" x14ac:dyDescent="0.55000000000000004">
      <c r="A987" s="1">
        <v>985</v>
      </c>
      <c r="B987" s="1" t="s">
        <v>20</v>
      </c>
      <c r="C987" s="1">
        <v>64</v>
      </c>
      <c r="D987" s="1">
        <v>5</v>
      </c>
      <c r="E987" s="1" t="s">
        <v>145</v>
      </c>
      <c r="F987" s="1" t="s">
        <v>146</v>
      </c>
      <c r="G987" s="1">
        <v>27</v>
      </c>
      <c r="H987" s="1">
        <v>2</v>
      </c>
      <c r="I987" s="1">
        <v>27050000</v>
      </c>
      <c r="J987" s="1">
        <v>1107</v>
      </c>
      <c r="K987" s="1">
        <v>0</v>
      </c>
      <c r="L987" s="1">
        <v>14478</v>
      </c>
      <c r="M987" s="1">
        <v>13.850304</v>
      </c>
      <c r="N987" s="1">
        <v>102.51946</v>
      </c>
      <c r="O987" s="1">
        <v>0.06</v>
      </c>
      <c r="P987" s="1">
        <v>7.0000000000000007E-2</v>
      </c>
      <c r="Q987" s="1">
        <v>0.15</v>
      </c>
      <c r="R987" s="1">
        <v>0</v>
      </c>
      <c r="S987" s="1">
        <v>5.87</v>
      </c>
      <c r="T987" s="1">
        <v>8.4</v>
      </c>
      <c r="U987" s="1">
        <v>0.13</v>
      </c>
      <c r="V987" s="1">
        <v>0</v>
      </c>
      <c r="W987" s="1">
        <v>0</v>
      </c>
      <c r="X987" s="1">
        <v>20623.036960000001</v>
      </c>
      <c r="Y987" s="1">
        <v>22252747.539999999</v>
      </c>
      <c r="Z987" t="str">
        <f>VLOOKUP(G987,'Code Pro'!$A$2:$B$9,2,FALSE)</f>
        <v>จ.สระแก้ว</v>
      </c>
      <c r="AA987" s="8">
        <f t="shared" si="136"/>
        <v>1335164.8524</v>
      </c>
      <c r="AB987" s="8">
        <f t="shared" si="137"/>
        <v>1557692.3278000001</v>
      </c>
      <c r="AC987" s="8">
        <f t="shared" si="138"/>
        <v>3337912.1309999996</v>
      </c>
      <c r="AD987" s="8">
        <f t="shared" si="139"/>
        <v>0</v>
      </c>
      <c r="AE987" s="8">
        <f t="shared" si="140"/>
        <v>130623628.0598</v>
      </c>
      <c r="AF987" s="8">
        <f t="shared" si="141"/>
        <v>186923079.336</v>
      </c>
      <c r="AG987" s="8">
        <f t="shared" si="142"/>
        <v>2892857.1801999998</v>
      </c>
      <c r="AH987" s="8">
        <f t="shared" si="143"/>
        <v>0</v>
      </c>
      <c r="AI987" s="8">
        <f t="shared" si="144"/>
        <v>0</v>
      </c>
    </row>
    <row r="988" spans="1:35" x14ac:dyDescent="0.55000000000000004">
      <c r="A988" s="1">
        <v>986</v>
      </c>
      <c r="B988" s="1" t="s">
        <v>20</v>
      </c>
      <c r="C988" s="1">
        <v>64</v>
      </c>
      <c r="D988" s="1">
        <v>5</v>
      </c>
      <c r="E988" s="1" t="s">
        <v>145</v>
      </c>
      <c r="F988" s="1" t="s">
        <v>146</v>
      </c>
      <c r="G988" s="1">
        <v>27</v>
      </c>
      <c r="H988" s="1">
        <v>2</v>
      </c>
      <c r="I988" s="1">
        <v>27050000</v>
      </c>
      <c r="J988" s="1">
        <v>1145</v>
      </c>
      <c r="K988" s="1">
        <v>0</v>
      </c>
      <c r="L988" s="1">
        <v>14596</v>
      </c>
      <c r="M988" s="1">
        <v>13.931006999999999</v>
      </c>
      <c r="N988" s="1">
        <v>102.35319</v>
      </c>
      <c r="O988" s="1">
        <v>6.01</v>
      </c>
      <c r="P988" s="1">
        <v>0</v>
      </c>
      <c r="Q988" s="1">
        <v>0.09</v>
      </c>
      <c r="R988" s="1">
        <v>0</v>
      </c>
      <c r="S988" s="1">
        <v>8.83</v>
      </c>
      <c r="T988" s="1">
        <v>7.86</v>
      </c>
      <c r="U988" s="1">
        <v>0.92</v>
      </c>
      <c r="V988" s="1">
        <v>0</v>
      </c>
      <c r="W988" s="1">
        <v>0</v>
      </c>
      <c r="X988" s="1">
        <v>35866.036422999998</v>
      </c>
      <c r="Y988" s="1">
        <v>80397483.168899998</v>
      </c>
      <c r="Z988" t="str">
        <f>VLOOKUP(G988,'Code Pro'!$A$2:$B$9,2,FALSE)</f>
        <v>จ.สระแก้ว</v>
      </c>
      <c r="AA988" s="8">
        <f t="shared" si="136"/>
        <v>483188873.84508896</v>
      </c>
      <c r="AB988" s="8">
        <f t="shared" si="137"/>
        <v>0</v>
      </c>
      <c r="AC988" s="8">
        <f t="shared" si="138"/>
        <v>7235773.4852009993</v>
      </c>
      <c r="AD988" s="8">
        <f t="shared" si="139"/>
        <v>0</v>
      </c>
      <c r="AE988" s="8">
        <f t="shared" si="140"/>
        <v>709909776.381387</v>
      </c>
      <c r="AF988" s="8">
        <f t="shared" si="141"/>
        <v>631924217.70755398</v>
      </c>
      <c r="AG988" s="8">
        <f t="shared" si="142"/>
        <v>73965684.515387997</v>
      </c>
      <c r="AH988" s="8">
        <f t="shared" si="143"/>
        <v>0</v>
      </c>
      <c r="AI988" s="8">
        <f t="shared" si="144"/>
        <v>0</v>
      </c>
    </row>
    <row r="989" spans="1:35" x14ac:dyDescent="0.55000000000000004">
      <c r="A989" s="1">
        <v>987</v>
      </c>
      <c r="B989" s="1" t="s">
        <v>20</v>
      </c>
      <c r="C989" s="1">
        <v>64</v>
      </c>
      <c r="D989" s="1">
        <v>5</v>
      </c>
      <c r="E989" s="1" t="s">
        <v>145</v>
      </c>
      <c r="F989" s="1" t="s">
        <v>146</v>
      </c>
      <c r="G989" s="1">
        <v>27</v>
      </c>
      <c r="H989" s="1">
        <v>2</v>
      </c>
      <c r="I989" s="1">
        <v>27050000</v>
      </c>
      <c r="J989" s="1">
        <v>1170</v>
      </c>
      <c r="K989" s="1">
        <v>0</v>
      </c>
      <c r="L989" s="1">
        <v>14716</v>
      </c>
      <c r="M989" s="1">
        <v>14.011680999999999</v>
      </c>
      <c r="N989" s="1">
        <v>102.35319</v>
      </c>
      <c r="O989" s="1">
        <v>0.04</v>
      </c>
      <c r="P989" s="1">
        <v>0.04</v>
      </c>
      <c r="Q989" s="1">
        <v>0.08</v>
      </c>
      <c r="R989" s="1">
        <v>5.93</v>
      </c>
      <c r="S989" s="1">
        <v>0.01</v>
      </c>
      <c r="T989" s="1">
        <v>8.0399999999999991</v>
      </c>
      <c r="U989" s="1">
        <v>1.66</v>
      </c>
      <c r="V989" s="1">
        <v>0.01</v>
      </c>
      <c r="W989" s="1">
        <v>0</v>
      </c>
      <c r="X989" s="1">
        <v>35854.179445000002</v>
      </c>
      <c r="Y989" s="1">
        <v>80343390.599700004</v>
      </c>
      <c r="Z989" t="str">
        <f>VLOOKUP(G989,'Code Pro'!$A$2:$B$9,2,FALSE)</f>
        <v>จ.สระแก้ว</v>
      </c>
      <c r="AA989" s="8">
        <f t="shared" si="136"/>
        <v>3213735.6239880002</v>
      </c>
      <c r="AB989" s="8">
        <f t="shared" si="137"/>
        <v>3213735.6239880002</v>
      </c>
      <c r="AC989" s="8">
        <f t="shared" si="138"/>
        <v>6427471.2479760004</v>
      </c>
      <c r="AD989" s="8">
        <f t="shared" si="139"/>
        <v>476436306.256221</v>
      </c>
      <c r="AE989" s="8">
        <f t="shared" si="140"/>
        <v>803433.90599700005</v>
      </c>
      <c r="AF989" s="8">
        <f t="shared" si="141"/>
        <v>645960860.42158794</v>
      </c>
      <c r="AG989" s="8">
        <f t="shared" si="142"/>
        <v>133370028.395502</v>
      </c>
      <c r="AH989" s="8">
        <f t="shared" si="143"/>
        <v>803433.90599700005</v>
      </c>
      <c r="AI989" s="8">
        <f t="shared" si="144"/>
        <v>0</v>
      </c>
    </row>
    <row r="990" spans="1:35" x14ac:dyDescent="0.55000000000000004">
      <c r="A990" s="1">
        <v>988</v>
      </c>
      <c r="B990" s="1" t="s">
        <v>20</v>
      </c>
      <c r="C990" s="1">
        <v>64</v>
      </c>
      <c r="D990" s="1">
        <v>5</v>
      </c>
      <c r="E990" s="1" t="s">
        <v>145</v>
      </c>
      <c r="F990" s="1" t="s">
        <v>146</v>
      </c>
      <c r="G990" s="1">
        <v>27</v>
      </c>
      <c r="H990" s="1">
        <v>2</v>
      </c>
      <c r="I990" s="1">
        <v>27050000</v>
      </c>
      <c r="J990" s="1">
        <v>1171</v>
      </c>
      <c r="K990" s="1">
        <v>0</v>
      </c>
      <c r="L990" s="1">
        <v>14715</v>
      </c>
      <c r="M990" s="1">
        <v>14.011680999999999</v>
      </c>
      <c r="N990" s="1">
        <v>102.27006</v>
      </c>
      <c r="O990" s="1">
        <v>0.17</v>
      </c>
      <c r="P990" s="1">
        <v>0.49</v>
      </c>
      <c r="Q990" s="1">
        <v>0.12</v>
      </c>
      <c r="R990" s="1">
        <v>1.26</v>
      </c>
      <c r="S990" s="1">
        <v>0.01</v>
      </c>
      <c r="T990" s="1">
        <v>7.01</v>
      </c>
      <c r="U990" s="1">
        <v>0.64</v>
      </c>
      <c r="V990" s="1">
        <v>0.01</v>
      </c>
      <c r="W990" s="1">
        <v>0</v>
      </c>
      <c r="X990" s="1">
        <v>25923.314885</v>
      </c>
      <c r="Y990" s="1">
        <v>21184875.7766</v>
      </c>
      <c r="Z990" t="str">
        <f>VLOOKUP(G990,'Code Pro'!$A$2:$B$9,2,FALSE)</f>
        <v>จ.สระแก้ว</v>
      </c>
      <c r="AA990" s="8">
        <f t="shared" si="136"/>
        <v>3601428.8820220004</v>
      </c>
      <c r="AB990" s="8">
        <f t="shared" si="137"/>
        <v>10380589.130533999</v>
      </c>
      <c r="AC990" s="8">
        <f t="shared" si="138"/>
        <v>2542185.0931919999</v>
      </c>
      <c r="AD990" s="8">
        <f t="shared" si="139"/>
        <v>26692943.478516001</v>
      </c>
      <c r="AE990" s="8">
        <f t="shared" si="140"/>
        <v>211848.757766</v>
      </c>
      <c r="AF990" s="8">
        <f t="shared" si="141"/>
        <v>148505979.193966</v>
      </c>
      <c r="AG990" s="8">
        <f t="shared" si="142"/>
        <v>13558320.497024</v>
      </c>
      <c r="AH990" s="8">
        <f t="shared" si="143"/>
        <v>211848.757766</v>
      </c>
      <c r="AI990" s="8">
        <f t="shared" si="144"/>
        <v>0</v>
      </c>
    </row>
    <row r="991" spans="1:35" x14ac:dyDescent="0.55000000000000004">
      <c r="A991" s="1">
        <v>989</v>
      </c>
      <c r="B991" s="1" t="s">
        <v>20</v>
      </c>
      <c r="C991" s="1">
        <v>64</v>
      </c>
      <c r="D991" s="1">
        <v>5</v>
      </c>
      <c r="E991" s="1" t="s">
        <v>145</v>
      </c>
      <c r="F991" s="1" t="s">
        <v>146</v>
      </c>
      <c r="G991" s="1">
        <v>27</v>
      </c>
      <c r="H991" s="1">
        <v>2</v>
      </c>
      <c r="I991" s="1">
        <v>27050000</v>
      </c>
      <c r="J991" s="1">
        <v>1172</v>
      </c>
      <c r="K991" s="1">
        <v>0</v>
      </c>
      <c r="L991" s="1">
        <v>14836</v>
      </c>
      <c r="M991" s="1">
        <v>14.092331</v>
      </c>
      <c r="N991" s="1">
        <v>102.35319</v>
      </c>
      <c r="O991" s="1">
        <v>1.95</v>
      </c>
      <c r="P991" s="1">
        <v>0.35</v>
      </c>
      <c r="Q991" s="1">
        <v>0.24</v>
      </c>
      <c r="R991" s="1">
        <v>1.35</v>
      </c>
      <c r="S991" s="1">
        <v>0.74</v>
      </c>
      <c r="T991" s="1">
        <v>26.280000999999999</v>
      </c>
      <c r="U991" s="1">
        <v>1.01</v>
      </c>
      <c r="V991" s="1">
        <v>0.44</v>
      </c>
      <c r="W991" s="1">
        <v>0</v>
      </c>
      <c r="X991" s="1">
        <v>35986.234830000001</v>
      </c>
      <c r="Y991" s="1">
        <v>71171826.094899997</v>
      </c>
      <c r="Z991" t="str">
        <f>VLOOKUP(G991,'Code Pro'!$A$2:$B$9,2,FALSE)</f>
        <v>จ.สระแก้ว</v>
      </c>
      <c r="AA991" s="8">
        <f t="shared" si="136"/>
        <v>138785060.88505501</v>
      </c>
      <c r="AB991" s="8">
        <f t="shared" si="137"/>
        <v>24910139.133214999</v>
      </c>
      <c r="AC991" s="8">
        <f t="shared" si="138"/>
        <v>17081238.262775999</v>
      </c>
      <c r="AD991" s="8">
        <f t="shared" si="139"/>
        <v>96081965.228115007</v>
      </c>
      <c r="AE991" s="8">
        <f t="shared" si="140"/>
        <v>52667151.310226001</v>
      </c>
      <c r="AF991" s="8">
        <f t="shared" si="141"/>
        <v>1870395660.9457979</v>
      </c>
      <c r="AG991" s="8">
        <f t="shared" si="142"/>
        <v>71883544.355848998</v>
      </c>
      <c r="AH991" s="8">
        <f t="shared" si="143"/>
        <v>31315603.481755998</v>
      </c>
      <c r="AI991" s="8">
        <f t="shared" si="144"/>
        <v>0</v>
      </c>
    </row>
    <row r="992" spans="1:35" x14ac:dyDescent="0.55000000000000004">
      <c r="A992" s="1">
        <v>990</v>
      </c>
      <c r="B992" s="1" t="s">
        <v>20</v>
      </c>
      <c r="C992" s="1">
        <v>64</v>
      </c>
      <c r="D992" s="1">
        <v>5</v>
      </c>
      <c r="E992" s="1" t="s">
        <v>145</v>
      </c>
      <c r="F992" s="1" t="s">
        <v>146</v>
      </c>
      <c r="G992" s="1">
        <v>27</v>
      </c>
      <c r="H992" s="1">
        <v>2</v>
      </c>
      <c r="I992" s="1">
        <v>27050000</v>
      </c>
      <c r="J992" s="1">
        <v>1175</v>
      </c>
      <c r="K992" s="1">
        <v>0</v>
      </c>
      <c r="L992" s="1">
        <v>14835</v>
      </c>
      <c r="M992" s="1">
        <v>14.092331</v>
      </c>
      <c r="N992" s="1">
        <v>102.27006</v>
      </c>
      <c r="O992" s="1">
        <v>5.46</v>
      </c>
      <c r="P992" s="1">
        <v>2.31</v>
      </c>
      <c r="Q992" s="1">
        <v>1.05</v>
      </c>
      <c r="R992" s="1">
        <v>0.3</v>
      </c>
      <c r="S992" s="1">
        <v>0.82</v>
      </c>
      <c r="T992" s="1">
        <v>32.889999000000003</v>
      </c>
      <c r="U992" s="1">
        <v>0.23</v>
      </c>
      <c r="V992" s="1">
        <v>0.24</v>
      </c>
      <c r="W992" s="1">
        <v>0</v>
      </c>
      <c r="X992" s="1">
        <v>8136.7151709999998</v>
      </c>
      <c r="Y992" s="1">
        <v>1064993.1791699999</v>
      </c>
      <c r="Z992" t="str">
        <f>VLOOKUP(G992,'Code Pro'!$A$2:$B$9,2,FALSE)</f>
        <v>จ.สระแก้ว</v>
      </c>
      <c r="AA992" s="8">
        <f t="shared" si="136"/>
        <v>5814862.7582681999</v>
      </c>
      <c r="AB992" s="8">
        <f t="shared" si="137"/>
        <v>2460134.2438826999</v>
      </c>
      <c r="AC992" s="8">
        <f t="shared" si="138"/>
        <v>1118242.8381284999</v>
      </c>
      <c r="AD992" s="8">
        <f t="shared" si="139"/>
        <v>319497.95375099994</v>
      </c>
      <c r="AE992" s="8">
        <f t="shared" si="140"/>
        <v>873294.40691939986</v>
      </c>
      <c r="AF992" s="8">
        <f t="shared" si="141"/>
        <v>35027624.597908124</v>
      </c>
      <c r="AG992" s="8">
        <f t="shared" si="142"/>
        <v>244948.43120909997</v>
      </c>
      <c r="AH992" s="8">
        <f t="shared" si="143"/>
        <v>255598.36300079996</v>
      </c>
      <c r="AI992" s="8">
        <f t="shared" si="144"/>
        <v>0</v>
      </c>
    </row>
    <row r="993" spans="1:35" x14ac:dyDescent="0.55000000000000004">
      <c r="A993" s="1">
        <v>991</v>
      </c>
      <c r="B993" s="1" t="s">
        <v>20</v>
      </c>
      <c r="C993" s="1">
        <v>64</v>
      </c>
      <c r="D993" s="1">
        <v>5</v>
      </c>
      <c r="E993" s="1" t="s">
        <v>145</v>
      </c>
      <c r="F993" s="1" t="s">
        <v>146</v>
      </c>
      <c r="G993" s="1">
        <v>27</v>
      </c>
      <c r="H993" s="1">
        <v>2</v>
      </c>
      <c r="I993" s="1">
        <v>27050000</v>
      </c>
      <c r="J993" s="1">
        <v>1178</v>
      </c>
      <c r="K993" s="1">
        <v>0</v>
      </c>
      <c r="L993" s="1">
        <v>14956</v>
      </c>
      <c r="M993" s="1">
        <v>14.172943</v>
      </c>
      <c r="N993" s="1">
        <v>102.35319</v>
      </c>
      <c r="O993" s="1">
        <v>11.43</v>
      </c>
      <c r="P993" s="1">
        <v>7.05</v>
      </c>
      <c r="Q993" s="1">
        <v>0.02</v>
      </c>
      <c r="R993" s="1">
        <v>1.2</v>
      </c>
      <c r="S993" s="1">
        <v>9.74</v>
      </c>
      <c r="T993" s="1">
        <v>8.02</v>
      </c>
      <c r="U993" s="1">
        <v>1.78</v>
      </c>
      <c r="V993" s="1">
        <v>0.01</v>
      </c>
      <c r="W993" s="1">
        <v>0.02</v>
      </c>
      <c r="X993" s="1">
        <v>14129.183621</v>
      </c>
      <c r="Y993" s="1">
        <v>8753843.0455399994</v>
      </c>
      <c r="Z993" t="str">
        <f>VLOOKUP(G993,'Code Pro'!$A$2:$B$9,2,FALSE)</f>
        <v>จ.สระแก้ว</v>
      </c>
      <c r="AA993" s="8">
        <f t="shared" si="136"/>
        <v>100056426.01052219</v>
      </c>
      <c r="AB993" s="8">
        <f t="shared" si="137"/>
        <v>61714593.471056998</v>
      </c>
      <c r="AC993" s="8">
        <f t="shared" si="138"/>
        <v>175076.86091079999</v>
      </c>
      <c r="AD993" s="8">
        <f t="shared" si="139"/>
        <v>10504611.654647999</v>
      </c>
      <c r="AE993" s="8">
        <f t="shared" si="140"/>
        <v>85262431.263559595</v>
      </c>
      <c r="AF993" s="8">
        <f t="shared" si="141"/>
        <v>70205821.225230798</v>
      </c>
      <c r="AG993" s="8">
        <f t="shared" si="142"/>
        <v>15581840.621061198</v>
      </c>
      <c r="AH993" s="8">
        <f t="shared" si="143"/>
        <v>87538.430455399997</v>
      </c>
      <c r="AI993" s="8">
        <f t="shared" si="144"/>
        <v>175076.86091079999</v>
      </c>
    </row>
    <row r="994" spans="1:35" x14ac:dyDescent="0.55000000000000004">
      <c r="A994" s="1">
        <v>992</v>
      </c>
      <c r="B994" s="1" t="s">
        <v>20</v>
      </c>
      <c r="C994" s="1">
        <v>64</v>
      </c>
      <c r="D994" s="1">
        <v>5</v>
      </c>
      <c r="E994" s="1" t="s">
        <v>145</v>
      </c>
      <c r="F994" s="1" t="s">
        <v>146</v>
      </c>
      <c r="G994" s="1">
        <v>27</v>
      </c>
      <c r="H994" s="1">
        <v>2</v>
      </c>
      <c r="I994" s="1">
        <v>27050000</v>
      </c>
      <c r="J994" s="1">
        <v>1179</v>
      </c>
      <c r="K994" s="1">
        <v>0</v>
      </c>
      <c r="L994" s="1">
        <v>14597</v>
      </c>
      <c r="M994" s="1">
        <v>13.931006999999999</v>
      </c>
      <c r="N994" s="1">
        <v>102.436325</v>
      </c>
      <c r="O994" s="1">
        <v>0.27</v>
      </c>
      <c r="P994" s="1">
        <v>0.08</v>
      </c>
      <c r="Q994" s="1">
        <v>0.05</v>
      </c>
      <c r="R994" s="1">
        <v>0.03</v>
      </c>
      <c r="S994" s="1">
        <v>0.41</v>
      </c>
      <c r="T994" s="1">
        <v>41.639999000000003</v>
      </c>
      <c r="U994" s="1">
        <v>0.39</v>
      </c>
      <c r="V994" s="1">
        <v>0</v>
      </c>
      <c r="W994" s="1">
        <v>0</v>
      </c>
      <c r="X994" s="1">
        <v>35869.503539999998</v>
      </c>
      <c r="Y994" s="1">
        <v>80413020.075000003</v>
      </c>
      <c r="Z994" t="str">
        <f>VLOOKUP(G994,'Code Pro'!$A$2:$B$9,2,FALSE)</f>
        <v>จ.สระแก้ว</v>
      </c>
      <c r="AA994" s="8">
        <f t="shared" si="136"/>
        <v>21711515.420250002</v>
      </c>
      <c r="AB994" s="8">
        <f t="shared" si="137"/>
        <v>6433041.6060000006</v>
      </c>
      <c r="AC994" s="8">
        <f t="shared" si="138"/>
        <v>4020651.0037500001</v>
      </c>
      <c r="AD994" s="8">
        <f t="shared" si="139"/>
        <v>2412390.60225</v>
      </c>
      <c r="AE994" s="8">
        <f t="shared" si="140"/>
        <v>32969338.230749998</v>
      </c>
      <c r="AF994" s="8">
        <f t="shared" si="141"/>
        <v>3348398075.5099802</v>
      </c>
      <c r="AG994" s="8">
        <f t="shared" si="142"/>
        <v>31361077.82925</v>
      </c>
      <c r="AH994" s="8">
        <f t="shared" si="143"/>
        <v>0</v>
      </c>
      <c r="AI994" s="8">
        <f t="shared" si="144"/>
        <v>0</v>
      </c>
    </row>
    <row r="995" spans="1:35" x14ac:dyDescent="0.55000000000000004">
      <c r="A995" s="1">
        <v>993</v>
      </c>
      <c r="B995" s="1" t="s">
        <v>20</v>
      </c>
      <c r="C995" s="1">
        <v>64</v>
      </c>
      <c r="D995" s="1">
        <v>5</v>
      </c>
      <c r="E995" s="1" t="s">
        <v>145</v>
      </c>
      <c r="F995" s="1" t="s">
        <v>146</v>
      </c>
      <c r="G995" s="1">
        <v>27</v>
      </c>
      <c r="H995" s="1">
        <v>2</v>
      </c>
      <c r="I995" s="1">
        <v>27050000</v>
      </c>
      <c r="J995" s="1">
        <v>1180</v>
      </c>
      <c r="K995" s="1">
        <v>0</v>
      </c>
      <c r="L995" s="1">
        <v>14598</v>
      </c>
      <c r="M995" s="1">
        <v>13.931006999999999</v>
      </c>
      <c r="N995" s="1">
        <v>102.51946</v>
      </c>
      <c r="O995" s="1">
        <v>0</v>
      </c>
      <c r="P995" s="1">
        <v>0</v>
      </c>
      <c r="Q995" s="1">
        <v>0.01</v>
      </c>
      <c r="R995" s="1">
        <v>0.11</v>
      </c>
      <c r="S995" s="1">
        <v>0.04</v>
      </c>
      <c r="T995" s="1">
        <v>17.190000999999999</v>
      </c>
      <c r="U995" s="1">
        <v>0.97</v>
      </c>
      <c r="V995" s="1">
        <v>0</v>
      </c>
      <c r="W995" s="1">
        <v>0</v>
      </c>
      <c r="X995" s="1">
        <v>37929.868430000002</v>
      </c>
      <c r="Y995" s="1">
        <v>66544889.795699999</v>
      </c>
      <c r="Z995" t="str">
        <f>VLOOKUP(G995,'Code Pro'!$A$2:$B$9,2,FALSE)</f>
        <v>จ.สระแก้ว</v>
      </c>
      <c r="AA995" s="8">
        <f t="shared" si="136"/>
        <v>0</v>
      </c>
      <c r="AB995" s="8">
        <f t="shared" si="137"/>
        <v>0</v>
      </c>
      <c r="AC995" s="8">
        <f t="shared" si="138"/>
        <v>665448.89795699995</v>
      </c>
      <c r="AD995" s="8">
        <f t="shared" si="139"/>
        <v>7319937.8775269995</v>
      </c>
      <c r="AE995" s="8">
        <f t="shared" si="140"/>
        <v>2661795.5918279998</v>
      </c>
      <c r="AF995" s="8">
        <f t="shared" si="141"/>
        <v>1143906722.1329727</v>
      </c>
      <c r="AG995" s="8">
        <f t="shared" si="142"/>
        <v>64548543.101829</v>
      </c>
      <c r="AH995" s="8">
        <f t="shared" si="143"/>
        <v>0</v>
      </c>
      <c r="AI995" s="8">
        <f t="shared" si="144"/>
        <v>0</v>
      </c>
    </row>
    <row r="996" spans="1:35" x14ac:dyDescent="0.55000000000000004">
      <c r="A996" s="1">
        <v>994</v>
      </c>
      <c r="B996" s="1" t="s">
        <v>20</v>
      </c>
      <c r="C996" s="1">
        <v>64</v>
      </c>
      <c r="D996" s="1">
        <v>5</v>
      </c>
      <c r="E996" s="1" t="s">
        <v>145</v>
      </c>
      <c r="F996" s="1" t="s">
        <v>146</v>
      </c>
      <c r="G996" s="1">
        <v>27</v>
      </c>
      <c r="H996" s="1">
        <v>2</v>
      </c>
      <c r="I996" s="1">
        <v>27050000</v>
      </c>
      <c r="J996" s="1">
        <v>1181</v>
      </c>
      <c r="K996" s="1">
        <v>0</v>
      </c>
      <c r="L996" s="1">
        <v>14838</v>
      </c>
      <c r="M996" s="1">
        <v>14.092331</v>
      </c>
      <c r="N996" s="1">
        <v>102.51946</v>
      </c>
      <c r="O996" s="1">
        <v>0</v>
      </c>
      <c r="P996" s="1">
        <v>0.24</v>
      </c>
      <c r="Q996" s="1">
        <v>0</v>
      </c>
      <c r="R996" s="1">
        <v>0.11</v>
      </c>
      <c r="S996" s="1">
        <v>9.17</v>
      </c>
      <c r="T996" s="1">
        <v>17.870000999999998</v>
      </c>
      <c r="U996" s="1">
        <v>0.38</v>
      </c>
      <c r="V996" s="1">
        <v>0.01</v>
      </c>
      <c r="W996" s="1">
        <v>0.01</v>
      </c>
      <c r="X996" s="1">
        <v>31021.496222000002</v>
      </c>
      <c r="Y996" s="1">
        <v>39588940.1109</v>
      </c>
      <c r="Z996" t="str">
        <f>VLOOKUP(G996,'Code Pro'!$A$2:$B$9,2,FALSE)</f>
        <v>จ.สระแก้ว</v>
      </c>
      <c r="AA996" s="8">
        <f t="shared" si="136"/>
        <v>0</v>
      </c>
      <c r="AB996" s="8">
        <f t="shared" si="137"/>
        <v>9501345.6266159993</v>
      </c>
      <c r="AC996" s="8">
        <f t="shared" si="138"/>
        <v>0</v>
      </c>
      <c r="AD996" s="8">
        <f t="shared" si="139"/>
        <v>4354783.4121989999</v>
      </c>
      <c r="AE996" s="8">
        <f t="shared" si="140"/>
        <v>363030580.816953</v>
      </c>
      <c r="AF996" s="8">
        <f t="shared" si="141"/>
        <v>707454399.37072301</v>
      </c>
      <c r="AG996" s="8">
        <f t="shared" si="142"/>
        <v>15043797.242141999</v>
      </c>
      <c r="AH996" s="8">
        <f t="shared" si="143"/>
        <v>395889.40110900003</v>
      </c>
      <c r="AI996" s="8">
        <f t="shared" si="144"/>
        <v>395889.40110900003</v>
      </c>
    </row>
    <row r="997" spans="1:35" x14ac:dyDescent="0.55000000000000004">
      <c r="A997" s="1">
        <v>995</v>
      </c>
      <c r="B997" s="1" t="s">
        <v>20</v>
      </c>
      <c r="C997" s="1">
        <v>64</v>
      </c>
      <c r="D997" s="1">
        <v>5</v>
      </c>
      <c r="E997" s="1" t="s">
        <v>145</v>
      </c>
      <c r="F997" s="1" t="s">
        <v>146</v>
      </c>
      <c r="G997" s="1">
        <v>27</v>
      </c>
      <c r="H997" s="1">
        <v>2</v>
      </c>
      <c r="I997" s="1">
        <v>27050000</v>
      </c>
      <c r="J997" s="1">
        <v>1182</v>
      </c>
      <c r="K997" s="1">
        <v>0</v>
      </c>
      <c r="L997" s="1">
        <v>14717</v>
      </c>
      <c r="M997" s="1">
        <v>14.011680999999999</v>
      </c>
      <c r="N997" s="1">
        <v>102.436325</v>
      </c>
      <c r="O997" s="1">
        <v>0</v>
      </c>
      <c r="P997" s="1">
        <v>4.1100000000000003</v>
      </c>
      <c r="Q997" s="1">
        <v>0</v>
      </c>
      <c r="R997" s="1">
        <v>0.24</v>
      </c>
      <c r="S997" s="1">
        <v>1.68</v>
      </c>
      <c r="T997" s="1">
        <v>52.419998</v>
      </c>
      <c r="U997" s="1">
        <v>6.94</v>
      </c>
      <c r="V997" s="1">
        <v>0.01</v>
      </c>
      <c r="W997" s="1">
        <v>0</v>
      </c>
      <c r="X997" s="1">
        <v>35857.445338999998</v>
      </c>
      <c r="Y997" s="1">
        <v>80358971.164199993</v>
      </c>
      <c r="Z997" t="str">
        <f>VLOOKUP(G997,'Code Pro'!$A$2:$B$9,2,FALSE)</f>
        <v>จ.สระแก้ว</v>
      </c>
      <c r="AA997" s="8">
        <f t="shared" si="136"/>
        <v>0</v>
      </c>
      <c r="AB997" s="8">
        <f t="shared" si="137"/>
        <v>330275371.48486197</v>
      </c>
      <c r="AC997" s="8">
        <f t="shared" si="138"/>
        <v>0</v>
      </c>
      <c r="AD997" s="8">
        <f t="shared" si="139"/>
        <v>19286153.079407997</v>
      </c>
      <c r="AE997" s="8">
        <f t="shared" si="140"/>
        <v>135003071.55585599</v>
      </c>
      <c r="AF997" s="8">
        <f t="shared" si="141"/>
        <v>4212417107.7094212</v>
      </c>
      <c r="AG997" s="8">
        <f t="shared" si="142"/>
        <v>557691259.87954795</v>
      </c>
      <c r="AH997" s="8">
        <f t="shared" si="143"/>
        <v>803589.71164199989</v>
      </c>
      <c r="AI997" s="8">
        <f t="shared" si="144"/>
        <v>0</v>
      </c>
    </row>
    <row r="998" spans="1:35" x14ac:dyDescent="0.55000000000000004">
      <c r="A998" s="1">
        <v>996</v>
      </c>
      <c r="B998" s="1" t="s">
        <v>20</v>
      </c>
      <c r="C998" s="1">
        <v>64</v>
      </c>
      <c r="D998" s="1">
        <v>5</v>
      </c>
      <c r="E998" s="1" t="s">
        <v>145</v>
      </c>
      <c r="F998" s="1" t="s">
        <v>146</v>
      </c>
      <c r="G998" s="1">
        <v>27</v>
      </c>
      <c r="H998" s="1">
        <v>2</v>
      </c>
      <c r="I998" s="1">
        <v>27050000</v>
      </c>
      <c r="J998" s="1">
        <v>1183</v>
      </c>
      <c r="K998" s="1">
        <v>0</v>
      </c>
      <c r="L998" s="1">
        <v>14718</v>
      </c>
      <c r="M998" s="1">
        <v>14.011680999999999</v>
      </c>
      <c r="N998" s="1">
        <v>102.51946</v>
      </c>
      <c r="O998" s="1">
        <v>0</v>
      </c>
      <c r="P998" s="1">
        <v>0.57999999999999996</v>
      </c>
      <c r="Q998" s="1">
        <v>0.32</v>
      </c>
      <c r="R998" s="1">
        <v>0</v>
      </c>
      <c r="S998" s="1">
        <v>0.5</v>
      </c>
      <c r="T998" s="1">
        <v>12.73</v>
      </c>
      <c r="U998" s="1">
        <v>7.43</v>
      </c>
      <c r="V998" s="1">
        <v>0.01</v>
      </c>
      <c r="W998" s="1">
        <v>0</v>
      </c>
      <c r="X998" s="1">
        <v>34868.110896999999</v>
      </c>
      <c r="Y998" s="1">
        <v>72795764.364500001</v>
      </c>
      <c r="Z998" t="str">
        <f>VLOOKUP(G998,'Code Pro'!$A$2:$B$9,2,FALSE)</f>
        <v>จ.สระแก้ว</v>
      </c>
      <c r="AA998" s="8">
        <f t="shared" si="136"/>
        <v>0</v>
      </c>
      <c r="AB998" s="8">
        <f t="shared" si="137"/>
        <v>42221543.331409998</v>
      </c>
      <c r="AC998" s="8">
        <f t="shared" si="138"/>
        <v>23294644.596640002</v>
      </c>
      <c r="AD998" s="8">
        <f t="shared" si="139"/>
        <v>0</v>
      </c>
      <c r="AE998" s="8">
        <f t="shared" si="140"/>
        <v>36397882.182250001</v>
      </c>
      <c r="AF998" s="8">
        <f t="shared" si="141"/>
        <v>926690080.36008501</v>
      </c>
      <c r="AG998" s="8">
        <f t="shared" si="142"/>
        <v>540872529.22823501</v>
      </c>
      <c r="AH998" s="8">
        <f t="shared" si="143"/>
        <v>727957.64364500006</v>
      </c>
      <c r="AI998" s="8">
        <f t="shared" si="144"/>
        <v>0</v>
      </c>
    </row>
    <row r="999" spans="1:35" x14ac:dyDescent="0.55000000000000004">
      <c r="A999" s="1">
        <v>997</v>
      </c>
      <c r="B999" s="1" t="s">
        <v>20</v>
      </c>
      <c r="C999" s="1">
        <v>64</v>
      </c>
      <c r="D999" s="1">
        <v>5</v>
      </c>
      <c r="E999" s="1" t="s">
        <v>145</v>
      </c>
      <c r="F999" s="1" t="s">
        <v>146</v>
      </c>
      <c r="G999" s="1">
        <v>27</v>
      </c>
      <c r="H999" s="1">
        <v>2</v>
      </c>
      <c r="I999" s="1">
        <v>27050000</v>
      </c>
      <c r="J999" s="1">
        <v>1185</v>
      </c>
      <c r="K999" s="1">
        <v>0</v>
      </c>
      <c r="L999" s="1">
        <v>14957</v>
      </c>
      <c r="M999" s="1">
        <v>14.172943</v>
      </c>
      <c r="N999" s="1">
        <v>102.436325</v>
      </c>
      <c r="O999" s="1">
        <v>2.77</v>
      </c>
      <c r="P999" s="1">
        <v>3.73</v>
      </c>
      <c r="Q999" s="1">
        <v>0</v>
      </c>
      <c r="R999" s="1">
        <v>0.93</v>
      </c>
      <c r="S999" s="1">
        <v>27.610001</v>
      </c>
      <c r="T999" s="1">
        <v>14.11</v>
      </c>
      <c r="U999" s="1">
        <v>0.69</v>
      </c>
      <c r="V999" s="1">
        <v>0.1</v>
      </c>
      <c r="W999" s="1">
        <v>0.08</v>
      </c>
      <c r="X999" s="1">
        <v>20579.403992</v>
      </c>
      <c r="Y999" s="1">
        <v>12256011.023399999</v>
      </c>
      <c r="Z999" t="str">
        <f>VLOOKUP(G999,'Code Pro'!$A$2:$B$9,2,FALSE)</f>
        <v>จ.สระแก้ว</v>
      </c>
      <c r="AA999" s="8">
        <f t="shared" si="136"/>
        <v>33949150.534818001</v>
      </c>
      <c r="AB999" s="8">
        <f t="shared" si="137"/>
        <v>45714921.117281996</v>
      </c>
      <c r="AC999" s="8">
        <f t="shared" si="138"/>
        <v>0</v>
      </c>
      <c r="AD999" s="8">
        <f t="shared" si="139"/>
        <v>11398090.251762001</v>
      </c>
      <c r="AE999" s="8">
        <f t="shared" si="140"/>
        <v>338388476.61208498</v>
      </c>
      <c r="AF999" s="8">
        <f t="shared" si="141"/>
        <v>172932315.54017398</v>
      </c>
      <c r="AG999" s="8">
        <f t="shared" si="142"/>
        <v>8456647.6061459985</v>
      </c>
      <c r="AH999" s="8">
        <f t="shared" si="143"/>
        <v>1225601.10234</v>
      </c>
      <c r="AI999" s="8">
        <f t="shared" si="144"/>
        <v>980480.88187199994</v>
      </c>
    </row>
    <row r="1000" spans="1:35" x14ac:dyDescent="0.55000000000000004">
      <c r="A1000" s="1">
        <v>998</v>
      </c>
      <c r="B1000" s="1" t="s">
        <v>20</v>
      </c>
      <c r="C1000" s="1">
        <v>64</v>
      </c>
      <c r="D1000" s="1">
        <v>5</v>
      </c>
      <c r="E1000" s="1" t="s">
        <v>145</v>
      </c>
      <c r="F1000" s="1" t="s">
        <v>146</v>
      </c>
      <c r="G1000" s="1">
        <v>27</v>
      </c>
      <c r="H1000" s="1">
        <v>2</v>
      </c>
      <c r="I1000" s="1">
        <v>27050000</v>
      </c>
      <c r="J1000" s="1">
        <v>1186</v>
      </c>
      <c r="K1000" s="1">
        <v>0</v>
      </c>
      <c r="L1000" s="1">
        <v>14837</v>
      </c>
      <c r="M1000" s="1">
        <v>14.092331</v>
      </c>
      <c r="N1000" s="1">
        <v>102.436325</v>
      </c>
      <c r="O1000" s="1">
        <v>0.56999999999999995</v>
      </c>
      <c r="P1000" s="1">
        <v>7.68</v>
      </c>
      <c r="Q1000" s="1">
        <v>0.01</v>
      </c>
      <c r="R1000" s="1">
        <v>1</v>
      </c>
      <c r="S1000" s="1">
        <v>7.7</v>
      </c>
      <c r="T1000" s="1">
        <v>42.490001999999997</v>
      </c>
      <c r="U1000" s="1">
        <v>0.05</v>
      </c>
      <c r="V1000" s="1">
        <v>0.28000000000000003</v>
      </c>
      <c r="W1000" s="1">
        <v>0.01</v>
      </c>
      <c r="X1000" s="1">
        <v>35948.777757999997</v>
      </c>
      <c r="Y1000" s="1">
        <v>80227240.030599996</v>
      </c>
      <c r="Z1000" t="str">
        <f>VLOOKUP(G1000,'Code Pro'!$A$2:$B$9,2,FALSE)</f>
        <v>จ.สระแก้ว</v>
      </c>
      <c r="AA1000" s="8">
        <f t="shared" si="136"/>
        <v>45729526.817441992</v>
      </c>
      <c r="AB1000" s="8">
        <f t="shared" si="137"/>
        <v>616145203.43500793</v>
      </c>
      <c r="AC1000" s="8">
        <f t="shared" si="138"/>
        <v>802272.40030600003</v>
      </c>
      <c r="AD1000" s="8">
        <f t="shared" si="139"/>
        <v>80227240.030599996</v>
      </c>
      <c r="AE1000" s="8">
        <f t="shared" si="140"/>
        <v>617749748.23562002</v>
      </c>
      <c r="AF1000" s="8">
        <f t="shared" si="141"/>
        <v>3408855589.3546739</v>
      </c>
      <c r="AG1000" s="8">
        <f t="shared" si="142"/>
        <v>4011362.00153</v>
      </c>
      <c r="AH1000" s="8">
        <f t="shared" si="143"/>
        <v>22463627.208567999</v>
      </c>
      <c r="AI1000" s="8">
        <f t="shared" si="144"/>
        <v>802272.40030600003</v>
      </c>
    </row>
    <row r="1001" spans="1:35" x14ac:dyDescent="0.55000000000000004">
      <c r="A1001" s="1">
        <v>999</v>
      </c>
      <c r="B1001" s="1" t="s">
        <v>20</v>
      </c>
      <c r="C1001" s="1">
        <v>64</v>
      </c>
      <c r="D1001" s="1">
        <v>5</v>
      </c>
      <c r="E1001" s="1" t="s">
        <v>145</v>
      </c>
      <c r="F1001" s="1" t="s">
        <v>146</v>
      </c>
      <c r="G1001" s="1">
        <v>27</v>
      </c>
      <c r="H1001" s="1">
        <v>2</v>
      </c>
      <c r="I1001" s="1">
        <v>27050000</v>
      </c>
      <c r="J1001" s="1">
        <v>1188</v>
      </c>
      <c r="K1001" s="1">
        <v>0</v>
      </c>
      <c r="L1001" s="1">
        <v>14958</v>
      </c>
      <c r="M1001" s="1">
        <v>14.172943</v>
      </c>
      <c r="N1001" s="1">
        <v>102.51946</v>
      </c>
      <c r="O1001" s="1">
        <v>0.6</v>
      </c>
      <c r="P1001" s="1">
        <v>0.05</v>
      </c>
      <c r="Q1001" s="1">
        <v>0.14000000000000001</v>
      </c>
      <c r="R1001" s="1">
        <v>0.09</v>
      </c>
      <c r="S1001" s="1">
        <v>40.25</v>
      </c>
      <c r="T1001" s="1">
        <v>19.84</v>
      </c>
      <c r="U1001" s="1">
        <v>0.18</v>
      </c>
      <c r="V1001" s="1">
        <v>0.15</v>
      </c>
      <c r="W1001" s="1">
        <v>0.04</v>
      </c>
      <c r="X1001" s="1">
        <v>6267.3684789999998</v>
      </c>
      <c r="Y1001" s="1">
        <v>1378258.48599</v>
      </c>
      <c r="Z1001" t="str">
        <f>VLOOKUP(G1001,'Code Pro'!$A$2:$B$9,2,FALSE)</f>
        <v>จ.สระแก้ว</v>
      </c>
      <c r="AA1001" s="8">
        <f t="shared" si="136"/>
        <v>826955.091594</v>
      </c>
      <c r="AB1001" s="8">
        <f t="shared" si="137"/>
        <v>68912.924299499995</v>
      </c>
      <c r="AC1001" s="8">
        <f t="shared" si="138"/>
        <v>192956.18803860003</v>
      </c>
      <c r="AD1001" s="8">
        <f t="shared" si="139"/>
        <v>124043.26373909999</v>
      </c>
      <c r="AE1001" s="8">
        <f t="shared" si="140"/>
        <v>55474904.061097495</v>
      </c>
      <c r="AF1001" s="8">
        <f t="shared" si="141"/>
        <v>27344648.3620416</v>
      </c>
      <c r="AG1001" s="8">
        <f t="shared" si="142"/>
        <v>248086.52747819998</v>
      </c>
      <c r="AH1001" s="8">
        <f t="shared" si="143"/>
        <v>206738.7728985</v>
      </c>
      <c r="AI1001" s="8">
        <f t="shared" si="144"/>
        <v>55130.3394396</v>
      </c>
    </row>
    <row r="1002" spans="1:35" x14ac:dyDescent="0.55000000000000004">
      <c r="A1002" s="1">
        <v>1000</v>
      </c>
      <c r="B1002" s="1" t="s">
        <v>20</v>
      </c>
      <c r="C1002" s="1">
        <v>64</v>
      </c>
      <c r="D1002" s="1">
        <v>5</v>
      </c>
      <c r="E1002" s="1" t="s">
        <v>145</v>
      </c>
      <c r="F1002" s="1" t="s">
        <v>146</v>
      </c>
      <c r="G1002" s="1">
        <v>27</v>
      </c>
      <c r="H1002" s="1">
        <v>2</v>
      </c>
      <c r="I1002" s="1">
        <v>27050000</v>
      </c>
      <c r="J1002" s="1">
        <v>1230</v>
      </c>
      <c r="K1002" s="1">
        <v>0</v>
      </c>
      <c r="L1002" s="1">
        <v>14599</v>
      </c>
      <c r="M1002" s="1">
        <v>13.931006999999999</v>
      </c>
      <c r="N1002" s="1">
        <v>102.6026</v>
      </c>
      <c r="O1002" s="1">
        <v>0</v>
      </c>
      <c r="P1002" s="1">
        <v>0</v>
      </c>
      <c r="Q1002" s="1">
        <v>0</v>
      </c>
      <c r="R1002" s="1">
        <v>0.26</v>
      </c>
      <c r="S1002" s="1">
        <v>0.02</v>
      </c>
      <c r="T1002" s="1">
        <v>17.93</v>
      </c>
      <c r="U1002" s="1">
        <v>1.49</v>
      </c>
      <c r="V1002" s="1">
        <v>0</v>
      </c>
      <c r="W1002" s="1">
        <v>0.04</v>
      </c>
      <c r="X1002" s="1">
        <v>13334.230175000001</v>
      </c>
      <c r="Y1002" s="1">
        <v>10220624.1216</v>
      </c>
      <c r="Z1002" t="str">
        <f>VLOOKUP(G1002,'Code Pro'!$A$2:$B$9,2,FALSE)</f>
        <v>จ.สระแก้ว</v>
      </c>
      <c r="AA1002" s="8">
        <f t="shared" si="136"/>
        <v>0</v>
      </c>
      <c r="AB1002" s="8">
        <f t="shared" si="137"/>
        <v>0</v>
      </c>
      <c r="AC1002" s="8">
        <f t="shared" si="138"/>
        <v>0</v>
      </c>
      <c r="AD1002" s="8">
        <f t="shared" si="139"/>
        <v>2657362.2716160002</v>
      </c>
      <c r="AE1002" s="8">
        <f t="shared" si="140"/>
        <v>204412.48243200002</v>
      </c>
      <c r="AF1002" s="8">
        <f t="shared" si="141"/>
        <v>183255790.50028801</v>
      </c>
      <c r="AG1002" s="8">
        <f t="shared" si="142"/>
        <v>15228729.941184001</v>
      </c>
      <c r="AH1002" s="8">
        <f t="shared" si="143"/>
        <v>0</v>
      </c>
      <c r="AI1002" s="8">
        <f t="shared" si="144"/>
        <v>408824.96486400004</v>
      </c>
    </row>
    <row r="1003" spans="1:35" x14ac:dyDescent="0.55000000000000004">
      <c r="A1003" s="1">
        <v>1001</v>
      </c>
      <c r="B1003" s="1" t="s">
        <v>20</v>
      </c>
      <c r="C1003" s="1">
        <v>64</v>
      </c>
      <c r="D1003" s="1">
        <v>5</v>
      </c>
      <c r="E1003" s="1" t="s">
        <v>145</v>
      </c>
      <c r="F1003" s="1" t="s">
        <v>146</v>
      </c>
      <c r="G1003" s="1">
        <v>27</v>
      </c>
      <c r="H1003" s="1">
        <v>2</v>
      </c>
      <c r="I1003" s="1">
        <v>27050000</v>
      </c>
      <c r="J1003" s="1">
        <v>1233</v>
      </c>
      <c r="K1003" s="1">
        <v>0</v>
      </c>
      <c r="L1003" s="1">
        <v>14719</v>
      </c>
      <c r="M1003" s="1">
        <v>14.011680999999999</v>
      </c>
      <c r="N1003" s="1">
        <v>102.6026</v>
      </c>
      <c r="O1003" s="1">
        <v>0.01</v>
      </c>
      <c r="P1003" s="1">
        <v>0.01</v>
      </c>
      <c r="Q1003" s="1">
        <v>0.03</v>
      </c>
      <c r="R1003" s="1">
        <v>0</v>
      </c>
      <c r="S1003" s="1">
        <v>0.48</v>
      </c>
      <c r="T1003" s="1">
        <v>41.549999</v>
      </c>
      <c r="U1003" s="1">
        <v>8.5399999999999991</v>
      </c>
      <c r="V1003" s="1">
        <v>0.17</v>
      </c>
      <c r="W1003" s="1">
        <v>0</v>
      </c>
      <c r="X1003" s="1">
        <v>9925.4864030000008</v>
      </c>
      <c r="Y1003" s="1">
        <v>3579231.1102700001</v>
      </c>
      <c r="Z1003" t="str">
        <f>VLOOKUP(G1003,'Code Pro'!$A$2:$B$9,2,FALSE)</f>
        <v>จ.สระแก้ว</v>
      </c>
      <c r="AA1003" s="8">
        <f t="shared" si="136"/>
        <v>35792.311102700005</v>
      </c>
      <c r="AB1003" s="8">
        <f t="shared" si="137"/>
        <v>35792.311102700005</v>
      </c>
      <c r="AC1003" s="8">
        <f t="shared" si="138"/>
        <v>107376.93330809999</v>
      </c>
      <c r="AD1003" s="8">
        <f t="shared" si="139"/>
        <v>0</v>
      </c>
      <c r="AE1003" s="8">
        <f t="shared" si="140"/>
        <v>1718030.9329295999</v>
      </c>
      <c r="AF1003" s="8">
        <f t="shared" si="141"/>
        <v>148717049.0524874</v>
      </c>
      <c r="AG1003" s="8">
        <f t="shared" si="142"/>
        <v>30566633.681705799</v>
      </c>
      <c r="AH1003" s="8">
        <f t="shared" si="143"/>
        <v>608469.28874590003</v>
      </c>
      <c r="AI1003" s="8">
        <f t="shared" si="144"/>
        <v>0</v>
      </c>
    </row>
    <row r="1004" spans="1:35" x14ac:dyDescent="0.55000000000000004">
      <c r="A1004" s="1">
        <v>1002</v>
      </c>
      <c r="B1004" s="1" t="s">
        <v>20</v>
      </c>
      <c r="C1004" s="1">
        <v>65</v>
      </c>
      <c r="D1004" s="1">
        <v>6</v>
      </c>
      <c r="E1004" s="1" t="s">
        <v>147</v>
      </c>
      <c r="F1004" s="1" t="s">
        <v>148</v>
      </c>
      <c r="G1004" s="1">
        <v>27</v>
      </c>
      <c r="H1004" s="1">
        <v>2</v>
      </c>
      <c r="I1004" s="1">
        <v>27060000</v>
      </c>
      <c r="J1004" s="1">
        <v>998</v>
      </c>
      <c r="K1004" s="1">
        <v>0</v>
      </c>
      <c r="L1004" s="1">
        <v>13876</v>
      </c>
      <c r="M1004" s="1">
        <v>13.446358</v>
      </c>
      <c r="N1004" s="1">
        <v>102.35319</v>
      </c>
      <c r="O1004" s="1">
        <v>0.09</v>
      </c>
      <c r="P1004" s="1">
        <v>9.7200000000000006</v>
      </c>
      <c r="Q1004" s="1">
        <v>0.01</v>
      </c>
      <c r="R1004" s="1">
        <v>2.0099999999999998</v>
      </c>
      <c r="S1004" s="1">
        <v>1.69</v>
      </c>
      <c r="T1004" s="1">
        <v>3.14</v>
      </c>
      <c r="U1004" s="1">
        <v>4.8600000000000003</v>
      </c>
      <c r="V1004" s="1">
        <v>7.0000000000000007E-2</v>
      </c>
      <c r="W1004" s="1">
        <v>0.08</v>
      </c>
      <c r="X1004" s="1">
        <v>12355.820757</v>
      </c>
      <c r="Y1004" s="1">
        <v>5071894.0417999998</v>
      </c>
      <c r="Z1004" t="str">
        <f>VLOOKUP(G1004,'Code Pro'!$A$2:$B$9,2,FALSE)</f>
        <v>จ.สระแก้ว</v>
      </c>
      <c r="AA1004" s="8">
        <f t="shared" si="136"/>
        <v>456470.46376199997</v>
      </c>
      <c r="AB1004" s="8">
        <f t="shared" si="137"/>
        <v>49298810.086296</v>
      </c>
      <c r="AC1004" s="8">
        <f t="shared" si="138"/>
        <v>50718.940417999998</v>
      </c>
      <c r="AD1004" s="8">
        <f t="shared" si="139"/>
        <v>10194507.024017999</v>
      </c>
      <c r="AE1004" s="8">
        <f t="shared" si="140"/>
        <v>8571500.9306419995</v>
      </c>
      <c r="AF1004" s="8">
        <f t="shared" si="141"/>
        <v>15925747.291252</v>
      </c>
      <c r="AG1004" s="8">
        <f t="shared" si="142"/>
        <v>24649405.043148</v>
      </c>
      <c r="AH1004" s="8">
        <f t="shared" si="143"/>
        <v>355032.582926</v>
      </c>
      <c r="AI1004" s="8">
        <f t="shared" si="144"/>
        <v>405751.52334399999</v>
      </c>
    </row>
    <row r="1005" spans="1:35" x14ac:dyDescent="0.55000000000000004">
      <c r="A1005" s="1">
        <v>1003</v>
      </c>
      <c r="B1005" s="1" t="s">
        <v>20</v>
      </c>
      <c r="C1005" s="1">
        <v>65</v>
      </c>
      <c r="D1005" s="1">
        <v>6</v>
      </c>
      <c r="E1005" s="1" t="s">
        <v>147</v>
      </c>
      <c r="F1005" s="1" t="s">
        <v>148</v>
      </c>
      <c r="G1005" s="1">
        <v>27</v>
      </c>
      <c r="H1005" s="1">
        <v>2</v>
      </c>
      <c r="I1005" s="1">
        <v>27060000</v>
      </c>
      <c r="J1005" s="1">
        <v>1034</v>
      </c>
      <c r="K1005" s="1">
        <v>0</v>
      </c>
      <c r="L1005" s="1">
        <v>13995</v>
      </c>
      <c r="M1005" s="1">
        <v>13.527199</v>
      </c>
      <c r="N1005" s="1">
        <v>102.27006</v>
      </c>
      <c r="O1005" s="1">
        <v>0.04</v>
      </c>
      <c r="P1005" s="1">
        <v>2</v>
      </c>
      <c r="Q1005" s="1">
        <v>0.04</v>
      </c>
      <c r="R1005" s="1">
        <v>0.39</v>
      </c>
      <c r="S1005" s="1">
        <v>1.28</v>
      </c>
      <c r="T1005" s="1">
        <v>1.1499999999999999</v>
      </c>
      <c r="U1005" s="1">
        <v>8.1199999999999992</v>
      </c>
      <c r="V1005" s="1">
        <v>0.14000000000000001</v>
      </c>
      <c r="W1005" s="1">
        <v>6.07</v>
      </c>
      <c r="X1005" s="1">
        <v>8436.1657510000005</v>
      </c>
      <c r="Y1005" s="1">
        <v>483661.74369600002</v>
      </c>
      <c r="Z1005" t="str">
        <f>VLOOKUP(G1005,'Code Pro'!$A$2:$B$9,2,FALSE)</f>
        <v>จ.สระแก้ว</v>
      </c>
      <c r="AA1005" s="8">
        <f t="shared" si="136"/>
        <v>19346.469747840001</v>
      </c>
      <c r="AB1005" s="8">
        <f t="shared" si="137"/>
        <v>967323.48739200004</v>
      </c>
      <c r="AC1005" s="8">
        <f t="shared" si="138"/>
        <v>19346.469747840001</v>
      </c>
      <c r="AD1005" s="8">
        <f t="shared" si="139"/>
        <v>188628.08004144</v>
      </c>
      <c r="AE1005" s="8">
        <f t="shared" si="140"/>
        <v>619087.03193088004</v>
      </c>
      <c r="AF1005" s="8">
        <f t="shared" si="141"/>
        <v>556211.00525039993</v>
      </c>
      <c r="AG1005" s="8">
        <f t="shared" si="142"/>
        <v>3927333.3588115196</v>
      </c>
      <c r="AH1005" s="8">
        <f t="shared" si="143"/>
        <v>67712.64411744001</v>
      </c>
      <c r="AI1005" s="8">
        <f t="shared" si="144"/>
        <v>2935826.7842347203</v>
      </c>
    </row>
    <row r="1006" spans="1:35" x14ac:dyDescent="0.55000000000000004">
      <c r="A1006" s="1">
        <v>1004</v>
      </c>
      <c r="B1006" s="1" t="s">
        <v>20</v>
      </c>
      <c r="C1006" s="1">
        <v>65</v>
      </c>
      <c r="D1006" s="1">
        <v>6</v>
      </c>
      <c r="E1006" s="1" t="s">
        <v>147</v>
      </c>
      <c r="F1006" s="1" t="s">
        <v>148</v>
      </c>
      <c r="G1006" s="1">
        <v>27</v>
      </c>
      <c r="H1006" s="1">
        <v>2</v>
      </c>
      <c r="I1006" s="1">
        <v>27060000</v>
      </c>
      <c r="J1006" s="1">
        <v>1035</v>
      </c>
      <c r="K1006" s="1">
        <v>0</v>
      </c>
      <c r="L1006" s="1">
        <v>13996</v>
      </c>
      <c r="M1006" s="1">
        <v>13.527199</v>
      </c>
      <c r="N1006" s="1">
        <v>102.35319</v>
      </c>
      <c r="O1006" s="1">
        <v>0.02</v>
      </c>
      <c r="P1006" s="1">
        <v>4.9000000000000004</v>
      </c>
      <c r="Q1006" s="1">
        <v>0</v>
      </c>
      <c r="R1006" s="1">
        <v>0.05</v>
      </c>
      <c r="S1006" s="1">
        <v>4.25</v>
      </c>
      <c r="T1006" s="1">
        <v>2.85</v>
      </c>
      <c r="U1006" s="1">
        <v>6.47</v>
      </c>
      <c r="V1006" s="1">
        <v>0</v>
      </c>
      <c r="W1006" s="1">
        <v>2.5299999999999998</v>
      </c>
      <c r="X1006" s="1">
        <v>33702.130448000004</v>
      </c>
      <c r="Y1006" s="1">
        <v>32211469.520399999</v>
      </c>
      <c r="Z1006" t="str">
        <f>VLOOKUP(G1006,'Code Pro'!$A$2:$B$9,2,FALSE)</f>
        <v>จ.สระแก้ว</v>
      </c>
      <c r="AA1006" s="8">
        <f t="shared" si="136"/>
        <v>644229.39040799998</v>
      </c>
      <c r="AB1006" s="8">
        <f t="shared" si="137"/>
        <v>157836200.64996001</v>
      </c>
      <c r="AC1006" s="8">
        <f t="shared" si="138"/>
        <v>0</v>
      </c>
      <c r="AD1006" s="8">
        <f t="shared" si="139"/>
        <v>1610573.4760199999</v>
      </c>
      <c r="AE1006" s="8">
        <f t="shared" si="140"/>
        <v>136898745.46169999</v>
      </c>
      <c r="AF1006" s="8">
        <f t="shared" si="141"/>
        <v>91802688.133139998</v>
      </c>
      <c r="AG1006" s="8">
        <f t="shared" si="142"/>
        <v>208408207.79698798</v>
      </c>
      <c r="AH1006" s="8">
        <f t="shared" si="143"/>
        <v>0</v>
      </c>
      <c r="AI1006" s="8">
        <f t="shared" si="144"/>
        <v>81495017.886611998</v>
      </c>
    </row>
    <row r="1007" spans="1:35" x14ac:dyDescent="0.55000000000000004">
      <c r="A1007" s="1">
        <v>1005</v>
      </c>
      <c r="B1007" s="1" t="s">
        <v>20</v>
      </c>
      <c r="C1007" s="1">
        <v>65</v>
      </c>
      <c r="D1007" s="1">
        <v>6</v>
      </c>
      <c r="E1007" s="1" t="s">
        <v>147</v>
      </c>
      <c r="F1007" s="1" t="s">
        <v>148</v>
      </c>
      <c r="G1007" s="1">
        <v>27</v>
      </c>
      <c r="H1007" s="1">
        <v>2</v>
      </c>
      <c r="I1007" s="1">
        <v>27060000</v>
      </c>
      <c r="J1007" s="1">
        <v>1036</v>
      </c>
      <c r="K1007" s="1">
        <v>0</v>
      </c>
      <c r="L1007" s="1">
        <v>14236</v>
      </c>
      <c r="M1007" s="1">
        <v>13.688805</v>
      </c>
      <c r="N1007" s="1">
        <v>102.35319</v>
      </c>
      <c r="O1007" s="1">
        <v>4.79</v>
      </c>
      <c r="P1007" s="1">
        <v>4.9400000000000004</v>
      </c>
      <c r="Q1007" s="1">
        <v>7.45</v>
      </c>
      <c r="R1007" s="1">
        <v>0.04</v>
      </c>
      <c r="S1007" s="1">
        <v>0.04</v>
      </c>
      <c r="T1007" s="1">
        <v>6.89</v>
      </c>
      <c r="U1007" s="1">
        <v>3.26</v>
      </c>
      <c r="V1007" s="1">
        <v>0</v>
      </c>
      <c r="W1007" s="1">
        <v>0</v>
      </c>
      <c r="X1007" s="1">
        <v>22182.499205</v>
      </c>
      <c r="Y1007" s="1">
        <v>12533120.0011</v>
      </c>
      <c r="Z1007" t="str">
        <f>VLOOKUP(G1007,'Code Pro'!$A$2:$B$9,2,FALSE)</f>
        <v>จ.สระแก้ว</v>
      </c>
      <c r="AA1007" s="8">
        <f t="shared" si="136"/>
        <v>60033644.805269003</v>
      </c>
      <c r="AB1007" s="8">
        <f t="shared" si="137"/>
        <v>61913612.805434003</v>
      </c>
      <c r="AC1007" s="8">
        <f t="shared" si="138"/>
        <v>93371744.008194998</v>
      </c>
      <c r="AD1007" s="8">
        <f t="shared" si="139"/>
        <v>501324.80004400003</v>
      </c>
      <c r="AE1007" s="8">
        <f t="shared" si="140"/>
        <v>501324.80004400003</v>
      </c>
      <c r="AF1007" s="8">
        <f t="shared" si="141"/>
        <v>86353196.807578996</v>
      </c>
      <c r="AG1007" s="8">
        <f t="shared" si="142"/>
        <v>40857971.203585997</v>
      </c>
      <c r="AH1007" s="8">
        <f t="shared" si="143"/>
        <v>0</v>
      </c>
      <c r="AI1007" s="8">
        <f t="shared" si="144"/>
        <v>0</v>
      </c>
    </row>
    <row r="1008" spans="1:35" x14ac:dyDescent="0.55000000000000004">
      <c r="A1008" s="1">
        <v>1006</v>
      </c>
      <c r="B1008" s="1" t="s">
        <v>20</v>
      </c>
      <c r="C1008" s="1">
        <v>65</v>
      </c>
      <c r="D1008" s="1">
        <v>6</v>
      </c>
      <c r="E1008" s="1" t="s">
        <v>147</v>
      </c>
      <c r="F1008" s="1" t="s">
        <v>148</v>
      </c>
      <c r="G1008" s="1">
        <v>27</v>
      </c>
      <c r="H1008" s="1">
        <v>2</v>
      </c>
      <c r="I1008" s="1">
        <v>27060000</v>
      </c>
      <c r="J1008" s="1">
        <v>1038</v>
      </c>
      <c r="K1008" s="1">
        <v>0</v>
      </c>
      <c r="L1008" s="1">
        <v>14116</v>
      </c>
      <c r="M1008" s="1">
        <v>13.608017</v>
      </c>
      <c r="N1008" s="1">
        <v>102.35319</v>
      </c>
      <c r="O1008" s="1">
        <v>0.02</v>
      </c>
      <c r="P1008" s="1">
        <v>0.47</v>
      </c>
      <c r="Q1008" s="1">
        <v>0.1</v>
      </c>
      <c r="R1008" s="1">
        <v>0</v>
      </c>
      <c r="S1008" s="1">
        <v>0</v>
      </c>
      <c r="T1008" s="1">
        <v>2.3199999999999998</v>
      </c>
      <c r="U1008" s="1">
        <v>2.39</v>
      </c>
      <c r="V1008" s="1">
        <v>0</v>
      </c>
      <c r="W1008" s="1">
        <v>0.3</v>
      </c>
      <c r="X1008" s="1">
        <v>34894.578630000004</v>
      </c>
      <c r="Y1008" s="1">
        <v>59083279.332199998</v>
      </c>
      <c r="Z1008" t="str">
        <f>VLOOKUP(G1008,'Code Pro'!$A$2:$B$9,2,FALSE)</f>
        <v>จ.สระแก้ว</v>
      </c>
      <c r="AA1008" s="8">
        <f t="shared" si="136"/>
        <v>1181665.5866439999</v>
      </c>
      <c r="AB1008" s="8">
        <f t="shared" si="137"/>
        <v>27769141.286133997</v>
      </c>
      <c r="AC1008" s="8">
        <f t="shared" si="138"/>
        <v>5908327.93322</v>
      </c>
      <c r="AD1008" s="8">
        <f t="shared" si="139"/>
        <v>0</v>
      </c>
      <c r="AE1008" s="8">
        <f t="shared" si="140"/>
        <v>0</v>
      </c>
      <c r="AF1008" s="8">
        <f t="shared" si="141"/>
        <v>137073208.05070397</v>
      </c>
      <c r="AG1008" s="8">
        <f t="shared" si="142"/>
        <v>141209037.60395801</v>
      </c>
      <c r="AH1008" s="8">
        <f t="shared" si="143"/>
        <v>0</v>
      </c>
      <c r="AI1008" s="8">
        <f t="shared" si="144"/>
        <v>17724983.799659997</v>
      </c>
    </row>
    <row r="1009" spans="1:35" x14ac:dyDescent="0.55000000000000004">
      <c r="A1009" s="1">
        <v>1007</v>
      </c>
      <c r="B1009" s="1" t="s">
        <v>20</v>
      </c>
      <c r="C1009" s="1">
        <v>65</v>
      </c>
      <c r="D1009" s="1">
        <v>6</v>
      </c>
      <c r="E1009" s="1" t="s">
        <v>147</v>
      </c>
      <c r="F1009" s="1" t="s">
        <v>148</v>
      </c>
      <c r="G1009" s="1">
        <v>27</v>
      </c>
      <c r="H1009" s="1">
        <v>2</v>
      </c>
      <c r="I1009" s="1">
        <v>27060000</v>
      </c>
      <c r="J1009" s="1">
        <v>1039</v>
      </c>
      <c r="K1009" s="1">
        <v>0</v>
      </c>
      <c r="L1009" s="1">
        <v>13997</v>
      </c>
      <c r="M1009" s="1">
        <v>13.527199</v>
      </c>
      <c r="N1009" s="1">
        <v>102.436325</v>
      </c>
      <c r="O1009" s="1">
        <v>0.01</v>
      </c>
      <c r="P1009" s="1">
        <v>10</v>
      </c>
      <c r="Q1009" s="1">
        <v>0</v>
      </c>
      <c r="R1009" s="1">
        <v>0</v>
      </c>
      <c r="S1009" s="1">
        <v>0.91</v>
      </c>
      <c r="T1009" s="1">
        <v>2.62</v>
      </c>
      <c r="U1009" s="1">
        <v>5.66</v>
      </c>
      <c r="V1009" s="1">
        <v>0.08</v>
      </c>
      <c r="W1009" s="1">
        <v>0.23</v>
      </c>
      <c r="X1009" s="1">
        <v>13893.488671999999</v>
      </c>
      <c r="Y1009" s="1">
        <v>2497068.0972899999</v>
      </c>
      <c r="Z1009" t="str">
        <f>VLOOKUP(G1009,'Code Pro'!$A$2:$B$9,2,FALSE)</f>
        <v>จ.สระแก้ว</v>
      </c>
      <c r="AA1009" s="8">
        <f t="shared" si="136"/>
        <v>24970.680972900002</v>
      </c>
      <c r="AB1009" s="8">
        <f t="shared" si="137"/>
        <v>24970680.972899999</v>
      </c>
      <c r="AC1009" s="8">
        <f t="shared" si="138"/>
        <v>0</v>
      </c>
      <c r="AD1009" s="8">
        <f t="shared" si="139"/>
        <v>0</v>
      </c>
      <c r="AE1009" s="8">
        <f t="shared" si="140"/>
        <v>2272331.9685339001</v>
      </c>
      <c r="AF1009" s="8">
        <f t="shared" si="141"/>
        <v>6542318.4148998</v>
      </c>
      <c r="AG1009" s="8">
        <f t="shared" si="142"/>
        <v>14133405.430661401</v>
      </c>
      <c r="AH1009" s="8">
        <f t="shared" si="143"/>
        <v>199765.44778320001</v>
      </c>
      <c r="AI1009" s="8">
        <f t="shared" si="144"/>
        <v>574325.66237669997</v>
      </c>
    </row>
    <row r="1010" spans="1:35" x14ac:dyDescent="0.55000000000000004">
      <c r="A1010" s="1">
        <v>1008</v>
      </c>
      <c r="B1010" s="1" t="s">
        <v>20</v>
      </c>
      <c r="C1010" s="1">
        <v>65</v>
      </c>
      <c r="D1010" s="1">
        <v>6</v>
      </c>
      <c r="E1010" s="1" t="s">
        <v>147</v>
      </c>
      <c r="F1010" s="1" t="s">
        <v>148</v>
      </c>
      <c r="G1010" s="1">
        <v>27</v>
      </c>
      <c r="H1010" s="1">
        <v>2</v>
      </c>
      <c r="I1010" s="1">
        <v>27060000</v>
      </c>
      <c r="J1010" s="1">
        <v>1040</v>
      </c>
      <c r="K1010" s="1">
        <v>0</v>
      </c>
      <c r="L1010" s="1">
        <v>13998</v>
      </c>
      <c r="M1010" s="1">
        <v>13.527199</v>
      </c>
      <c r="N1010" s="1">
        <v>102.51946</v>
      </c>
      <c r="O1010" s="1">
        <v>0</v>
      </c>
      <c r="P1010" s="1">
        <v>19.200001</v>
      </c>
      <c r="Q1010" s="1">
        <v>0</v>
      </c>
      <c r="R1010" s="1">
        <v>9.1999999999999993</v>
      </c>
      <c r="S1010" s="1">
        <v>0.12</v>
      </c>
      <c r="T1010" s="1">
        <v>1.86</v>
      </c>
      <c r="U1010" s="1">
        <v>3.95</v>
      </c>
      <c r="V1010" s="1">
        <v>1.92</v>
      </c>
      <c r="W1010" s="1">
        <v>0.13</v>
      </c>
      <c r="X1010" s="1">
        <v>5817.2298600000004</v>
      </c>
      <c r="Y1010" s="1">
        <v>333001.38867499999</v>
      </c>
      <c r="Z1010" t="str">
        <f>VLOOKUP(G1010,'Code Pro'!$A$2:$B$9,2,FALSE)</f>
        <v>จ.สระแก้ว</v>
      </c>
      <c r="AA1010" s="8">
        <f t="shared" si="136"/>
        <v>0</v>
      </c>
      <c r="AB1010" s="8">
        <f t="shared" si="137"/>
        <v>6393626.9955613883</v>
      </c>
      <c r="AC1010" s="8">
        <f t="shared" si="138"/>
        <v>0</v>
      </c>
      <c r="AD1010" s="8">
        <f t="shared" si="139"/>
        <v>3063612.7758099996</v>
      </c>
      <c r="AE1010" s="8">
        <f t="shared" si="140"/>
        <v>39960.166640999996</v>
      </c>
      <c r="AF1010" s="8">
        <f t="shared" si="141"/>
        <v>619382.58293550008</v>
      </c>
      <c r="AG1010" s="8">
        <f t="shared" si="142"/>
        <v>1315355.4852662501</v>
      </c>
      <c r="AH1010" s="8">
        <f t="shared" si="143"/>
        <v>639362.66625599994</v>
      </c>
      <c r="AI1010" s="8">
        <f t="shared" si="144"/>
        <v>43290.180527750003</v>
      </c>
    </row>
    <row r="1011" spans="1:35" x14ac:dyDescent="0.55000000000000004">
      <c r="A1011" s="1">
        <v>1009</v>
      </c>
      <c r="B1011" s="1" t="s">
        <v>20</v>
      </c>
      <c r="C1011" s="1">
        <v>65</v>
      </c>
      <c r="D1011" s="1">
        <v>6</v>
      </c>
      <c r="E1011" s="1" t="s">
        <v>147</v>
      </c>
      <c r="F1011" s="1" t="s">
        <v>148</v>
      </c>
      <c r="G1011" s="1">
        <v>27</v>
      </c>
      <c r="H1011" s="1">
        <v>2</v>
      </c>
      <c r="I1011" s="1">
        <v>27060000</v>
      </c>
      <c r="J1011" s="1">
        <v>1041</v>
      </c>
      <c r="K1011" s="1">
        <v>0</v>
      </c>
      <c r="L1011" s="1">
        <v>14117</v>
      </c>
      <c r="M1011" s="1">
        <v>13.608017</v>
      </c>
      <c r="N1011" s="1">
        <v>102.436325</v>
      </c>
      <c r="O1011" s="1">
        <v>0.03</v>
      </c>
      <c r="P1011" s="1">
        <v>0.08</v>
      </c>
      <c r="Q1011" s="1">
        <v>0.02</v>
      </c>
      <c r="R1011" s="1">
        <v>0</v>
      </c>
      <c r="S1011" s="1">
        <v>0</v>
      </c>
      <c r="T1011" s="1">
        <v>2.4700000000000002</v>
      </c>
      <c r="U1011" s="1">
        <v>1.86</v>
      </c>
      <c r="V1011" s="1">
        <v>0.12</v>
      </c>
      <c r="W1011" s="1">
        <v>0.09</v>
      </c>
      <c r="X1011" s="1">
        <v>36728.645511000002</v>
      </c>
      <c r="Y1011" s="1">
        <v>80122628.038900003</v>
      </c>
      <c r="Z1011" t="str">
        <f>VLOOKUP(G1011,'Code Pro'!$A$2:$B$9,2,FALSE)</f>
        <v>จ.สระแก้ว</v>
      </c>
      <c r="AA1011" s="8">
        <f t="shared" si="136"/>
        <v>2403678.8411670001</v>
      </c>
      <c r="AB1011" s="8">
        <f t="shared" si="137"/>
        <v>6409810.2431120006</v>
      </c>
      <c r="AC1011" s="8">
        <f t="shared" si="138"/>
        <v>1602452.5607780002</v>
      </c>
      <c r="AD1011" s="8">
        <f t="shared" si="139"/>
        <v>0</v>
      </c>
      <c r="AE1011" s="8">
        <f t="shared" si="140"/>
        <v>0</v>
      </c>
      <c r="AF1011" s="8">
        <f t="shared" si="141"/>
        <v>197902891.25608301</v>
      </c>
      <c r="AG1011" s="8">
        <f t="shared" si="142"/>
        <v>149028088.152354</v>
      </c>
      <c r="AH1011" s="8">
        <f t="shared" si="143"/>
        <v>9614715.3646680005</v>
      </c>
      <c r="AI1011" s="8">
        <f t="shared" si="144"/>
        <v>7211036.5235010004</v>
      </c>
    </row>
    <row r="1012" spans="1:35" x14ac:dyDescent="0.55000000000000004">
      <c r="A1012" s="1">
        <v>1010</v>
      </c>
      <c r="B1012" s="1" t="s">
        <v>20</v>
      </c>
      <c r="C1012" s="1">
        <v>65</v>
      </c>
      <c r="D1012" s="1">
        <v>6</v>
      </c>
      <c r="E1012" s="1" t="s">
        <v>147</v>
      </c>
      <c r="F1012" s="1" t="s">
        <v>148</v>
      </c>
      <c r="G1012" s="1">
        <v>27</v>
      </c>
      <c r="H1012" s="1">
        <v>2</v>
      </c>
      <c r="I1012" s="1">
        <v>27060000</v>
      </c>
      <c r="J1012" s="1">
        <v>1042</v>
      </c>
      <c r="K1012" s="1">
        <v>0</v>
      </c>
      <c r="L1012" s="1">
        <v>14237</v>
      </c>
      <c r="M1012" s="1">
        <v>13.688805</v>
      </c>
      <c r="N1012" s="1">
        <v>102.436325</v>
      </c>
      <c r="O1012" s="1">
        <v>0.05</v>
      </c>
      <c r="P1012" s="1">
        <v>0.46</v>
      </c>
      <c r="Q1012" s="1">
        <v>0.54</v>
      </c>
      <c r="R1012" s="1">
        <v>0</v>
      </c>
      <c r="S1012" s="1">
        <v>0.12</v>
      </c>
      <c r="T1012" s="1">
        <v>7.34</v>
      </c>
      <c r="U1012" s="1">
        <v>0.06</v>
      </c>
      <c r="V1012" s="1">
        <v>0</v>
      </c>
      <c r="W1012" s="1">
        <v>0</v>
      </c>
      <c r="X1012" s="1">
        <v>34608.888973000001</v>
      </c>
      <c r="Y1012" s="1">
        <v>66962038.212700002</v>
      </c>
      <c r="Z1012" t="str">
        <f>VLOOKUP(G1012,'Code Pro'!$A$2:$B$9,2,FALSE)</f>
        <v>จ.สระแก้ว</v>
      </c>
      <c r="AA1012" s="8">
        <f t="shared" si="136"/>
        <v>3348101.9106350001</v>
      </c>
      <c r="AB1012" s="8">
        <f t="shared" si="137"/>
        <v>30802537.577842001</v>
      </c>
      <c r="AC1012" s="8">
        <f t="shared" si="138"/>
        <v>36159500.634858005</v>
      </c>
      <c r="AD1012" s="8">
        <f t="shared" si="139"/>
        <v>0</v>
      </c>
      <c r="AE1012" s="8">
        <f t="shared" si="140"/>
        <v>8035444.5855240002</v>
      </c>
      <c r="AF1012" s="8">
        <f t="shared" si="141"/>
        <v>491501360.48121798</v>
      </c>
      <c r="AG1012" s="8">
        <f t="shared" si="142"/>
        <v>4017722.2927620001</v>
      </c>
      <c r="AH1012" s="8">
        <f t="shared" si="143"/>
        <v>0</v>
      </c>
      <c r="AI1012" s="8">
        <f t="shared" si="144"/>
        <v>0</v>
      </c>
    </row>
    <row r="1013" spans="1:35" x14ac:dyDescent="0.55000000000000004">
      <c r="A1013" s="1">
        <v>1011</v>
      </c>
      <c r="B1013" s="1" t="s">
        <v>20</v>
      </c>
      <c r="C1013" s="1">
        <v>65</v>
      </c>
      <c r="D1013" s="1">
        <v>6</v>
      </c>
      <c r="E1013" s="1" t="s">
        <v>147</v>
      </c>
      <c r="F1013" s="1" t="s">
        <v>148</v>
      </c>
      <c r="G1013" s="1">
        <v>27</v>
      </c>
      <c r="H1013" s="1">
        <v>2</v>
      </c>
      <c r="I1013" s="1">
        <v>27060000</v>
      </c>
      <c r="J1013" s="1">
        <v>1049</v>
      </c>
      <c r="K1013" s="1">
        <v>0</v>
      </c>
      <c r="L1013" s="1">
        <v>14118</v>
      </c>
      <c r="M1013" s="1">
        <v>13.608017</v>
      </c>
      <c r="N1013" s="1">
        <v>102.51946</v>
      </c>
      <c r="O1013" s="1">
        <v>0.05</v>
      </c>
      <c r="P1013" s="1">
        <v>0.22</v>
      </c>
      <c r="Q1013" s="1">
        <v>0</v>
      </c>
      <c r="R1013" s="1">
        <v>0.71</v>
      </c>
      <c r="S1013" s="1">
        <v>0</v>
      </c>
      <c r="T1013" s="1">
        <v>4.4000000000000004</v>
      </c>
      <c r="U1013" s="1">
        <v>5.35</v>
      </c>
      <c r="V1013" s="1">
        <v>1.21</v>
      </c>
      <c r="W1013" s="1">
        <v>0</v>
      </c>
      <c r="X1013" s="1">
        <v>36001.035528</v>
      </c>
      <c r="Y1013" s="1">
        <v>77558250.109599993</v>
      </c>
      <c r="Z1013" t="str">
        <f>VLOOKUP(G1013,'Code Pro'!$A$2:$B$9,2,FALSE)</f>
        <v>จ.สระแก้ว</v>
      </c>
      <c r="AA1013" s="8">
        <f t="shared" si="136"/>
        <v>3877912.5054799998</v>
      </c>
      <c r="AB1013" s="8">
        <f t="shared" si="137"/>
        <v>17062815.024111997</v>
      </c>
      <c r="AC1013" s="8">
        <f t="shared" si="138"/>
        <v>0</v>
      </c>
      <c r="AD1013" s="8">
        <f t="shared" si="139"/>
        <v>55066357.577815995</v>
      </c>
      <c r="AE1013" s="8">
        <f t="shared" si="140"/>
        <v>0</v>
      </c>
      <c r="AF1013" s="8">
        <f t="shared" si="141"/>
        <v>341256300.48224002</v>
      </c>
      <c r="AG1013" s="8">
        <f t="shared" si="142"/>
        <v>414936638.08635992</v>
      </c>
      <c r="AH1013" s="8">
        <f t="shared" si="143"/>
        <v>93845482.632615983</v>
      </c>
      <c r="AI1013" s="8">
        <f t="shared" si="144"/>
        <v>0</v>
      </c>
    </row>
    <row r="1014" spans="1:35" x14ac:dyDescent="0.55000000000000004">
      <c r="A1014" s="1">
        <v>1012</v>
      </c>
      <c r="B1014" s="1" t="s">
        <v>20</v>
      </c>
      <c r="C1014" s="1">
        <v>65</v>
      </c>
      <c r="D1014" s="1">
        <v>6</v>
      </c>
      <c r="E1014" s="1" t="s">
        <v>147</v>
      </c>
      <c r="F1014" s="1" t="s">
        <v>148</v>
      </c>
      <c r="G1014" s="1">
        <v>27</v>
      </c>
      <c r="H1014" s="1">
        <v>2</v>
      </c>
      <c r="I1014" s="1">
        <v>27060000</v>
      </c>
      <c r="J1014" s="1">
        <v>1050</v>
      </c>
      <c r="K1014" s="1">
        <v>0</v>
      </c>
      <c r="L1014" s="1">
        <v>14357</v>
      </c>
      <c r="M1014" s="1">
        <v>13.769569000000001</v>
      </c>
      <c r="N1014" s="1">
        <v>102.436325</v>
      </c>
      <c r="O1014" s="1">
        <v>0.03</v>
      </c>
      <c r="P1014" s="1">
        <v>0.61</v>
      </c>
      <c r="Q1014" s="1">
        <v>0.08</v>
      </c>
      <c r="R1014" s="1">
        <v>0.08</v>
      </c>
      <c r="S1014" s="1">
        <v>10.050000000000001</v>
      </c>
      <c r="T1014" s="1">
        <v>74.089995999999999</v>
      </c>
      <c r="U1014" s="1">
        <v>9.5</v>
      </c>
      <c r="V1014" s="1">
        <v>0</v>
      </c>
      <c r="W1014" s="1">
        <v>0</v>
      </c>
      <c r="X1014" s="1">
        <v>34691.021520000002</v>
      </c>
      <c r="Y1014" s="1">
        <v>56040574.821900003</v>
      </c>
      <c r="Z1014" t="str">
        <f>VLOOKUP(G1014,'Code Pro'!$A$2:$B$9,2,FALSE)</f>
        <v>จ.สระแก้ว</v>
      </c>
      <c r="AA1014" s="8">
        <f t="shared" si="136"/>
        <v>1681217.2446570001</v>
      </c>
      <c r="AB1014" s="8">
        <f t="shared" si="137"/>
        <v>34184750.641359001</v>
      </c>
      <c r="AC1014" s="8">
        <f t="shared" si="138"/>
        <v>4483245.9857520005</v>
      </c>
      <c r="AD1014" s="8">
        <f t="shared" si="139"/>
        <v>4483245.9857520005</v>
      </c>
      <c r="AE1014" s="8">
        <f t="shared" si="140"/>
        <v>563207776.96009505</v>
      </c>
      <c r="AF1014" s="8">
        <f t="shared" si="141"/>
        <v>4152045964.392272</v>
      </c>
      <c r="AG1014" s="8">
        <f t="shared" si="142"/>
        <v>532385460.80805004</v>
      </c>
      <c r="AH1014" s="8">
        <f t="shared" si="143"/>
        <v>0</v>
      </c>
      <c r="AI1014" s="8">
        <f t="shared" si="144"/>
        <v>0</v>
      </c>
    </row>
    <row r="1015" spans="1:35" x14ac:dyDescent="0.55000000000000004">
      <c r="A1015" s="1">
        <v>1013</v>
      </c>
      <c r="B1015" s="1" t="s">
        <v>20</v>
      </c>
      <c r="C1015" s="1">
        <v>65</v>
      </c>
      <c r="D1015" s="1">
        <v>6</v>
      </c>
      <c r="E1015" s="1" t="s">
        <v>147</v>
      </c>
      <c r="F1015" s="1" t="s">
        <v>148</v>
      </c>
      <c r="G1015" s="1">
        <v>27</v>
      </c>
      <c r="H1015" s="1">
        <v>2</v>
      </c>
      <c r="I1015" s="1">
        <v>27060000</v>
      </c>
      <c r="J1015" s="1">
        <v>1052</v>
      </c>
      <c r="K1015" s="1">
        <v>0</v>
      </c>
      <c r="L1015" s="1">
        <v>14238</v>
      </c>
      <c r="M1015" s="1">
        <v>13.688805</v>
      </c>
      <c r="N1015" s="1">
        <v>102.51946</v>
      </c>
      <c r="O1015" s="1">
        <v>0.04</v>
      </c>
      <c r="P1015" s="1">
        <v>0.05</v>
      </c>
      <c r="Q1015" s="1">
        <v>0.03</v>
      </c>
      <c r="R1015" s="1">
        <v>0.03</v>
      </c>
      <c r="S1015" s="1">
        <v>0.48</v>
      </c>
      <c r="T1015" s="1">
        <v>3.99</v>
      </c>
      <c r="U1015" s="1">
        <v>0.57999999999999996</v>
      </c>
      <c r="V1015" s="1">
        <v>0.01</v>
      </c>
      <c r="W1015" s="1">
        <v>0</v>
      </c>
      <c r="X1015" s="1">
        <v>37211.754001000001</v>
      </c>
      <c r="Y1015" s="1">
        <v>78141240.728200004</v>
      </c>
      <c r="Z1015" t="str">
        <f>VLOOKUP(G1015,'Code Pro'!$A$2:$B$9,2,FALSE)</f>
        <v>จ.สระแก้ว</v>
      </c>
      <c r="AA1015" s="8">
        <f t="shared" si="136"/>
        <v>3125649.6291280002</v>
      </c>
      <c r="AB1015" s="8">
        <f t="shared" si="137"/>
        <v>3907062.0364100002</v>
      </c>
      <c r="AC1015" s="8">
        <f t="shared" si="138"/>
        <v>2344237.2218459998</v>
      </c>
      <c r="AD1015" s="8">
        <f t="shared" si="139"/>
        <v>2344237.2218459998</v>
      </c>
      <c r="AE1015" s="8">
        <f t="shared" si="140"/>
        <v>37507795.549535997</v>
      </c>
      <c r="AF1015" s="8">
        <f t="shared" si="141"/>
        <v>311783550.50551802</v>
      </c>
      <c r="AG1015" s="8">
        <f t="shared" si="142"/>
        <v>45321919.622355998</v>
      </c>
      <c r="AH1015" s="8">
        <f t="shared" si="143"/>
        <v>781412.40728200006</v>
      </c>
      <c r="AI1015" s="8">
        <f t="shared" si="144"/>
        <v>0</v>
      </c>
    </row>
    <row r="1016" spans="1:35" x14ac:dyDescent="0.55000000000000004">
      <c r="A1016" s="1">
        <v>1014</v>
      </c>
      <c r="B1016" s="1" t="s">
        <v>20</v>
      </c>
      <c r="C1016" s="1">
        <v>65</v>
      </c>
      <c r="D1016" s="1">
        <v>6</v>
      </c>
      <c r="E1016" s="1" t="s">
        <v>147</v>
      </c>
      <c r="F1016" s="1" t="s">
        <v>148</v>
      </c>
      <c r="G1016" s="1">
        <v>27</v>
      </c>
      <c r="H1016" s="1">
        <v>2</v>
      </c>
      <c r="I1016" s="1">
        <v>27060000</v>
      </c>
      <c r="J1016" s="1">
        <v>1054</v>
      </c>
      <c r="K1016" s="1">
        <v>0</v>
      </c>
      <c r="L1016" s="1">
        <v>14479</v>
      </c>
      <c r="M1016" s="1">
        <v>13.850304</v>
      </c>
      <c r="N1016" s="1">
        <v>102.6026</v>
      </c>
      <c r="O1016" s="1">
        <v>0</v>
      </c>
      <c r="P1016" s="1">
        <v>0.02</v>
      </c>
      <c r="Q1016" s="1">
        <v>0.11</v>
      </c>
      <c r="R1016" s="1">
        <v>0</v>
      </c>
      <c r="S1016" s="1">
        <v>3.72</v>
      </c>
      <c r="T1016" s="1">
        <v>10.82</v>
      </c>
      <c r="U1016" s="1">
        <v>0.05</v>
      </c>
      <c r="V1016" s="1">
        <v>0</v>
      </c>
      <c r="W1016" s="1">
        <v>0</v>
      </c>
      <c r="X1016" s="1">
        <v>8045.5810689999998</v>
      </c>
      <c r="Y1016" s="1">
        <v>2851120.7435900001</v>
      </c>
      <c r="Z1016" t="str">
        <f>VLOOKUP(G1016,'Code Pro'!$A$2:$B$9,2,FALSE)</f>
        <v>จ.สระแก้ว</v>
      </c>
      <c r="AA1016" s="8">
        <f t="shared" si="136"/>
        <v>0</v>
      </c>
      <c r="AB1016" s="8">
        <f t="shared" si="137"/>
        <v>57022.4148718</v>
      </c>
      <c r="AC1016" s="8">
        <f t="shared" si="138"/>
        <v>313623.28179490002</v>
      </c>
      <c r="AD1016" s="8">
        <f t="shared" si="139"/>
        <v>0</v>
      </c>
      <c r="AE1016" s="8">
        <f t="shared" si="140"/>
        <v>10606169.1661548</v>
      </c>
      <c r="AF1016" s="8">
        <f t="shared" si="141"/>
        <v>30849126.445643801</v>
      </c>
      <c r="AG1016" s="8">
        <f t="shared" si="142"/>
        <v>142556.03717950001</v>
      </c>
      <c r="AH1016" s="8">
        <f t="shared" si="143"/>
        <v>0</v>
      </c>
      <c r="AI1016" s="8">
        <f t="shared" si="144"/>
        <v>0</v>
      </c>
    </row>
    <row r="1017" spans="1:35" x14ac:dyDescent="0.55000000000000004">
      <c r="A1017" s="1">
        <v>1015</v>
      </c>
      <c r="B1017" s="1" t="s">
        <v>20</v>
      </c>
      <c r="C1017" s="1">
        <v>65</v>
      </c>
      <c r="D1017" s="1">
        <v>6</v>
      </c>
      <c r="E1017" s="1" t="s">
        <v>147</v>
      </c>
      <c r="F1017" s="1" t="s">
        <v>148</v>
      </c>
      <c r="G1017" s="1">
        <v>27</v>
      </c>
      <c r="H1017" s="1">
        <v>2</v>
      </c>
      <c r="I1017" s="1">
        <v>27060000</v>
      </c>
      <c r="J1017" s="1">
        <v>1055</v>
      </c>
      <c r="K1017" s="1">
        <v>0</v>
      </c>
      <c r="L1017" s="1">
        <v>14477</v>
      </c>
      <c r="M1017" s="1">
        <v>13.850304</v>
      </c>
      <c r="N1017" s="1">
        <v>102.436325</v>
      </c>
      <c r="O1017" s="1">
        <v>0.03</v>
      </c>
      <c r="P1017" s="1">
        <v>0.53</v>
      </c>
      <c r="Q1017" s="1">
        <v>0.08</v>
      </c>
      <c r="R1017" s="1">
        <v>0.11</v>
      </c>
      <c r="S1017" s="1">
        <v>0.24</v>
      </c>
      <c r="T1017" s="1">
        <v>26.030000999999999</v>
      </c>
      <c r="U1017" s="1">
        <v>0.18</v>
      </c>
      <c r="V1017" s="1">
        <v>0</v>
      </c>
      <c r="W1017" s="1">
        <v>0</v>
      </c>
      <c r="X1017" s="1">
        <v>29858.713675999999</v>
      </c>
      <c r="Y1017" s="1">
        <v>40378762.3847</v>
      </c>
      <c r="Z1017" t="str">
        <f>VLOOKUP(G1017,'Code Pro'!$A$2:$B$9,2,FALSE)</f>
        <v>จ.สระแก้ว</v>
      </c>
      <c r="AA1017" s="8">
        <f t="shared" si="136"/>
        <v>1211362.871541</v>
      </c>
      <c r="AB1017" s="8">
        <f t="shared" si="137"/>
        <v>21400744.063891001</v>
      </c>
      <c r="AC1017" s="8">
        <f t="shared" si="138"/>
        <v>3230300.9907760001</v>
      </c>
      <c r="AD1017" s="8">
        <f t="shared" si="139"/>
        <v>4441663.8623170005</v>
      </c>
      <c r="AE1017" s="8">
        <f t="shared" si="140"/>
        <v>9690902.9723279998</v>
      </c>
      <c r="AF1017" s="8">
        <f t="shared" si="141"/>
        <v>1051059225.2525034</v>
      </c>
      <c r="AG1017" s="8">
        <f t="shared" si="142"/>
        <v>7268177.2292459998</v>
      </c>
      <c r="AH1017" s="8">
        <f t="shared" si="143"/>
        <v>0</v>
      </c>
      <c r="AI1017" s="8">
        <f t="shared" si="144"/>
        <v>0</v>
      </c>
    </row>
    <row r="1018" spans="1:35" x14ac:dyDescent="0.55000000000000004">
      <c r="A1018" s="1">
        <v>1016</v>
      </c>
      <c r="B1018" s="1" t="s">
        <v>20</v>
      </c>
      <c r="C1018" s="1">
        <v>65</v>
      </c>
      <c r="D1018" s="1">
        <v>6</v>
      </c>
      <c r="E1018" s="1" t="s">
        <v>147</v>
      </c>
      <c r="F1018" s="1" t="s">
        <v>148</v>
      </c>
      <c r="G1018" s="1">
        <v>27</v>
      </c>
      <c r="H1018" s="1">
        <v>2</v>
      </c>
      <c r="I1018" s="1">
        <v>27060000</v>
      </c>
      <c r="J1018" s="1">
        <v>1102</v>
      </c>
      <c r="K1018" s="1">
        <v>0</v>
      </c>
      <c r="L1018" s="1">
        <v>14239</v>
      </c>
      <c r="M1018" s="1">
        <v>13.688805</v>
      </c>
      <c r="N1018" s="1">
        <v>102.6026</v>
      </c>
      <c r="O1018" s="1">
        <v>0.03</v>
      </c>
      <c r="P1018" s="1">
        <v>0.65</v>
      </c>
      <c r="Q1018" s="1">
        <v>0</v>
      </c>
      <c r="R1018" s="1">
        <v>14.59</v>
      </c>
      <c r="S1018" s="1">
        <v>0.12</v>
      </c>
      <c r="T1018" s="1">
        <v>14.92</v>
      </c>
      <c r="U1018" s="1">
        <v>2.77</v>
      </c>
      <c r="V1018" s="1">
        <v>0</v>
      </c>
      <c r="W1018" s="1">
        <v>0</v>
      </c>
      <c r="X1018" s="1">
        <v>24812.559820999999</v>
      </c>
      <c r="Y1018" s="1">
        <v>19868561.4965</v>
      </c>
      <c r="Z1018" t="str">
        <f>VLOOKUP(G1018,'Code Pro'!$A$2:$B$9,2,FALSE)</f>
        <v>จ.สระแก้ว</v>
      </c>
      <c r="AA1018" s="8">
        <f t="shared" si="136"/>
        <v>596056.84489499999</v>
      </c>
      <c r="AB1018" s="8">
        <f t="shared" si="137"/>
        <v>12914564.972725</v>
      </c>
      <c r="AC1018" s="8">
        <f t="shared" si="138"/>
        <v>0</v>
      </c>
      <c r="AD1018" s="8">
        <f t="shared" si="139"/>
        <v>289882312.233935</v>
      </c>
      <c r="AE1018" s="8">
        <f t="shared" si="140"/>
        <v>2384227.3795799999</v>
      </c>
      <c r="AF1018" s="8">
        <f t="shared" si="141"/>
        <v>296438937.52778</v>
      </c>
      <c r="AG1018" s="8">
        <f t="shared" si="142"/>
        <v>55035915.345305003</v>
      </c>
      <c r="AH1018" s="8">
        <f t="shared" si="143"/>
        <v>0</v>
      </c>
      <c r="AI1018" s="8">
        <f t="shared" si="144"/>
        <v>0</v>
      </c>
    </row>
    <row r="1019" spans="1:35" x14ac:dyDescent="0.55000000000000004">
      <c r="A1019" s="1">
        <v>1017</v>
      </c>
      <c r="B1019" s="1" t="s">
        <v>20</v>
      </c>
      <c r="C1019" s="1">
        <v>65</v>
      </c>
      <c r="D1019" s="1">
        <v>6</v>
      </c>
      <c r="E1019" s="1" t="s">
        <v>147</v>
      </c>
      <c r="F1019" s="1" t="s">
        <v>148</v>
      </c>
      <c r="G1019" s="1">
        <v>27</v>
      </c>
      <c r="H1019" s="1">
        <v>2</v>
      </c>
      <c r="I1019" s="1">
        <v>27060000</v>
      </c>
      <c r="J1019" s="1">
        <v>1103</v>
      </c>
      <c r="K1019" s="1">
        <v>0</v>
      </c>
      <c r="L1019" s="1">
        <v>14119</v>
      </c>
      <c r="M1019" s="1">
        <v>13.608017</v>
      </c>
      <c r="N1019" s="1">
        <v>102.6026</v>
      </c>
      <c r="O1019" s="1">
        <v>0.05</v>
      </c>
      <c r="P1019" s="1">
        <v>6.16</v>
      </c>
      <c r="Q1019" s="1">
        <v>0</v>
      </c>
      <c r="R1019" s="1">
        <v>10.18</v>
      </c>
      <c r="S1019" s="1">
        <v>0.99</v>
      </c>
      <c r="T1019" s="1">
        <v>10</v>
      </c>
      <c r="U1019" s="1">
        <v>5.28</v>
      </c>
      <c r="V1019" s="1">
        <v>6.08</v>
      </c>
      <c r="W1019" s="1">
        <v>0</v>
      </c>
      <c r="X1019" s="1">
        <v>28566.272691999999</v>
      </c>
      <c r="Y1019" s="1">
        <v>17613610.307799999</v>
      </c>
      <c r="Z1019" t="str">
        <f>VLOOKUP(G1019,'Code Pro'!$A$2:$B$9,2,FALSE)</f>
        <v>จ.สระแก้ว</v>
      </c>
      <c r="AA1019" s="8">
        <f t="shared" si="136"/>
        <v>880680.51538999996</v>
      </c>
      <c r="AB1019" s="8">
        <f t="shared" si="137"/>
        <v>108499839.49604799</v>
      </c>
      <c r="AC1019" s="8">
        <f t="shared" si="138"/>
        <v>0</v>
      </c>
      <c r="AD1019" s="8">
        <f t="shared" si="139"/>
        <v>179306552.93340397</v>
      </c>
      <c r="AE1019" s="8">
        <f t="shared" si="140"/>
        <v>17437474.204721998</v>
      </c>
      <c r="AF1019" s="8">
        <f t="shared" si="141"/>
        <v>176136103.07799998</v>
      </c>
      <c r="AG1019" s="8">
        <f t="shared" si="142"/>
        <v>92999862.425183997</v>
      </c>
      <c r="AH1019" s="8">
        <f t="shared" si="143"/>
        <v>107090750.67142399</v>
      </c>
      <c r="AI1019" s="8">
        <f t="shared" si="144"/>
        <v>0</v>
      </c>
    </row>
    <row r="1020" spans="1:35" x14ac:dyDescent="0.55000000000000004">
      <c r="A1020" s="1">
        <v>1018</v>
      </c>
      <c r="B1020" s="1" t="s">
        <v>20</v>
      </c>
      <c r="C1020" s="1">
        <v>65</v>
      </c>
      <c r="D1020" s="1">
        <v>6</v>
      </c>
      <c r="E1020" s="1" t="s">
        <v>147</v>
      </c>
      <c r="F1020" s="1" t="s">
        <v>148</v>
      </c>
      <c r="G1020" s="1">
        <v>27</v>
      </c>
      <c r="H1020" s="1">
        <v>2</v>
      </c>
      <c r="I1020" s="1">
        <v>27060000</v>
      </c>
      <c r="J1020" s="1">
        <v>1107</v>
      </c>
      <c r="K1020" s="1">
        <v>0</v>
      </c>
      <c r="L1020" s="1">
        <v>14478</v>
      </c>
      <c r="M1020" s="1">
        <v>13.850304</v>
      </c>
      <c r="N1020" s="1">
        <v>102.51946</v>
      </c>
      <c r="O1020" s="1">
        <v>0.06</v>
      </c>
      <c r="P1020" s="1">
        <v>7.0000000000000007E-2</v>
      </c>
      <c r="Q1020" s="1">
        <v>0.15</v>
      </c>
      <c r="R1020" s="1">
        <v>0</v>
      </c>
      <c r="S1020" s="1">
        <v>5.87</v>
      </c>
      <c r="T1020" s="1">
        <v>8.4</v>
      </c>
      <c r="U1020" s="1">
        <v>0.13</v>
      </c>
      <c r="V1020" s="1">
        <v>0</v>
      </c>
      <c r="W1020" s="1">
        <v>0</v>
      </c>
      <c r="X1020" s="1">
        <v>29218.872863000001</v>
      </c>
      <c r="Y1020" s="1">
        <v>45908510.7632</v>
      </c>
      <c r="Z1020" t="str">
        <f>VLOOKUP(G1020,'Code Pro'!$A$2:$B$9,2,FALSE)</f>
        <v>จ.สระแก้ว</v>
      </c>
      <c r="AA1020" s="8">
        <f t="shared" si="136"/>
        <v>2754510.645792</v>
      </c>
      <c r="AB1020" s="8">
        <f t="shared" si="137"/>
        <v>3213595.7534240005</v>
      </c>
      <c r="AC1020" s="8">
        <f t="shared" si="138"/>
        <v>6886276.61448</v>
      </c>
      <c r="AD1020" s="8">
        <f t="shared" si="139"/>
        <v>0</v>
      </c>
      <c r="AE1020" s="8">
        <f t="shared" si="140"/>
        <v>269482958.17998403</v>
      </c>
      <c r="AF1020" s="8">
        <f t="shared" si="141"/>
        <v>385631490.41088003</v>
      </c>
      <c r="AG1020" s="8">
        <f t="shared" si="142"/>
        <v>5968106.399216</v>
      </c>
      <c r="AH1020" s="8">
        <f t="shared" si="143"/>
        <v>0</v>
      </c>
      <c r="AI1020" s="8">
        <f t="shared" si="144"/>
        <v>0</v>
      </c>
    </row>
    <row r="1021" spans="1:35" x14ac:dyDescent="0.55000000000000004">
      <c r="A1021" s="1">
        <v>1019</v>
      </c>
      <c r="B1021" s="1" t="s">
        <v>20</v>
      </c>
      <c r="C1021" s="1">
        <v>65</v>
      </c>
      <c r="D1021" s="1">
        <v>6</v>
      </c>
      <c r="E1021" s="1" t="s">
        <v>147</v>
      </c>
      <c r="F1021" s="1" t="s">
        <v>148</v>
      </c>
      <c r="G1021" s="1">
        <v>27</v>
      </c>
      <c r="H1021" s="1">
        <v>2</v>
      </c>
      <c r="I1021" s="1">
        <v>27060000</v>
      </c>
      <c r="J1021" s="1">
        <v>1108</v>
      </c>
      <c r="K1021" s="1">
        <v>0</v>
      </c>
      <c r="L1021" s="1">
        <v>14358</v>
      </c>
      <c r="M1021" s="1">
        <v>13.769569000000001</v>
      </c>
      <c r="N1021" s="1">
        <v>102.51946</v>
      </c>
      <c r="O1021" s="1">
        <v>0.02</v>
      </c>
      <c r="P1021" s="1">
        <v>0.04</v>
      </c>
      <c r="Q1021" s="1">
        <v>0.04</v>
      </c>
      <c r="R1021" s="1">
        <v>0</v>
      </c>
      <c r="S1021" s="1">
        <v>24.51</v>
      </c>
      <c r="T1021" s="1">
        <v>46.849997999999999</v>
      </c>
      <c r="U1021" s="1">
        <v>0.05</v>
      </c>
      <c r="V1021" s="1">
        <v>0</v>
      </c>
      <c r="W1021" s="1">
        <v>0</v>
      </c>
      <c r="X1021" s="1">
        <v>35898.839748999999</v>
      </c>
      <c r="Y1021" s="1">
        <v>80544612.619900003</v>
      </c>
      <c r="Z1021" t="str">
        <f>VLOOKUP(G1021,'Code Pro'!$A$2:$B$9,2,FALSE)</f>
        <v>จ.สระแก้ว</v>
      </c>
      <c r="AA1021" s="8">
        <f t="shared" si="136"/>
        <v>1610892.2523980001</v>
      </c>
      <c r="AB1021" s="8">
        <f t="shared" si="137"/>
        <v>3221784.5047960002</v>
      </c>
      <c r="AC1021" s="8">
        <f t="shared" si="138"/>
        <v>3221784.5047960002</v>
      </c>
      <c r="AD1021" s="8">
        <f t="shared" si="139"/>
        <v>0</v>
      </c>
      <c r="AE1021" s="8">
        <f t="shared" si="140"/>
        <v>1974148455.3137493</v>
      </c>
      <c r="AF1021" s="8">
        <f t="shared" si="141"/>
        <v>3773514940.15309</v>
      </c>
      <c r="AG1021" s="8">
        <f t="shared" si="142"/>
        <v>4027230.6309950002</v>
      </c>
      <c r="AH1021" s="8">
        <f t="shared" si="143"/>
        <v>0</v>
      </c>
      <c r="AI1021" s="8">
        <f t="shared" si="144"/>
        <v>0</v>
      </c>
    </row>
    <row r="1022" spans="1:35" x14ac:dyDescent="0.55000000000000004">
      <c r="A1022" s="1">
        <v>1020</v>
      </c>
      <c r="B1022" s="1" t="s">
        <v>20</v>
      </c>
      <c r="C1022" s="1">
        <v>65</v>
      </c>
      <c r="D1022" s="1">
        <v>6</v>
      </c>
      <c r="E1022" s="1" t="s">
        <v>147</v>
      </c>
      <c r="F1022" s="1" t="s">
        <v>148</v>
      </c>
      <c r="G1022" s="1">
        <v>27</v>
      </c>
      <c r="H1022" s="1">
        <v>2</v>
      </c>
      <c r="I1022" s="1">
        <v>27060000</v>
      </c>
      <c r="J1022" s="1">
        <v>1109</v>
      </c>
      <c r="K1022" s="1">
        <v>0</v>
      </c>
      <c r="L1022" s="1">
        <v>14359</v>
      </c>
      <c r="M1022" s="1">
        <v>13.769569000000001</v>
      </c>
      <c r="N1022" s="1">
        <v>102.6026</v>
      </c>
      <c r="O1022" s="1">
        <v>0.02</v>
      </c>
      <c r="P1022" s="1">
        <v>0.01</v>
      </c>
      <c r="Q1022" s="1">
        <v>0.01</v>
      </c>
      <c r="R1022" s="1">
        <v>0</v>
      </c>
      <c r="S1022" s="1">
        <v>5.07</v>
      </c>
      <c r="T1022" s="1">
        <v>45.860000999999997</v>
      </c>
      <c r="U1022" s="1">
        <v>0.05</v>
      </c>
      <c r="V1022" s="1">
        <v>0</v>
      </c>
      <c r="W1022" s="1">
        <v>0</v>
      </c>
      <c r="X1022" s="1">
        <v>33247.631253</v>
      </c>
      <c r="Y1022" s="1">
        <v>55734525.858499996</v>
      </c>
      <c r="Z1022" t="str">
        <f>VLOOKUP(G1022,'Code Pro'!$A$2:$B$9,2,FALSE)</f>
        <v>จ.สระแก้ว</v>
      </c>
      <c r="AA1022" s="8">
        <f t="shared" si="136"/>
        <v>1114690.5171699999</v>
      </c>
      <c r="AB1022" s="8">
        <f t="shared" si="137"/>
        <v>557345.25858499995</v>
      </c>
      <c r="AC1022" s="8">
        <f t="shared" si="138"/>
        <v>557345.25858499995</v>
      </c>
      <c r="AD1022" s="8">
        <f t="shared" si="139"/>
        <v>0</v>
      </c>
      <c r="AE1022" s="8">
        <f t="shared" si="140"/>
        <v>282574046.10259497</v>
      </c>
      <c r="AF1022" s="8">
        <f t="shared" si="141"/>
        <v>2555985411.6053357</v>
      </c>
      <c r="AG1022" s="8">
        <f t="shared" si="142"/>
        <v>2786726.2929250002</v>
      </c>
      <c r="AH1022" s="8">
        <f t="shared" si="143"/>
        <v>0</v>
      </c>
      <c r="AI1022" s="8">
        <f t="shared" si="144"/>
        <v>0</v>
      </c>
    </row>
    <row r="1023" spans="1:35" x14ac:dyDescent="0.55000000000000004">
      <c r="A1023" s="1">
        <v>1021</v>
      </c>
      <c r="B1023" s="1" t="s">
        <v>20</v>
      </c>
      <c r="C1023" s="1">
        <v>65</v>
      </c>
      <c r="D1023" s="1">
        <v>6</v>
      </c>
      <c r="E1023" s="1" t="s">
        <v>147</v>
      </c>
      <c r="F1023" s="1" t="s">
        <v>148</v>
      </c>
      <c r="G1023" s="1">
        <v>27</v>
      </c>
      <c r="H1023" s="1">
        <v>2</v>
      </c>
      <c r="I1023" s="1">
        <v>27060000</v>
      </c>
      <c r="J1023" s="1">
        <v>1111</v>
      </c>
      <c r="K1023" s="1">
        <v>0</v>
      </c>
      <c r="L1023" s="1">
        <v>14360</v>
      </c>
      <c r="M1023" s="1">
        <v>13.769569000000001</v>
      </c>
      <c r="N1023" s="1">
        <v>102.68574</v>
      </c>
      <c r="O1023" s="1">
        <v>0</v>
      </c>
      <c r="P1023" s="1">
        <v>0</v>
      </c>
      <c r="Q1023" s="1">
        <v>0.01</v>
      </c>
      <c r="R1023" s="1">
        <v>0</v>
      </c>
      <c r="S1023" s="1">
        <v>0.05</v>
      </c>
      <c r="T1023" s="1">
        <v>16.549999</v>
      </c>
      <c r="U1023" s="1">
        <v>0.06</v>
      </c>
      <c r="V1023" s="1">
        <v>0</v>
      </c>
      <c r="W1023" s="1">
        <v>0</v>
      </c>
      <c r="X1023" s="1">
        <v>4629.7259430000004</v>
      </c>
      <c r="Y1023" s="1">
        <v>1105353.1214099999</v>
      </c>
      <c r="Z1023" t="str">
        <f>VLOOKUP(G1023,'Code Pro'!$A$2:$B$9,2,FALSE)</f>
        <v>จ.สระแก้ว</v>
      </c>
      <c r="AA1023" s="8">
        <f t="shared" si="136"/>
        <v>0</v>
      </c>
      <c r="AB1023" s="8">
        <f t="shared" si="137"/>
        <v>0</v>
      </c>
      <c r="AC1023" s="8">
        <f t="shared" si="138"/>
        <v>11053.531214099999</v>
      </c>
      <c r="AD1023" s="8">
        <f t="shared" si="139"/>
        <v>0</v>
      </c>
      <c r="AE1023" s="8">
        <f t="shared" si="140"/>
        <v>55267.656070500001</v>
      </c>
      <c r="AF1023" s="8">
        <f t="shared" si="141"/>
        <v>18293593.053982377</v>
      </c>
      <c r="AG1023" s="8">
        <f t="shared" si="142"/>
        <v>66321.18728459999</v>
      </c>
      <c r="AH1023" s="8">
        <f t="shared" si="143"/>
        <v>0</v>
      </c>
      <c r="AI1023" s="8">
        <f t="shared" si="144"/>
        <v>0</v>
      </c>
    </row>
    <row r="1024" spans="1:35" x14ac:dyDescent="0.55000000000000004">
      <c r="A1024" s="1">
        <v>1022</v>
      </c>
      <c r="B1024" s="1" t="s">
        <v>20</v>
      </c>
      <c r="C1024" s="1">
        <v>66</v>
      </c>
      <c r="D1024" s="1">
        <v>7</v>
      </c>
      <c r="E1024" s="1" t="s">
        <v>149</v>
      </c>
      <c r="F1024" s="1" t="s">
        <v>150</v>
      </c>
      <c r="G1024" s="1">
        <v>27</v>
      </c>
      <c r="H1024" s="1">
        <v>2</v>
      </c>
      <c r="I1024" s="1">
        <v>27070000</v>
      </c>
      <c r="J1024" s="1">
        <v>773</v>
      </c>
      <c r="K1024" s="1">
        <v>0</v>
      </c>
      <c r="L1024" s="1">
        <v>13870</v>
      </c>
      <c r="M1024" s="1">
        <v>13.446358</v>
      </c>
      <c r="N1024" s="1">
        <v>101.85438000000001</v>
      </c>
      <c r="O1024" s="1">
        <v>1.38</v>
      </c>
      <c r="P1024" s="1">
        <v>0.03</v>
      </c>
      <c r="Q1024" s="1">
        <v>7.0000000000000007E-2</v>
      </c>
      <c r="R1024" s="1">
        <v>0</v>
      </c>
      <c r="S1024" s="1">
        <v>0.02</v>
      </c>
      <c r="T1024" s="1">
        <v>6.81</v>
      </c>
      <c r="U1024" s="1">
        <v>22.530000999999999</v>
      </c>
      <c r="V1024" s="1">
        <v>0.3</v>
      </c>
      <c r="W1024" s="1">
        <v>0</v>
      </c>
      <c r="X1024" s="1">
        <v>5354.5777129999997</v>
      </c>
      <c r="Y1024" s="1">
        <v>1542428.8049000001</v>
      </c>
      <c r="Z1024" t="str">
        <f>VLOOKUP(G1024,'Code Pro'!$A$2:$B$9,2,FALSE)</f>
        <v>จ.สระแก้ว</v>
      </c>
      <c r="AA1024" s="8">
        <f t="shared" si="136"/>
        <v>2128551.7507619997</v>
      </c>
      <c r="AB1024" s="8">
        <f t="shared" si="137"/>
        <v>46272.864147</v>
      </c>
      <c r="AC1024" s="8">
        <f t="shared" si="138"/>
        <v>107970.01634300002</v>
      </c>
      <c r="AD1024" s="8">
        <f t="shared" si="139"/>
        <v>0</v>
      </c>
      <c r="AE1024" s="8">
        <f t="shared" si="140"/>
        <v>30848.576098000001</v>
      </c>
      <c r="AF1024" s="8">
        <f t="shared" si="141"/>
        <v>10503940.161369</v>
      </c>
      <c r="AG1024" s="8">
        <f t="shared" si="142"/>
        <v>34750922.516825803</v>
      </c>
      <c r="AH1024" s="8">
        <f t="shared" si="143"/>
        <v>462728.64147000003</v>
      </c>
      <c r="AI1024" s="8">
        <f t="shared" si="144"/>
        <v>0</v>
      </c>
    </row>
    <row r="1025" spans="1:35" x14ac:dyDescent="0.55000000000000004">
      <c r="A1025" s="1">
        <v>1023</v>
      </c>
      <c r="B1025" s="1" t="s">
        <v>20</v>
      </c>
      <c r="C1025" s="1">
        <v>66</v>
      </c>
      <c r="D1025" s="1">
        <v>7</v>
      </c>
      <c r="E1025" s="1" t="s">
        <v>149</v>
      </c>
      <c r="F1025" s="1" t="s">
        <v>150</v>
      </c>
      <c r="G1025" s="1">
        <v>27</v>
      </c>
      <c r="H1025" s="1">
        <v>2</v>
      </c>
      <c r="I1025" s="1">
        <v>27070000</v>
      </c>
      <c r="J1025" s="1">
        <v>801</v>
      </c>
      <c r="K1025" s="1">
        <v>0</v>
      </c>
      <c r="L1025" s="1">
        <v>13990</v>
      </c>
      <c r="M1025" s="1">
        <v>13.527199</v>
      </c>
      <c r="N1025" s="1">
        <v>101.85438000000001</v>
      </c>
      <c r="O1025" s="1">
        <v>0.01</v>
      </c>
      <c r="P1025" s="1">
        <v>0.32</v>
      </c>
      <c r="Q1025" s="1">
        <v>0.1</v>
      </c>
      <c r="R1025" s="1">
        <v>0.01</v>
      </c>
      <c r="S1025" s="1">
        <v>0</v>
      </c>
      <c r="T1025" s="1">
        <v>9.67</v>
      </c>
      <c r="U1025" s="1">
        <v>20.43</v>
      </c>
      <c r="V1025" s="1">
        <v>0.44</v>
      </c>
      <c r="W1025" s="1">
        <v>0</v>
      </c>
      <c r="X1025" s="1">
        <v>16821.310802</v>
      </c>
      <c r="Y1025" s="1">
        <v>6559767.6622500001</v>
      </c>
      <c r="Z1025" t="str">
        <f>VLOOKUP(G1025,'Code Pro'!$A$2:$B$9,2,FALSE)</f>
        <v>จ.สระแก้ว</v>
      </c>
      <c r="AA1025" s="8">
        <f t="shared" si="136"/>
        <v>65597.676622500003</v>
      </c>
      <c r="AB1025" s="8">
        <f t="shared" si="137"/>
        <v>2099125.6519200001</v>
      </c>
      <c r="AC1025" s="8">
        <f t="shared" si="138"/>
        <v>655976.76622500003</v>
      </c>
      <c r="AD1025" s="8">
        <f t="shared" si="139"/>
        <v>65597.676622500003</v>
      </c>
      <c r="AE1025" s="8">
        <f t="shared" si="140"/>
        <v>0</v>
      </c>
      <c r="AF1025" s="8">
        <f t="shared" si="141"/>
        <v>63432953.293957502</v>
      </c>
      <c r="AG1025" s="8">
        <f t="shared" si="142"/>
        <v>134016053.3397675</v>
      </c>
      <c r="AH1025" s="8">
        <f t="shared" si="143"/>
        <v>2886297.7713899999</v>
      </c>
      <c r="AI1025" s="8">
        <f t="shared" si="144"/>
        <v>0</v>
      </c>
    </row>
    <row r="1026" spans="1:35" x14ac:dyDescent="0.55000000000000004">
      <c r="A1026" s="1">
        <v>1024</v>
      </c>
      <c r="B1026" s="1" t="s">
        <v>20</v>
      </c>
      <c r="C1026" s="1">
        <v>66</v>
      </c>
      <c r="D1026" s="1">
        <v>7</v>
      </c>
      <c r="E1026" s="1" t="s">
        <v>149</v>
      </c>
      <c r="F1026" s="1" t="s">
        <v>150</v>
      </c>
      <c r="G1026" s="1">
        <v>27</v>
      </c>
      <c r="H1026" s="1">
        <v>2</v>
      </c>
      <c r="I1026" s="1">
        <v>27070000</v>
      </c>
      <c r="J1026" s="1">
        <v>985</v>
      </c>
      <c r="K1026" s="1">
        <v>0</v>
      </c>
      <c r="L1026" s="1">
        <v>13871</v>
      </c>
      <c r="M1026" s="1">
        <v>13.446358</v>
      </c>
      <c r="N1026" s="1">
        <v>101.93751</v>
      </c>
      <c r="O1026" s="1">
        <v>1.22</v>
      </c>
      <c r="P1026" s="1">
        <v>0.04</v>
      </c>
      <c r="Q1026" s="1">
        <v>0.22</v>
      </c>
      <c r="R1026" s="1">
        <v>0.02</v>
      </c>
      <c r="S1026" s="1">
        <v>0.19</v>
      </c>
      <c r="T1026" s="1">
        <v>8.06</v>
      </c>
      <c r="U1026" s="1">
        <v>31.709999</v>
      </c>
      <c r="V1026" s="1">
        <v>0</v>
      </c>
      <c r="W1026" s="1">
        <v>0</v>
      </c>
      <c r="X1026" s="1">
        <v>12131.704834</v>
      </c>
      <c r="Y1026" s="1">
        <v>6337582.87378</v>
      </c>
      <c r="Z1026" t="str">
        <f>VLOOKUP(G1026,'Code Pro'!$A$2:$B$9,2,FALSE)</f>
        <v>จ.สระแก้ว</v>
      </c>
      <c r="AA1026" s="8">
        <f t="shared" si="136"/>
        <v>7731851.1060116002</v>
      </c>
      <c r="AB1026" s="8">
        <f t="shared" si="137"/>
        <v>253503.31495120001</v>
      </c>
      <c r="AC1026" s="8">
        <f t="shared" si="138"/>
        <v>1394268.2322316</v>
      </c>
      <c r="AD1026" s="8">
        <f t="shared" si="139"/>
        <v>126751.6574756</v>
      </c>
      <c r="AE1026" s="8">
        <f t="shared" si="140"/>
        <v>1204140.7460181999</v>
      </c>
      <c r="AF1026" s="8">
        <f t="shared" si="141"/>
        <v>51080917.962666802</v>
      </c>
      <c r="AG1026" s="8">
        <f t="shared" si="142"/>
        <v>200964746.58998093</v>
      </c>
      <c r="AH1026" s="8">
        <f t="shared" si="143"/>
        <v>0</v>
      </c>
      <c r="AI1026" s="8">
        <f t="shared" si="144"/>
        <v>0</v>
      </c>
    </row>
    <row r="1027" spans="1:35" x14ac:dyDescent="0.55000000000000004">
      <c r="A1027" s="1">
        <v>1025</v>
      </c>
      <c r="B1027" s="1" t="s">
        <v>20</v>
      </c>
      <c r="C1027" s="1">
        <v>66</v>
      </c>
      <c r="D1027" s="1">
        <v>7</v>
      </c>
      <c r="E1027" s="1" t="s">
        <v>149</v>
      </c>
      <c r="F1027" s="1" t="s">
        <v>150</v>
      </c>
      <c r="G1027" s="1">
        <v>27</v>
      </c>
      <c r="H1027" s="1">
        <v>2</v>
      </c>
      <c r="I1027" s="1">
        <v>27070000</v>
      </c>
      <c r="J1027" s="1">
        <v>1011</v>
      </c>
      <c r="K1027" s="1">
        <v>0</v>
      </c>
      <c r="L1027" s="1">
        <v>13992</v>
      </c>
      <c r="M1027" s="1">
        <v>13.527199</v>
      </c>
      <c r="N1027" s="1">
        <v>102.020645</v>
      </c>
      <c r="O1027" s="1">
        <v>0.1</v>
      </c>
      <c r="P1027" s="1">
        <v>0.43</v>
      </c>
      <c r="Q1027" s="1">
        <v>0.54</v>
      </c>
      <c r="R1027" s="1">
        <v>0.01</v>
      </c>
      <c r="S1027" s="1">
        <v>0.47</v>
      </c>
      <c r="T1027" s="1">
        <v>2.2400000000000002</v>
      </c>
      <c r="U1027" s="1">
        <v>17.700001</v>
      </c>
      <c r="V1027" s="1">
        <v>0</v>
      </c>
      <c r="W1027" s="1">
        <v>0.38</v>
      </c>
      <c r="X1027" s="1">
        <v>21794.376569</v>
      </c>
      <c r="Y1027" s="1">
        <v>11326420.8957</v>
      </c>
      <c r="Z1027" t="str">
        <f>VLOOKUP(G1027,'Code Pro'!$A$2:$B$9,2,FALSE)</f>
        <v>จ.สระแก้ว</v>
      </c>
      <c r="AA1027" s="8">
        <f t="shared" ref="AA1027:AA1069" si="145">+O1027*$Y1027</f>
        <v>1132642.0895700001</v>
      </c>
      <c r="AB1027" s="8">
        <f t="shared" ref="AB1027:AB1069" si="146">+P1027*$Y1027</f>
        <v>4870360.9851510003</v>
      </c>
      <c r="AC1027" s="8">
        <f t="shared" ref="AC1027:AC1069" si="147">+Q1027*$Y1027</f>
        <v>6116267.2836780008</v>
      </c>
      <c r="AD1027" s="8">
        <f t="shared" ref="AD1027:AD1069" si="148">+R1027*$Y1027</f>
        <v>113264.20895700001</v>
      </c>
      <c r="AE1027" s="8">
        <f t="shared" ref="AE1027:AE1069" si="149">+S1027*$Y1027</f>
        <v>5323417.8209790001</v>
      </c>
      <c r="AF1027" s="8">
        <f t="shared" ref="AF1027:AF1069" si="150">+T1027*$Y1027</f>
        <v>25371182.806368005</v>
      </c>
      <c r="AG1027" s="8">
        <f t="shared" ref="AG1027:AG1069" si="151">+U1027*$Y1027</f>
        <v>200477661.1803109</v>
      </c>
      <c r="AH1027" s="8">
        <f t="shared" ref="AH1027:AH1069" si="152">+V1027*$Y1027</f>
        <v>0</v>
      </c>
      <c r="AI1027" s="8">
        <f t="shared" ref="AI1027:AI1069" si="153">+W1027*$Y1027</f>
        <v>4304039.9403659999</v>
      </c>
    </row>
    <row r="1028" spans="1:35" x14ac:dyDescent="0.55000000000000004">
      <c r="A1028" s="1">
        <v>1026</v>
      </c>
      <c r="B1028" s="1" t="s">
        <v>20</v>
      </c>
      <c r="C1028" s="1">
        <v>66</v>
      </c>
      <c r="D1028" s="1">
        <v>7</v>
      </c>
      <c r="E1028" s="1" t="s">
        <v>149</v>
      </c>
      <c r="F1028" s="1" t="s">
        <v>150</v>
      </c>
      <c r="G1028" s="1">
        <v>27</v>
      </c>
      <c r="H1028" s="1">
        <v>2</v>
      </c>
      <c r="I1028" s="1">
        <v>27070000</v>
      </c>
      <c r="J1028" s="1">
        <v>1013</v>
      </c>
      <c r="K1028" s="1">
        <v>0</v>
      </c>
      <c r="L1028" s="1">
        <v>14112</v>
      </c>
      <c r="M1028" s="1">
        <v>13.608017</v>
      </c>
      <c r="N1028" s="1">
        <v>102.020645</v>
      </c>
      <c r="O1028" s="1">
        <v>0.1</v>
      </c>
      <c r="P1028" s="1">
        <v>0.33</v>
      </c>
      <c r="Q1028" s="1">
        <v>0.03</v>
      </c>
      <c r="R1028" s="1">
        <v>1.47</v>
      </c>
      <c r="S1028" s="1">
        <v>0.36</v>
      </c>
      <c r="T1028" s="1">
        <v>20.299999</v>
      </c>
      <c r="U1028" s="1">
        <v>22.91</v>
      </c>
      <c r="V1028" s="1">
        <v>2.8</v>
      </c>
      <c r="W1028" s="1">
        <v>0</v>
      </c>
      <c r="X1028" s="1">
        <v>36745.404048999997</v>
      </c>
      <c r="Y1028" s="1">
        <v>79463104.091900006</v>
      </c>
      <c r="Z1028" t="str">
        <f>VLOOKUP(G1028,'Code Pro'!$A$2:$B$9,2,FALSE)</f>
        <v>จ.สระแก้ว</v>
      </c>
      <c r="AA1028" s="8">
        <f t="shared" si="145"/>
        <v>7946310.409190001</v>
      </c>
      <c r="AB1028" s="8">
        <f t="shared" si="146"/>
        <v>26222824.350327004</v>
      </c>
      <c r="AC1028" s="8">
        <f t="shared" si="147"/>
        <v>2383893.1227569999</v>
      </c>
      <c r="AD1028" s="8">
        <f t="shared" si="148"/>
        <v>116810763.01509301</v>
      </c>
      <c r="AE1028" s="8">
        <f t="shared" si="149"/>
        <v>28606717.473084003</v>
      </c>
      <c r="AF1028" s="8">
        <f t="shared" si="150"/>
        <v>1613100933.6024661</v>
      </c>
      <c r="AG1028" s="8">
        <f t="shared" si="151"/>
        <v>1820499714.745429</v>
      </c>
      <c r="AH1028" s="8">
        <f t="shared" si="152"/>
        <v>222496691.45732</v>
      </c>
      <c r="AI1028" s="8">
        <f t="shared" si="153"/>
        <v>0</v>
      </c>
    </row>
    <row r="1029" spans="1:35" x14ac:dyDescent="0.55000000000000004">
      <c r="A1029" s="1">
        <v>1027</v>
      </c>
      <c r="B1029" s="1" t="s">
        <v>20</v>
      </c>
      <c r="C1029" s="1">
        <v>66</v>
      </c>
      <c r="D1029" s="1">
        <v>7</v>
      </c>
      <c r="E1029" s="1" t="s">
        <v>149</v>
      </c>
      <c r="F1029" s="1" t="s">
        <v>150</v>
      </c>
      <c r="G1029" s="1">
        <v>27</v>
      </c>
      <c r="H1029" s="1">
        <v>2</v>
      </c>
      <c r="I1029" s="1">
        <v>27070000</v>
      </c>
      <c r="J1029" s="1">
        <v>1014</v>
      </c>
      <c r="K1029" s="1">
        <v>0</v>
      </c>
      <c r="L1029" s="1">
        <v>14111</v>
      </c>
      <c r="M1029" s="1">
        <v>13.608017</v>
      </c>
      <c r="N1029" s="1">
        <v>101.93751</v>
      </c>
      <c r="O1029" s="1">
        <v>0.09</v>
      </c>
      <c r="P1029" s="1">
        <v>8.0399999999999991</v>
      </c>
      <c r="Q1029" s="1">
        <v>0.25</v>
      </c>
      <c r="R1029" s="1">
        <v>7.0000000000000007E-2</v>
      </c>
      <c r="S1029" s="1">
        <v>0.28000000000000003</v>
      </c>
      <c r="T1029" s="1">
        <v>7.13</v>
      </c>
      <c r="U1029" s="1">
        <v>39.360000999999997</v>
      </c>
      <c r="V1029" s="1">
        <v>0.01</v>
      </c>
      <c r="W1029" s="1">
        <v>0</v>
      </c>
      <c r="X1029" s="1">
        <v>33992.761749999998</v>
      </c>
      <c r="Y1029" s="1">
        <v>53157952.827200003</v>
      </c>
      <c r="Z1029" t="str">
        <f>VLOOKUP(G1029,'Code Pro'!$A$2:$B$9,2,FALSE)</f>
        <v>จ.สระแก้ว</v>
      </c>
      <c r="AA1029" s="8">
        <f t="shared" si="145"/>
        <v>4784215.7544480003</v>
      </c>
      <c r="AB1029" s="8">
        <f t="shared" si="146"/>
        <v>427389940.73068798</v>
      </c>
      <c r="AC1029" s="8">
        <f t="shared" si="147"/>
        <v>13289488.206800001</v>
      </c>
      <c r="AD1029" s="8">
        <f t="shared" si="148"/>
        <v>3721056.6979040005</v>
      </c>
      <c r="AE1029" s="8">
        <f t="shared" si="149"/>
        <v>14884226.791616002</v>
      </c>
      <c r="AF1029" s="8">
        <f t="shared" si="150"/>
        <v>379016203.65793604</v>
      </c>
      <c r="AG1029" s="8">
        <f t="shared" si="151"/>
        <v>2092297076.4365449</v>
      </c>
      <c r="AH1029" s="8">
        <f t="shared" si="152"/>
        <v>531579.52827200003</v>
      </c>
      <c r="AI1029" s="8">
        <f t="shared" si="153"/>
        <v>0</v>
      </c>
    </row>
    <row r="1030" spans="1:35" x14ac:dyDescent="0.55000000000000004">
      <c r="A1030" s="1">
        <v>1028</v>
      </c>
      <c r="B1030" s="1" t="s">
        <v>20</v>
      </c>
      <c r="C1030" s="1">
        <v>66</v>
      </c>
      <c r="D1030" s="1">
        <v>7</v>
      </c>
      <c r="E1030" s="1" t="s">
        <v>149</v>
      </c>
      <c r="F1030" s="1" t="s">
        <v>150</v>
      </c>
      <c r="G1030" s="1">
        <v>27</v>
      </c>
      <c r="H1030" s="1">
        <v>2</v>
      </c>
      <c r="I1030" s="1">
        <v>27070000</v>
      </c>
      <c r="J1030" s="1">
        <v>1015</v>
      </c>
      <c r="K1030" s="1">
        <v>0</v>
      </c>
      <c r="L1030" s="1">
        <v>14232</v>
      </c>
      <c r="M1030" s="1">
        <v>13.688805</v>
      </c>
      <c r="N1030" s="1">
        <v>102.020645</v>
      </c>
      <c r="O1030" s="1">
        <v>3.21</v>
      </c>
      <c r="P1030" s="1">
        <v>1.53</v>
      </c>
      <c r="Q1030" s="1">
        <v>0.02</v>
      </c>
      <c r="R1030" s="1">
        <v>3.89</v>
      </c>
      <c r="S1030" s="1">
        <v>0.03</v>
      </c>
      <c r="T1030" s="1">
        <v>36.689999</v>
      </c>
      <c r="U1030" s="1">
        <v>13.03</v>
      </c>
      <c r="V1030" s="1">
        <v>0</v>
      </c>
      <c r="W1030" s="1">
        <v>0</v>
      </c>
      <c r="X1030" s="1">
        <v>37325.191841</v>
      </c>
      <c r="Y1030" s="1">
        <v>62148244.397600003</v>
      </c>
      <c r="Z1030" t="str">
        <f>VLOOKUP(G1030,'Code Pro'!$A$2:$B$9,2,FALSE)</f>
        <v>จ.สระแก้ว</v>
      </c>
      <c r="AA1030" s="8">
        <f t="shared" si="145"/>
        <v>199495864.516296</v>
      </c>
      <c r="AB1030" s="8">
        <f t="shared" si="146"/>
        <v>95086813.928328007</v>
      </c>
      <c r="AC1030" s="8">
        <f t="shared" si="147"/>
        <v>1242964.8879520001</v>
      </c>
      <c r="AD1030" s="8">
        <f t="shared" si="148"/>
        <v>241756670.70666403</v>
      </c>
      <c r="AE1030" s="8">
        <f t="shared" si="149"/>
        <v>1864447.3319280001</v>
      </c>
      <c r="AF1030" s="8">
        <f t="shared" si="150"/>
        <v>2280219024.7996998</v>
      </c>
      <c r="AG1030" s="8">
        <f t="shared" si="151"/>
        <v>809791624.50072801</v>
      </c>
      <c r="AH1030" s="8">
        <f t="shared" si="152"/>
        <v>0</v>
      </c>
      <c r="AI1030" s="8">
        <f t="shared" si="153"/>
        <v>0</v>
      </c>
    </row>
    <row r="1031" spans="1:35" x14ac:dyDescent="0.55000000000000004">
      <c r="A1031" s="1">
        <v>1029</v>
      </c>
      <c r="B1031" s="1" t="s">
        <v>20</v>
      </c>
      <c r="C1031" s="1">
        <v>66</v>
      </c>
      <c r="D1031" s="1">
        <v>7</v>
      </c>
      <c r="E1031" s="1" t="s">
        <v>149</v>
      </c>
      <c r="F1031" s="1" t="s">
        <v>150</v>
      </c>
      <c r="G1031" s="1">
        <v>27</v>
      </c>
      <c r="H1031" s="1">
        <v>2</v>
      </c>
      <c r="I1031" s="1">
        <v>27070000</v>
      </c>
      <c r="J1031" s="1">
        <v>1016</v>
      </c>
      <c r="K1031" s="1">
        <v>0</v>
      </c>
      <c r="L1031" s="1">
        <v>13991</v>
      </c>
      <c r="M1031" s="1">
        <v>13.527199</v>
      </c>
      <c r="N1031" s="1">
        <v>101.93751</v>
      </c>
      <c r="O1031" s="1">
        <v>0.01</v>
      </c>
      <c r="P1031" s="1">
        <v>0</v>
      </c>
      <c r="Q1031" s="1">
        <v>0.02</v>
      </c>
      <c r="R1031" s="1">
        <v>0.12</v>
      </c>
      <c r="S1031" s="1">
        <v>0.01</v>
      </c>
      <c r="T1031" s="1">
        <v>7.56</v>
      </c>
      <c r="U1031" s="1">
        <v>13.65</v>
      </c>
      <c r="V1031" s="1">
        <v>0</v>
      </c>
      <c r="W1031" s="1">
        <v>0.02</v>
      </c>
      <c r="X1031" s="1">
        <v>34109.069691999997</v>
      </c>
      <c r="Y1031" s="1">
        <v>69216366.239399999</v>
      </c>
      <c r="Z1031" t="str">
        <f>VLOOKUP(G1031,'Code Pro'!$A$2:$B$9,2,FALSE)</f>
        <v>จ.สระแก้ว</v>
      </c>
      <c r="AA1031" s="8">
        <f t="shared" si="145"/>
        <v>692163.66239399998</v>
      </c>
      <c r="AB1031" s="8">
        <f t="shared" si="146"/>
        <v>0</v>
      </c>
      <c r="AC1031" s="8">
        <f t="shared" si="147"/>
        <v>1384327.324788</v>
      </c>
      <c r="AD1031" s="8">
        <f t="shared" si="148"/>
        <v>8305963.9487279998</v>
      </c>
      <c r="AE1031" s="8">
        <f t="shared" si="149"/>
        <v>692163.66239399998</v>
      </c>
      <c r="AF1031" s="8">
        <f t="shared" si="150"/>
        <v>523275728.76986396</v>
      </c>
      <c r="AG1031" s="8">
        <f t="shared" si="151"/>
        <v>944803399.16780996</v>
      </c>
      <c r="AH1031" s="8">
        <f t="shared" si="152"/>
        <v>0</v>
      </c>
      <c r="AI1031" s="8">
        <f t="shared" si="153"/>
        <v>1384327.324788</v>
      </c>
    </row>
    <row r="1032" spans="1:35" x14ac:dyDescent="0.55000000000000004">
      <c r="A1032" s="1">
        <v>1030</v>
      </c>
      <c r="B1032" s="1" t="s">
        <v>20</v>
      </c>
      <c r="C1032" s="1">
        <v>66</v>
      </c>
      <c r="D1032" s="1">
        <v>7</v>
      </c>
      <c r="E1032" s="1" t="s">
        <v>149</v>
      </c>
      <c r="F1032" s="1" t="s">
        <v>150</v>
      </c>
      <c r="G1032" s="1">
        <v>27</v>
      </c>
      <c r="H1032" s="1">
        <v>2</v>
      </c>
      <c r="I1032" s="1">
        <v>27070000</v>
      </c>
      <c r="J1032" s="1">
        <v>1019</v>
      </c>
      <c r="K1032" s="1">
        <v>0</v>
      </c>
      <c r="L1032" s="1">
        <v>14113</v>
      </c>
      <c r="M1032" s="1">
        <v>13.608017</v>
      </c>
      <c r="N1032" s="1">
        <v>102.10378</v>
      </c>
      <c r="O1032" s="1">
        <v>0.08</v>
      </c>
      <c r="P1032" s="1">
        <v>1.46</v>
      </c>
      <c r="Q1032" s="1">
        <v>0.3</v>
      </c>
      <c r="R1032" s="1">
        <v>0.93</v>
      </c>
      <c r="S1032" s="1">
        <v>0.04</v>
      </c>
      <c r="T1032" s="1">
        <v>8.18</v>
      </c>
      <c r="U1032" s="1">
        <v>12.27</v>
      </c>
      <c r="V1032" s="1">
        <v>1.4</v>
      </c>
      <c r="W1032" s="1">
        <v>0.03</v>
      </c>
      <c r="X1032" s="1">
        <v>38301.445239000001</v>
      </c>
      <c r="Y1032" s="1">
        <v>25977960.373599999</v>
      </c>
      <c r="Z1032" t="str">
        <f>VLOOKUP(G1032,'Code Pro'!$A$2:$B$9,2,FALSE)</f>
        <v>จ.สระแก้ว</v>
      </c>
      <c r="AA1032" s="8">
        <f t="shared" si="145"/>
        <v>2078236.8298879999</v>
      </c>
      <c r="AB1032" s="8">
        <f t="shared" si="146"/>
        <v>37927822.145455994</v>
      </c>
      <c r="AC1032" s="8">
        <f t="shared" si="147"/>
        <v>7793388.1120799994</v>
      </c>
      <c r="AD1032" s="8">
        <f t="shared" si="148"/>
        <v>24159503.147448</v>
      </c>
      <c r="AE1032" s="8">
        <f t="shared" si="149"/>
        <v>1039118.414944</v>
      </c>
      <c r="AF1032" s="8">
        <f t="shared" si="150"/>
        <v>212499715.85604799</v>
      </c>
      <c r="AG1032" s="8">
        <f t="shared" si="151"/>
        <v>318749573.78407198</v>
      </c>
      <c r="AH1032" s="8">
        <f t="shared" si="152"/>
        <v>36369144.523039997</v>
      </c>
      <c r="AI1032" s="8">
        <f t="shared" si="153"/>
        <v>779338.81120799994</v>
      </c>
    </row>
    <row r="1033" spans="1:35" x14ac:dyDescent="0.55000000000000004">
      <c r="A1033" s="1">
        <v>1031</v>
      </c>
      <c r="B1033" s="1" t="s">
        <v>20</v>
      </c>
      <c r="C1033" s="1">
        <v>66</v>
      </c>
      <c r="D1033" s="1">
        <v>7</v>
      </c>
      <c r="E1033" s="1" t="s">
        <v>149</v>
      </c>
      <c r="F1033" s="1" t="s">
        <v>150</v>
      </c>
      <c r="G1033" s="1">
        <v>27</v>
      </c>
      <c r="H1033" s="1">
        <v>2</v>
      </c>
      <c r="I1033" s="1">
        <v>27070000</v>
      </c>
      <c r="J1033" s="1">
        <v>1020</v>
      </c>
      <c r="K1033" s="1">
        <v>0</v>
      </c>
      <c r="L1033" s="1">
        <v>14234</v>
      </c>
      <c r="M1033" s="1">
        <v>13.688805</v>
      </c>
      <c r="N1033" s="1">
        <v>102.18692</v>
      </c>
      <c r="O1033" s="1">
        <v>0.06</v>
      </c>
      <c r="P1033" s="1">
        <v>7.0000000000000007E-2</v>
      </c>
      <c r="Q1033" s="1">
        <v>0.45</v>
      </c>
      <c r="R1033" s="1">
        <v>1.38</v>
      </c>
      <c r="S1033" s="1">
        <v>0.04</v>
      </c>
      <c r="T1033" s="1">
        <v>4.1500000000000004</v>
      </c>
      <c r="U1033" s="1">
        <v>14.32</v>
      </c>
      <c r="V1033" s="1">
        <v>0</v>
      </c>
      <c r="W1033" s="1">
        <v>0</v>
      </c>
      <c r="X1033" s="1">
        <v>27638.443034</v>
      </c>
      <c r="Y1033" s="1">
        <v>14527004.419600001</v>
      </c>
      <c r="Z1033" t="str">
        <f>VLOOKUP(G1033,'Code Pro'!$A$2:$B$9,2,FALSE)</f>
        <v>จ.สระแก้ว</v>
      </c>
      <c r="AA1033" s="8">
        <f t="shared" si="145"/>
        <v>871620.26517599996</v>
      </c>
      <c r="AB1033" s="8">
        <f t="shared" si="146"/>
        <v>1016890.3093720002</v>
      </c>
      <c r="AC1033" s="8">
        <f t="shared" si="147"/>
        <v>6537151.9888200006</v>
      </c>
      <c r="AD1033" s="8">
        <f t="shared" si="148"/>
        <v>20047266.099048</v>
      </c>
      <c r="AE1033" s="8">
        <f t="shared" si="149"/>
        <v>581080.17678400001</v>
      </c>
      <c r="AF1033" s="8">
        <f t="shared" si="150"/>
        <v>60287068.341340005</v>
      </c>
      <c r="AG1033" s="8">
        <f t="shared" si="151"/>
        <v>208026703.288672</v>
      </c>
      <c r="AH1033" s="8">
        <f t="shared" si="152"/>
        <v>0</v>
      </c>
      <c r="AI1033" s="8">
        <f t="shared" si="153"/>
        <v>0</v>
      </c>
    </row>
    <row r="1034" spans="1:35" x14ac:dyDescent="0.55000000000000004">
      <c r="A1034" s="1">
        <v>1032</v>
      </c>
      <c r="B1034" s="1" t="s">
        <v>20</v>
      </c>
      <c r="C1034" s="1">
        <v>66</v>
      </c>
      <c r="D1034" s="1">
        <v>7</v>
      </c>
      <c r="E1034" s="1" t="s">
        <v>149</v>
      </c>
      <c r="F1034" s="1" t="s">
        <v>150</v>
      </c>
      <c r="G1034" s="1">
        <v>27</v>
      </c>
      <c r="H1034" s="1">
        <v>2</v>
      </c>
      <c r="I1034" s="1">
        <v>27070000</v>
      </c>
      <c r="J1034" s="1">
        <v>1021</v>
      </c>
      <c r="K1034" s="1">
        <v>0</v>
      </c>
      <c r="L1034" s="1">
        <v>14233</v>
      </c>
      <c r="M1034" s="1">
        <v>13.688805</v>
      </c>
      <c r="N1034" s="1">
        <v>102.10378</v>
      </c>
      <c r="O1034" s="1">
        <v>2.66</v>
      </c>
      <c r="P1034" s="1">
        <v>0.09</v>
      </c>
      <c r="Q1034" s="1">
        <v>7.0000000000000007E-2</v>
      </c>
      <c r="R1034" s="1">
        <v>4.74</v>
      </c>
      <c r="S1034" s="1">
        <v>0.08</v>
      </c>
      <c r="T1034" s="1">
        <v>17.200001</v>
      </c>
      <c r="U1034" s="1">
        <v>8.41</v>
      </c>
      <c r="V1034" s="1">
        <v>0</v>
      </c>
      <c r="W1034" s="1">
        <v>0</v>
      </c>
      <c r="X1034" s="1">
        <v>35418.109817999997</v>
      </c>
      <c r="Y1034" s="1">
        <v>74721819.364299998</v>
      </c>
      <c r="Z1034" t="str">
        <f>VLOOKUP(G1034,'Code Pro'!$A$2:$B$9,2,FALSE)</f>
        <v>จ.สระแก้ว</v>
      </c>
      <c r="AA1034" s="8">
        <f t="shared" si="145"/>
        <v>198760039.509038</v>
      </c>
      <c r="AB1034" s="8">
        <f t="shared" si="146"/>
        <v>6724963.7427869998</v>
      </c>
      <c r="AC1034" s="8">
        <f t="shared" si="147"/>
        <v>5230527.3555010008</v>
      </c>
      <c r="AD1034" s="8">
        <f t="shared" si="148"/>
        <v>354181423.78678203</v>
      </c>
      <c r="AE1034" s="8">
        <f t="shared" si="149"/>
        <v>5977745.5491439998</v>
      </c>
      <c r="AF1034" s="8">
        <f t="shared" si="150"/>
        <v>1285215367.7877793</v>
      </c>
      <c r="AG1034" s="8">
        <f t="shared" si="151"/>
        <v>628410500.85376298</v>
      </c>
      <c r="AH1034" s="8">
        <f t="shared" si="152"/>
        <v>0</v>
      </c>
      <c r="AI1034" s="8">
        <f t="shared" si="153"/>
        <v>0</v>
      </c>
    </row>
    <row r="1035" spans="1:35" x14ac:dyDescent="0.55000000000000004">
      <c r="A1035" s="1">
        <v>1033</v>
      </c>
      <c r="B1035" s="1" t="s">
        <v>20</v>
      </c>
      <c r="C1035" s="1">
        <v>66</v>
      </c>
      <c r="D1035" s="1">
        <v>7</v>
      </c>
      <c r="E1035" s="1" t="s">
        <v>149</v>
      </c>
      <c r="F1035" s="1" t="s">
        <v>150</v>
      </c>
      <c r="G1035" s="1">
        <v>27</v>
      </c>
      <c r="H1035" s="1">
        <v>2</v>
      </c>
      <c r="I1035" s="1">
        <v>27070000</v>
      </c>
      <c r="J1035" s="1">
        <v>1022</v>
      </c>
      <c r="K1035" s="1">
        <v>0</v>
      </c>
      <c r="L1035" s="1">
        <v>14114</v>
      </c>
      <c r="M1035" s="1">
        <v>13.608017</v>
      </c>
      <c r="N1035" s="1">
        <v>102.18692</v>
      </c>
      <c r="O1035" s="1">
        <v>0.21</v>
      </c>
      <c r="P1035" s="1">
        <v>3.37</v>
      </c>
      <c r="Q1035" s="1">
        <v>0.45</v>
      </c>
      <c r="R1035" s="1">
        <v>0.5</v>
      </c>
      <c r="S1035" s="1">
        <v>0</v>
      </c>
      <c r="T1035" s="1">
        <v>5.94</v>
      </c>
      <c r="U1035" s="1">
        <v>6.45</v>
      </c>
      <c r="V1035" s="1">
        <v>0</v>
      </c>
      <c r="W1035" s="1">
        <v>0.11</v>
      </c>
      <c r="X1035" s="1">
        <v>22497.508439000001</v>
      </c>
      <c r="Y1035" s="1">
        <v>20107270.939100001</v>
      </c>
      <c r="Z1035" t="str">
        <f>VLOOKUP(G1035,'Code Pro'!$A$2:$B$9,2,FALSE)</f>
        <v>จ.สระแก้ว</v>
      </c>
      <c r="AA1035" s="8">
        <f t="shared" si="145"/>
        <v>4222526.8972110003</v>
      </c>
      <c r="AB1035" s="8">
        <f t="shared" si="146"/>
        <v>67761503.064767003</v>
      </c>
      <c r="AC1035" s="8">
        <f t="shared" si="147"/>
        <v>9048271.9225949999</v>
      </c>
      <c r="AD1035" s="8">
        <f t="shared" si="148"/>
        <v>10053635.469550001</v>
      </c>
      <c r="AE1035" s="8">
        <f t="shared" si="149"/>
        <v>0</v>
      </c>
      <c r="AF1035" s="8">
        <f t="shared" si="150"/>
        <v>119437189.37825401</v>
      </c>
      <c r="AG1035" s="8">
        <f t="shared" si="151"/>
        <v>129691897.55719501</v>
      </c>
      <c r="AH1035" s="8">
        <f t="shared" si="152"/>
        <v>0</v>
      </c>
      <c r="AI1035" s="8">
        <f t="shared" si="153"/>
        <v>2211799.803301</v>
      </c>
    </row>
    <row r="1036" spans="1:35" x14ac:dyDescent="0.55000000000000004">
      <c r="A1036" s="1">
        <v>1034</v>
      </c>
      <c r="B1036" s="1" t="s">
        <v>20</v>
      </c>
      <c r="C1036" s="1">
        <v>66</v>
      </c>
      <c r="D1036" s="1">
        <v>7</v>
      </c>
      <c r="E1036" s="1" t="s">
        <v>149</v>
      </c>
      <c r="F1036" s="1" t="s">
        <v>150</v>
      </c>
      <c r="G1036" s="1">
        <v>27</v>
      </c>
      <c r="H1036" s="1">
        <v>2</v>
      </c>
      <c r="I1036" s="1">
        <v>27070000</v>
      </c>
      <c r="J1036" s="1">
        <v>1023</v>
      </c>
      <c r="K1036" s="1">
        <v>0</v>
      </c>
      <c r="L1036" s="1">
        <v>14231</v>
      </c>
      <c r="M1036" s="1">
        <v>13.688805</v>
      </c>
      <c r="N1036" s="1">
        <v>101.93751</v>
      </c>
      <c r="O1036" s="1">
        <v>0.18</v>
      </c>
      <c r="P1036" s="1">
        <v>26.549999</v>
      </c>
      <c r="Q1036" s="1">
        <v>1.17</v>
      </c>
      <c r="R1036" s="1">
        <v>6.13</v>
      </c>
      <c r="S1036" s="1">
        <v>0.02</v>
      </c>
      <c r="T1036" s="1">
        <v>36.470001000000003</v>
      </c>
      <c r="U1036" s="1">
        <v>22.959999</v>
      </c>
      <c r="V1036" s="1">
        <v>0</v>
      </c>
      <c r="W1036" s="1">
        <v>0</v>
      </c>
      <c r="X1036" s="1">
        <v>17339.597206999999</v>
      </c>
      <c r="Y1036" s="1">
        <v>15508958.4932</v>
      </c>
      <c r="Z1036" t="str">
        <f>VLOOKUP(G1036,'Code Pro'!$A$2:$B$9,2,FALSE)</f>
        <v>จ.สระแก้ว</v>
      </c>
      <c r="AA1036" s="8">
        <f t="shared" si="145"/>
        <v>2791612.5287759998</v>
      </c>
      <c r="AB1036" s="8">
        <f t="shared" si="146"/>
        <v>411762832.48550153</v>
      </c>
      <c r="AC1036" s="8">
        <f t="shared" si="147"/>
        <v>18145481.437043998</v>
      </c>
      <c r="AD1036" s="8">
        <f t="shared" si="148"/>
        <v>95069915.563316002</v>
      </c>
      <c r="AE1036" s="8">
        <f t="shared" si="149"/>
        <v>310179.169864</v>
      </c>
      <c r="AF1036" s="8">
        <f t="shared" si="150"/>
        <v>565611731.75596261</v>
      </c>
      <c r="AG1036" s="8">
        <f t="shared" si="151"/>
        <v>356085671.49491352</v>
      </c>
      <c r="AH1036" s="8">
        <f t="shared" si="152"/>
        <v>0</v>
      </c>
      <c r="AI1036" s="8">
        <f t="shared" si="153"/>
        <v>0</v>
      </c>
    </row>
    <row r="1037" spans="1:35" x14ac:dyDescent="0.55000000000000004">
      <c r="A1037" s="1">
        <v>1035</v>
      </c>
      <c r="B1037" s="1" t="s">
        <v>20</v>
      </c>
      <c r="C1037" s="1">
        <v>66</v>
      </c>
      <c r="D1037" s="1">
        <v>7</v>
      </c>
      <c r="E1037" s="1" t="s">
        <v>149</v>
      </c>
      <c r="F1037" s="1" t="s">
        <v>150</v>
      </c>
      <c r="G1037" s="1">
        <v>27</v>
      </c>
      <c r="H1037" s="1">
        <v>2</v>
      </c>
      <c r="I1037" s="1">
        <v>27070000</v>
      </c>
      <c r="J1037" s="1">
        <v>1024</v>
      </c>
      <c r="K1037" s="1">
        <v>0</v>
      </c>
      <c r="L1037" s="1">
        <v>14352</v>
      </c>
      <c r="M1037" s="1">
        <v>13.769569000000001</v>
      </c>
      <c r="N1037" s="1">
        <v>102.020645</v>
      </c>
      <c r="O1037" s="1">
        <v>0.32</v>
      </c>
      <c r="P1037" s="1">
        <v>0.74</v>
      </c>
      <c r="Q1037" s="1">
        <v>0</v>
      </c>
      <c r="R1037" s="1">
        <v>0.46</v>
      </c>
      <c r="S1037" s="1">
        <v>0</v>
      </c>
      <c r="T1037" s="1">
        <v>2.42</v>
      </c>
      <c r="U1037" s="1">
        <v>10.09</v>
      </c>
      <c r="V1037" s="1">
        <v>0</v>
      </c>
      <c r="W1037" s="1">
        <v>0</v>
      </c>
      <c r="X1037" s="1">
        <v>8679.3143959999998</v>
      </c>
      <c r="Y1037" s="1">
        <v>4421371.5647499999</v>
      </c>
      <c r="Z1037" t="str">
        <f>VLOOKUP(G1037,'Code Pro'!$A$2:$B$9,2,FALSE)</f>
        <v>จ.สระแก้ว</v>
      </c>
      <c r="AA1037" s="8">
        <f t="shared" si="145"/>
        <v>1414838.90072</v>
      </c>
      <c r="AB1037" s="8">
        <f t="shared" si="146"/>
        <v>3271814.9579149997</v>
      </c>
      <c r="AC1037" s="8">
        <f t="shared" si="147"/>
        <v>0</v>
      </c>
      <c r="AD1037" s="8">
        <f t="shared" si="148"/>
        <v>2033830.9197850002</v>
      </c>
      <c r="AE1037" s="8">
        <f t="shared" si="149"/>
        <v>0</v>
      </c>
      <c r="AF1037" s="8">
        <f t="shared" si="150"/>
        <v>10699719.186695</v>
      </c>
      <c r="AG1037" s="8">
        <f t="shared" si="151"/>
        <v>44611639.088327497</v>
      </c>
      <c r="AH1037" s="8">
        <f t="shared" si="152"/>
        <v>0</v>
      </c>
      <c r="AI1037" s="8">
        <f t="shared" si="153"/>
        <v>0</v>
      </c>
    </row>
    <row r="1038" spans="1:35" x14ac:dyDescent="0.55000000000000004">
      <c r="A1038" s="1">
        <v>1036</v>
      </c>
      <c r="B1038" s="1" t="s">
        <v>20</v>
      </c>
      <c r="C1038" s="1">
        <v>66</v>
      </c>
      <c r="D1038" s="1">
        <v>7</v>
      </c>
      <c r="E1038" s="1" t="s">
        <v>149</v>
      </c>
      <c r="F1038" s="1" t="s">
        <v>150</v>
      </c>
      <c r="G1038" s="1">
        <v>27</v>
      </c>
      <c r="H1038" s="1">
        <v>2</v>
      </c>
      <c r="I1038" s="1">
        <v>27070000</v>
      </c>
      <c r="J1038" s="1">
        <v>1030</v>
      </c>
      <c r="K1038" s="1">
        <v>0</v>
      </c>
      <c r="L1038" s="1">
        <v>14353</v>
      </c>
      <c r="M1038" s="1">
        <v>13.769569000000001</v>
      </c>
      <c r="N1038" s="1">
        <v>102.10378</v>
      </c>
      <c r="O1038" s="1">
        <v>3.34</v>
      </c>
      <c r="P1038" s="1">
        <v>6.91</v>
      </c>
      <c r="Q1038" s="1">
        <v>7.0000000000000007E-2</v>
      </c>
      <c r="R1038" s="1">
        <v>2.14</v>
      </c>
      <c r="S1038" s="1">
        <v>0.38</v>
      </c>
      <c r="T1038" s="1">
        <v>2.95</v>
      </c>
      <c r="U1038" s="1">
        <v>4.99</v>
      </c>
      <c r="V1038" s="1">
        <v>0</v>
      </c>
      <c r="W1038" s="1">
        <v>0.01</v>
      </c>
      <c r="X1038" s="1">
        <v>25668.969698000001</v>
      </c>
      <c r="Y1038" s="1">
        <v>17658330.993299998</v>
      </c>
      <c r="Z1038" t="str">
        <f>VLOOKUP(G1038,'Code Pro'!$A$2:$B$9,2,FALSE)</f>
        <v>จ.สระแก้ว</v>
      </c>
      <c r="AA1038" s="8">
        <f t="shared" si="145"/>
        <v>58978825.517621994</v>
      </c>
      <c r="AB1038" s="8">
        <f t="shared" si="146"/>
        <v>122019067.16370299</v>
      </c>
      <c r="AC1038" s="8">
        <f t="shared" si="147"/>
        <v>1236083.1695310001</v>
      </c>
      <c r="AD1038" s="8">
        <f t="shared" si="148"/>
        <v>37788828.325662002</v>
      </c>
      <c r="AE1038" s="8">
        <f t="shared" si="149"/>
        <v>6710165.777453999</v>
      </c>
      <c r="AF1038" s="8">
        <f t="shared" si="150"/>
        <v>52092076.430234998</v>
      </c>
      <c r="AG1038" s="8">
        <f t="shared" si="151"/>
        <v>88115071.656566992</v>
      </c>
      <c r="AH1038" s="8">
        <f t="shared" si="152"/>
        <v>0</v>
      </c>
      <c r="AI1038" s="8">
        <f t="shared" si="153"/>
        <v>176583.30993299998</v>
      </c>
    </row>
    <row r="1039" spans="1:35" x14ac:dyDescent="0.55000000000000004">
      <c r="A1039" s="1">
        <v>1037</v>
      </c>
      <c r="B1039" s="1" t="s">
        <v>20</v>
      </c>
      <c r="C1039" s="1">
        <v>67</v>
      </c>
      <c r="D1039" s="1">
        <v>8</v>
      </c>
      <c r="E1039" s="1" t="s">
        <v>151</v>
      </c>
      <c r="F1039" s="1" t="s">
        <v>152</v>
      </c>
      <c r="G1039" s="1">
        <v>27</v>
      </c>
      <c r="H1039" s="1">
        <v>2</v>
      </c>
      <c r="I1039" s="1">
        <v>27080000</v>
      </c>
      <c r="J1039" s="1">
        <v>1054</v>
      </c>
      <c r="K1039" s="1">
        <v>0</v>
      </c>
      <c r="L1039" s="1">
        <v>14479</v>
      </c>
      <c r="M1039" s="1">
        <v>13.850304</v>
      </c>
      <c r="N1039" s="1">
        <v>102.6026</v>
      </c>
      <c r="O1039" s="1">
        <v>0</v>
      </c>
      <c r="P1039" s="1">
        <v>0.02</v>
      </c>
      <c r="Q1039" s="1">
        <v>0.11</v>
      </c>
      <c r="R1039" s="1">
        <v>0</v>
      </c>
      <c r="S1039" s="1">
        <v>3.72</v>
      </c>
      <c r="T1039" s="1">
        <v>10.82</v>
      </c>
      <c r="U1039" s="1">
        <v>0.05</v>
      </c>
      <c r="V1039" s="1">
        <v>0</v>
      </c>
      <c r="W1039" s="1">
        <v>0</v>
      </c>
      <c r="X1039" s="1">
        <v>34520.207857000001</v>
      </c>
      <c r="Y1039" s="1">
        <v>77651899.114099994</v>
      </c>
      <c r="Z1039" t="str">
        <f>VLOOKUP(G1039,'Code Pro'!$A$2:$B$9,2,FALSE)</f>
        <v>จ.สระแก้ว</v>
      </c>
      <c r="AA1039" s="8">
        <f t="shared" si="145"/>
        <v>0</v>
      </c>
      <c r="AB1039" s="8">
        <f t="shared" si="146"/>
        <v>1553037.9822819999</v>
      </c>
      <c r="AC1039" s="8">
        <f t="shared" si="147"/>
        <v>8541708.9025509991</v>
      </c>
      <c r="AD1039" s="8">
        <f t="shared" si="148"/>
        <v>0</v>
      </c>
      <c r="AE1039" s="8">
        <f t="shared" si="149"/>
        <v>288865064.70445198</v>
      </c>
      <c r="AF1039" s="8">
        <f t="shared" si="150"/>
        <v>840193548.41456199</v>
      </c>
      <c r="AG1039" s="8">
        <f t="shared" si="151"/>
        <v>3882594.9557050001</v>
      </c>
      <c r="AH1039" s="8">
        <f t="shared" si="152"/>
        <v>0</v>
      </c>
      <c r="AI1039" s="8">
        <f t="shared" si="153"/>
        <v>0</v>
      </c>
    </row>
    <row r="1040" spans="1:35" x14ac:dyDescent="0.55000000000000004">
      <c r="A1040" s="1">
        <v>1038</v>
      </c>
      <c r="B1040" s="1" t="s">
        <v>20</v>
      </c>
      <c r="C1040" s="1">
        <v>67</v>
      </c>
      <c r="D1040" s="1">
        <v>8</v>
      </c>
      <c r="E1040" s="1" t="s">
        <v>151</v>
      </c>
      <c r="F1040" s="1" t="s">
        <v>152</v>
      </c>
      <c r="G1040" s="1">
        <v>27</v>
      </c>
      <c r="H1040" s="1">
        <v>2</v>
      </c>
      <c r="I1040" s="1">
        <v>27080000</v>
      </c>
      <c r="J1040" s="1">
        <v>1107</v>
      </c>
      <c r="K1040" s="1">
        <v>0</v>
      </c>
      <c r="L1040" s="1">
        <v>14478</v>
      </c>
      <c r="M1040" s="1">
        <v>13.850304</v>
      </c>
      <c r="N1040" s="1">
        <v>102.51946</v>
      </c>
      <c r="O1040" s="1">
        <v>0.06</v>
      </c>
      <c r="P1040" s="1">
        <v>7.0000000000000007E-2</v>
      </c>
      <c r="Q1040" s="1">
        <v>0.15</v>
      </c>
      <c r="R1040" s="1">
        <v>0</v>
      </c>
      <c r="S1040" s="1">
        <v>5.87</v>
      </c>
      <c r="T1040" s="1">
        <v>8.4</v>
      </c>
      <c r="U1040" s="1">
        <v>0.13</v>
      </c>
      <c r="V1040" s="1">
        <v>0</v>
      </c>
      <c r="W1040" s="1">
        <v>0</v>
      </c>
      <c r="X1040" s="1">
        <v>18400.718642</v>
      </c>
      <c r="Y1040" s="1">
        <v>12325552.3072</v>
      </c>
      <c r="Z1040" t="str">
        <f>VLOOKUP(G1040,'Code Pro'!$A$2:$B$9,2,FALSE)</f>
        <v>จ.สระแก้ว</v>
      </c>
      <c r="AA1040" s="8">
        <f t="shared" si="145"/>
        <v>739533.13843199995</v>
      </c>
      <c r="AB1040" s="8">
        <f t="shared" si="146"/>
        <v>862788.66150400008</v>
      </c>
      <c r="AC1040" s="8">
        <f t="shared" si="147"/>
        <v>1848832.8460799998</v>
      </c>
      <c r="AD1040" s="8">
        <f t="shared" si="148"/>
        <v>0</v>
      </c>
      <c r="AE1040" s="8">
        <f t="shared" si="149"/>
        <v>72350992.043264002</v>
      </c>
      <c r="AF1040" s="8">
        <f t="shared" si="150"/>
        <v>103534639.38048001</v>
      </c>
      <c r="AG1040" s="8">
        <f t="shared" si="151"/>
        <v>1602321.799936</v>
      </c>
      <c r="AH1040" s="8">
        <f t="shared" si="152"/>
        <v>0</v>
      </c>
      <c r="AI1040" s="8">
        <f t="shared" si="153"/>
        <v>0</v>
      </c>
    </row>
    <row r="1041" spans="1:35" x14ac:dyDescent="0.55000000000000004">
      <c r="A1041" s="1">
        <v>1039</v>
      </c>
      <c r="B1041" s="1" t="s">
        <v>20</v>
      </c>
      <c r="C1041" s="1">
        <v>67</v>
      </c>
      <c r="D1041" s="1">
        <v>8</v>
      </c>
      <c r="E1041" s="1" t="s">
        <v>151</v>
      </c>
      <c r="F1041" s="1" t="s">
        <v>152</v>
      </c>
      <c r="G1041" s="1">
        <v>27</v>
      </c>
      <c r="H1041" s="1">
        <v>2</v>
      </c>
      <c r="I1041" s="1">
        <v>27080000</v>
      </c>
      <c r="J1041" s="1">
        <v>1109</v>
      </c>
      <c r="K1041" s="1">
        <v>0</v>
      </c>
      <c r="L1041" s="1">
        <v>14359</v>
      </c>
      <c r="M1041" s="1">
        <v>13.769569000000001</v>
      </c>
      <c r="N1041" s="1">
        <v>102.6026</v>
      </c>
      <c r="O1041" s="1">
        <v>0.02</v>
      </c>
      <c r="P1041" s="1">
        <v>0.01</v>
      </c>
      <c r="Q1041" s="1">
        <v>0.01</v>
      </c>
      <c r="R1041" s="1">
        <v>0</v>
      </c>
      <c r="S1041" s="1">
        <v>5.07</v>
      </c>
      <c r="T1041" s="1">
        <v>45.860000999999997</v>
      </c>
      <c r="U1041" s="1">
        <v>0.05</v>
      </c>
      <c r="V1041" s="1">
        <v>0</v>
      </c>
      <c r="W1041" s="1">
        <v>0</v>
      </c>
      <c r="X1041" s="1">
        <v>25647.275274</v>
      </c>
      <c r="Y1041" s="1">
        <v>24774004.779599998</v>
      </c>
      <c r="Z1041" t="str">
        <f>VLOOKUP(G1041,'Code Pro'!$A$2:$B$9,2,FALSE)</f>
        <v>จ.สระแก้ว</v>
      </c>
      <c r="AA1041" s="8">
        <f t="shared" si="145"/>
        <v>495480.095592</v>
      </c>
      <c r="AB1041" s="8">
        <f t="shared" si="146"/>
        <v>247740.047796</v>
      </c>
      <c r="AC1041" s="8">
        <f t="shared" si="147"/>
        <v>247740.047796</v>
      </c>
      <c r="AD1041" s="8">
        <f t="shared" si="148"/>
        <v>0</v>
      </c>
      <c r="AE1041" s="8">
        <f t="shared" si="149"/>
        <v>125604204.232572</v>
      </c>
      <c r="AF1041" s="8">
        <f t="shared" si="150"/>
        <v>1136135883.9664607</v>
      </c>
      <c r="AG1041" s="8">
        <f t="shared" si="151"/>
        <v>1238700.2389799999</v>
      </c>
      <c r="AH1041" s="8">
        <f t="shared" si="152"/>
        <v>0</v>
      </c>
      <c r="AI1041" s="8">
        <f t="shared" si="153"/>
        <v>0</v>
      </c>
    </row>
    <row r="1042" spans="1:35" x14ac:dyDescent="0.55000000000000004">
      <c r="A1042" s="1">
        <v>1040</v>
      </c>
      <c r="B1042" s="1" t="s">
        <v>20</v>
      </c>
      <c r="C1042" s="1">
        <v>67</v>
      </c>
      <c r="D1042" s="1">
        <v>8</v>
      </c>
      <c r="E1042" s="1" t="s">
        <v>151</v>
      </c>
      <c r="F1042" s="1" t="s">
        <v>152</v>
      </c>
      <c r="G1042" s="1">
        <v>27</v>
      </c>
      <c r="H1042" s="1">
        <v>2</v>
      </c>
      <c r="I1042" s="1">
        <v>27080000</v>
      </c>
      <c r="J1042" s="1">
        <v>1110</v>
      </c>
      <c r="K1042" s="1">
        <v>0</v>
      </c>
      <c r="L1042" s="1">
        <v>14480</v>
      </c>
      <c r="M1042" s="1">
        <v>13.850304</v>
      </c>
      <c r="N1042" s="1">
        <v>102.68574</v>
      </c>
      <c r="O1042" s="1">
        <v>0</v>
      </c>
      <c r="P1042" s="1">
        <v>0.02</v>
      </c>
      <c r="Q1042" s="1">
        <v>0.04</v>
      </c>
      <c r="R1042" s="1">
        <v>0</v>
      </c>
      <c r="S1042" s="1">
        <v>0.11</v>
      </c>
      <c r="T1042" s="1">
        <v>8.8000000000000007</v>
      </c>
      <c r="U1042" s="1">
        <v>0.86</v>
      </c>
      <c r="V1042" s="1">
        <v>0</v>
      </c>
      <c r="W1042" s="1">
        <v>0.03</v>
      </c>
      <c r="X1042" s="1">
        <v>35409.728195999996</v>
      </c>
      <c r="Y1042" s="1">
        <v>80097506.190599993</v>
      </c>
      <c r="Z1042" t="str">
        <f>VLOOKUP(G1042,'Code Pro'!$A$2:$B$9,2,FALSE)</f>
        <v>จ.สระแก้ว</v>
      </c>
      <c r="AA1042" s="8">
        <f t="shared" si="145"/>
        <v>0</v>
      </c>
      <c r="AB1042" s="8">
        <f t="shared" si="146"/>
        <v>1601950.1238119998</v>
      </c>
      <c r="AC1042" s="8">
        <f t="shared" si="147"/>
        <v>3203900.2476239996</v>
      </c>
      <c r="AD1042" s="8">
        <f t="shared" si="148"/>
        <v>0</v>
      </c>
      <c r="AE1042" s="8">
        <f t="shared" si="149"/>
        <v>8810725.6809659991</v>
      </c>
      <c r="AF1042" s="8">
        <f t="shared" si="150"/>
        <v>704858054.47728002</v>
      </c>
      <c r="AG1042" s="8">
        <f t="shared" si="151"/>
        <v>68883855.323915988</v>
      </c>
      <c r="AH1042" s="8">
        <f t="shared" si="152"/>
        <v>0</v>
      </c>
      <c r="AI1042" s="8">
        <f t="shared" si="153"/>
        <v>2402925.1857179995</v>
      </c>
    </row>
    <row r="1043" spans="1:35" x14ac:dyDescent="0.55000000000000004">
      <c r="A1043" s="1">
        <v>1041</v>
      </c>
      <c r="B1043" s="1" t="s">
        <v>20</v>
      </c>
      <c r="C1043" s="1">
        <v>67</v>
      </c>
      <c r="D1043" s="1">
        <v>8</v>
      </c>
      <c r="E1043" s="1" t="s">
        <v>151</v>
      </c>
      <c r="F1043" s="1" t="s">
        <v>152</v>
      </c>
      <c r="G1043" s="1">
        <v>27</v>
      </c>
      <c r="H1043" s="1">
        <v>2</v>
      </c>
      <c r="I1043" s="1">
        <v>27080000</v>
      </c>
      <c r="J1043" s="1">
        <v>1111</v>
      </c>
      <c r="K1043" s="1">
        <v>0</v>
      </c>
      <c r="L1043" s="1">
        <v>14360</v>
      </c>
      <c r="M1043" s="1">
        <v>13.769569000000001</v>
      </c>
      <c r="N1043" s="1">
        <v>102.68574</v>
      </c>
      <c r="O1043" s="1">
        <v>0</v>
      </c>
      <c r="P1043" s="1">
        <v>0</v>
      </c>
      <c r="Q1043" s="1">
        <v>0.01</v>
      </c>
      <c r="R1043" s="1">
        <v>0</v>
      </c>
      <c r="S1043" s="1">
        <v>0.05</v>
      </c>
      <c r="T1043" s="1">
        <v>16.549999</v>
      </c>
      <c r="U1043" s="1">
        <v>0.06</v>
      </c>
      <c r="V1043" s="1">
        <v>0</v>
      </c>
      <c r="W1043" s="1">
        <v>0</v>
      </c>
      <c r="X1043" s="1">
        <v>31217.755352</v>
      </c>
      <c r="Y1043" s="1">
        <v>54764582.297399998</v>
      </c>
      <c r="Z1043" t="str">
        <f>VLOOKUP(G1043,'Code Pro'!$A$2:$B$9,2,FALSE)</f>
        <v>จ.สระแก้ว</v>
      </c>
      <c r="AA1043" s="8">
        <f t="shared" si="145"/>
        <v>0</v>
      </c>
      <c r="AB1043" s="8">
        <f t="shared" si="146"/>
        <v>0</v>
      </c>
      <c r="AC1043" s="8">
        <f t="shared" si="147"/>
        <v>547645.82297400001</v>
      </c>
      <c r="AD1043" s="8">
        <f t="shared" si="148"/>
        <v>0</v>
      </c>
      <c r="AE1043" s="8">
        <f t="shared" si="149"/>
        <v>2738229.1148700002</v>
      </c>
      <c r="AF1043" s="8">
        <f t="shared" si="150"/>
        <v>906353782.25738764</v>
      </c>
      <c r="AG1043" s="8">
        <f t="shared" si="151"/>
        <v>3285874.9378439998</v>
      </c>
      <c r="AH1043" s="8">
        <f t="shared" si="152"/>
        <v>0</v>
      </c>
      <c r="AI1043" s="8">
        <f t="shared" si="153"/>
        <v>0</v>
      </c>
    </row>
    <row r="1044" spans="1:35" x14ac:dyDescent="0.55000000000000004">
      <c r="A1044" s="1">
        <v>1042</v>
      </c>
      <c r="B1044" s="1" t="s">
        <v>20</v>
      </c>
      <c r="C1044" s="1">
        <v>67</v>
      </c>
      <c r="D1044" s="1">
        <v>8</v>
      </c>
      <c r="E1044" s="1" t="s">
        <v>151</v>
      </c>
      <c r="F1044" s="1" t="s">
        <v>152</v>
      </c>
      <c r="G1044" s="1">
        <v>27</v>
      </c>
      <c r="H1044" s="1">
        <v>2</v>
      </c>
      <c r="I1044" s="1">
        <v>27080000</v>
      </c>
      <c r="J1044" s="1">
        <v>1118</v>
      </c>
      <c r="K1044" s="1">
        <v>0</v>
      </c>
      <c r="L1044" s="1">
        <v>14481</v>
      </c>
      <c r="M1044" s="1">
        <v>13.850304</v>
      </c>
      <c r="N1044" s="1">
        <v>102.76887000000001</v>
      </c>
      <c r="O1044" s="1">
        <v>0</v>
      </c>
      <c r="P1044" s="1">
        <v>0</v>
      </c>
      <c r="Q1044" s="1">
        <v>0</v>
      </c>
      <c r="R1044" s="1">
        <v>0</v>
      </c>
      <c r="S1044" s="1">
        <v>0.53</v>
      </c>
      <c r="T1044" s="1">
        <v>4.97</v>
      </c>
      <c r="U1044" s="1">
        <v>0.69</v>
      </c>
      <c r="V1044" s="1">
        <v>0</v>
      </c>
      <c r="W1044" s="1">
        <v>0</v>
      </c>
      <c r="X1044" s="1">
        <v>19684.402978999999</v>
      </c>
      <c r="Y1044" s="1">
        <v>16444633.993899999</v>
      </c>
      <c r="Z1044" t="str">
        <f>VLOOKUP(G1044,'Code Pro'!$A$2:$B$9,2,FALSE)</f>
        <v>จ.สระแก้ว</v>
      </c>
      <c r="AA1044" s="8">
        <f t="shared" si="145"/>
        <v>0</v>
      </c>
      <c r="AB1044" s="8">
        <f t="shared" si="146"/>
        <v>0</v>
      </c>
      <c r="AC1044" s="8">
        <f t="shared" si="147"/>
        <v>0</v>
      </c>
      <c r="AD1044" s="8">
        <f t="shared" si="148"/>
        <v>0</v>
      </c>
      <c r="AE1044" s="8">
        <f t="shared" si="149"/>
        <v>8715656.0167670008</v>
      </c>
      <c r="AF1044" s="8">
        <f t="shared" si="150"/>
        <v>81729830.949682996</v>
      </c>
      <c r="AG1044" s="8">
        <f t="shared" si="151"/>
        <v>11346797.455790998</v>
      </c>
      <c r="AH1044" s="8">
        <f t="shared" si="152"/>
        <v>0</v>
      </c>
      <c r="AI1044" s="8">
        <f t="shared" si="153"/>
        <v>0</v>
      </c>
    </row>
    <row r="1045" spans="1:35" x14ac:dyDescent="0.55000000000000004">
      <c r="A1045" s="1">
        <v>1043</v>
      </c>
      <c r="B1045" s="1" t="s">
        <v>20</v>
      </c>
      <c r="C1045" s="1">
        <v>67</v>
      </c>
      <c r="D1045" s="1">
        <v>8</v>
      </c>
      <c r="E1045" s="1" t="s">
        <v>151</v>
      </c>
      <c r="F1045" s="1" t="s">
        <v>152</v>
      </c>
      <c r="G1045" s="1">
        <v>27</v>
      </c>
      <c r="H1045" s="1">
        <v>2</v>
      </c>
      <c r="I1045" s="1">
        <v>27080000</v>
      </c>
      <c r="J1045" s="1">
        <v>1119</v>
      </c>
      <c r="K1045" s="1">
        <v>0</v>
      </c>
      <c r="L1045" s="1">
        <v>14361</v>
      </c>
      <c r="M1045" s="1">
        <v>13.769569000000001</v>
      </c>
      <c r="N1045" s="1">
        <v>102.76887000000001</v>
      </c>
      <c r="O1045" s="1">
        <v>0</v>
      </c>
      <c r="P1045" s="1">
        <v>0.01</v>
      </c>
      <c r="Q1045" s="1">
        <v>0</v>
      </c>
      <c r="R1045" s="1">
        <v>0</v>
      </c>
      <c r="S1045" s="1">
        <v>3.45</v>
      </c>
      <c r="T1045" s="1">
        <v>9.77</v>
      </c>
      <c r="U1045" s="1">
        <v>0.73</v>
      </c>
      <c r="V1045" s="1">
        <v>6.11</v>
      </c>
      <c r="W1045" s="1">
        <v>0</v>
      </c>
      <c r="X1045" s="1">
        <v>6923.1785380000001</v>
      </c>
      <c r="Y1045" s="1">
        <v>1138537.65937</v>
      </c>
      <c r="Z1045" t="str">
        <f>VLOOKUP(G1045,'Code Pro'!$A$2:$B$9,2,FALSE)</f>
        <v>จ.สระแก้ว</v>
      </c>
      <c r="AA1045" s="8">
        <f t="shared" si="145"/>
        <v>0</v>
      </c>
      <c r="AB1045" s="8">
        <f t="shared" si="146"/>
        <v>11385.376593700001</v>
      </c>
      <c r="AC1045" s="8">
        <f t="shared" si="147"/>
        <v>0</v>
      </c>
      <c r="AD1045" s="8">
        <f t="shared" si="148"/>
        <v>0</v>
      </c>
      <c r="AE1045" s="8">
        <f t="shared" si="149"/>
        <v>3927954.9248265</v>
      </c>
      <c r="AF1045" s="8">
        <f t="shared" si="150"/>
        <v>11123512.932044899</v>
      </c>
      <c r="AG1045" s="8">
        <f t="shared" si="151"/>
        <v>831132.49134009995</v>
      </c>
      <c r="AH1045" s="8">
        <f t="shared" si="152"/>
        <v>6956465.0987507002</v>
      </c>
      <c r="AI1045" s="8">
        <f t="shared" si="153"/>
        <v>0</v>
      </c>
    </row>
    <row r="1046" spans="1:35" x14ac:dyDescent="0.55000000000000004">
      <c r="A1046" s="1">
        <v>1044</v>
      </c>
      <c r="B1046" s="1" t="s">
        <v>20</v>
      </c>
      <c r="C1046" s="1">
        <v>67</v>
      </c>
      <c r="D1046" s="1">
        <v>8</v>
      </c>
      <c r="E1046" s="1" t="s">
        <v>151</v>
      </c>
      <c r="F1046" s="1" t="s">
        <v>152</v>
      </c>
      <c r="G1046" s="1">
        <v>27</v>
      </c>
      <c r="H1046" s="1">
        <v>2</v>
      </c>
      <c r="I1046" s="1">
        <v>27080000</v>
      </c>
      <c r="J1046" s="1">
        <v>1180</v>
      </c>
      <c r="K1046" s="1">
        <v>0</v>
      </c>
      <c r="L1046" s="1">
        <v>14598</v>
      </c>
      <c r="M1046" s="1">
        <v>13.931006999999999</v>
      </c>
      <c r="N1046" s="1">
        <v>102.51946</v>
      </c>
      <c r="O1046" s="1">
        <v>0</v>
      </c>
      <c r="P1046" s="1">
        <v>0</v>
      </c>
      <c r="Q1046" s="1">
        <v>0.01</v>
      </c>
      <c r="R1046" s="1">
        <v>0.11</v>
      </c>
      <c r="S1046" s="1">
        <v>0.04</v>
      </c>
      <c r="T1046" s="1">
        <v>17.190000999999999</v>
      </c>
      <c r="U1046" s="1">
        <v>0.97</v>
      </c>
      <c r="V1046" s="1">
        <v>0</v>
      </c>
      <c r="W1046" s="1">
        <v>0</v>
      </c>
      <c r="X1046" s="1">
        <v>18446.977931000001</v>
      </c>
      <c r="Y1046" s="1">
        <v>13883992.5419</v>
      </c>
      <c r="Z1046" t="str">
        <f>VLOOKUP(G1046,'Code Pro'!$A$2:$B$9,2,FALSE)</f>
        <v>จ.สระแก้ว</v>
      </c>
      <c r="AA1046" s="8">
        <f t="shared" si="145"/>
        <v>0</v>
      </c>
      <c r="AB1046" s="8">
        <f t="shared" si="146"/>
        <v>0</v>
      </c>
      <c r="AC1046" s="8">
        <f t="shared" si="147"/>
        <v>138839.92541900001</v>
      </c>
      <c r="AD1046" s="8">
        <f t="shared" si="148"/>
        <v>1527239.179609</v>
      </c>
      <c r="AE1046" s="8">
        <f t="shared" si="149"/>
        <v>555359.70167600003</v>
      </c>
      <c r="AF1046" s="8">
        <f t="shared" si="150"/>
        <v>238665845.67925352</v>
      </c>
      <c r="AG1046" s="8">
        <f t="shared" si="151"/>
        <v>13467472.765642999</v>
      </c>
      <c r="AH1046" s="8">
        <f t="shared" si="152"/>
        <v>0</v>
      </c>
      <c r="AI1046" s="8">
        <f t="shared" si="153"/>
        <v>0</v>
      </c>
    </row>
    <row r="1047" spans="1:35" x14ac:dyDescent="0.55000000000000004">
      <c r="A1047" s="1">
        <v>1045</v>
      </c>
      <c r="B1047" s="1" t="s">
        <v>20</v>
      </c>
      <c r="C1047" s="1">
        <v>67</v>
      </c>
      <c r="D1047" s="1">
        <v>8</v>
      </c>
      <c r="E1047" s="1" t="s">
        <v>151</v>
      </c>
      <c r="F1047" s="1" t="s">
        <v>152</v>
      </c>
      <c r="G1047" s="1">
        <v>27</v>
      </c>
      <c r="H1047" s="1">
        <v>2</v>
      </c>
      <c r="I1047" s="1">
        <v>27080000</v>
      </c>
      <c r="J1047" s="1">
        <v>1230</v>
      </c>
      <c r="K1047" s="1">
        <v>0</v>
      </c>
      <c r="L1047" s="1">
        <v>14599</v>
      </c>
      <c r="M1047" s="1">
        <v>13.931006999999999</v>
      </c>
      <c r="N1047" s="1">
        <v>102.6026</v>
      </c>
      <c r="O1047" s="1">
        <v>0</v>
      </c>
      <c r="P1047" s="1">
        <v>0</v>
      </c>
      <c r="Q1047" s="1">
        <v>0</v>
      </c>
      <c r="R1047" s="1">
        <v>0.26</v>
      </c>
      <c r="S1047" s="1">
        <v>0.02</v>
      </c>
      <c r="T1047" s="1">
        <v>17.93</v>
      </c>
      <c r="U1047" s="1">
        <v>1.49</v>
      </c>
      <c r="V1047" s="1">
        <v>0</v>
      </c>
      <c r="W1047" s="1">
        <v>0.04</v>
      </c>
      <c r="X1047" s="1">
        <v>28663.296638</v>
      </c>
      <c r="Y1047" s="1">
        <v>46745610.605599999</v>
      </c>
      <c r="Z1047" t="str">
        <f>VLOOKUP(G1047,'Code Pro'!$A$2:$B$9,2,FALSE)</f>
        <v>จ.สระแก้ว</v>
      </c>
      <c r="AA1047" s="8">
        <f t="shared" si="145"/>
        <v>0</v>
      </c>
      <c r="AB1047" s="8">
        <f t="shared" si="146"/>
        <v>0</v>
      </c>
      <c r="AC1047" s="8">
        <f t="shared" si="147"/>
        <v>0</v>
      </c>
      <c r="AD1047" s="8">
        <f t="shared" si="148"/>
        <v>12153858.757456001</v>
      </c>
      <c r="AE1047" s="8">
        <f t="shared" si="149"/>
        <v>934912.21211199998</v>
      </c>
      <c r="AF1047" s="8">
        <f t="shared" si="150"/>
        <v>838148798.15840793</v>
      </c>
      <c r="AG1047" s="8">
        <f t="shared" si="151"/>
        <v>69650959.802343994</v>
      </c>
      <c r="AH1047" s="8">
        <f t="shared" si="152"/>
        <v>0</v>
      </c>
      <c r="AI1047" s="8">
        <f t="shared" si="153"/>
        <v>1869824.424224</v>
      </c>
    </row>
    <row r="1048" spans="1:35" x14ac:dyDescent="0.55000000000000004">
      <c r="A1048" s="1">
        <v>1046</v>
      </c>
      <c r="B1048" s="1" t="s">
        <v>20</v>
      </c>
      <c r="C1048" s="1">
        <v>67</v>
      </c>
      <c r="D1048" s="1">
        <v>8</v>
      </c>
      <c r="E1048" s="1" t="s">
        <v>151</v>
      </c>
      <c r="F1048" s="1" t="s">
        <v>152</v>
      </c>
      <c r="G1048" s="1">
        <v>27</v>
      </c>
      <c r="H1048" s="1">
        <v>2</v>
      </c>
      <c r="I1048" s="1">
        <v>27080000</v>
      </c>
      <c r="J1048" s="1">
        <v>1231</v>
      </c>
      <c r="K1048" s="1">
        <v>0</v>
      </c>
      <c r="L1048" s="1">
        <v>14600</v>
      </c>
      <c r="M1048" s="1">
        <v>13.931006999999999</v>
      </c>
      <c r="N1048" s="1">
        <v>102.68574</v>
      </c>
      <c r="O1048" s="1">
        <v>0</v>
      </c>
      <c r="P1048" s="1">
        <v>0</v>
      </c>
      <c r="Q1048" s="1">
        <v>0</v>
      </c>
      <c r="R1048" s="1">
        <v>0.05</v>
      </c>
      <c r="S1048" s="1">
        <v>0.34</v>
      </c>
      <c r="T1048" s="1">
        <v>23.469999000000001</v>
      </c>
      <c r="U1048" s="1">
        <v>15.55</v>
      </c>
      <c r="V1048" s="1">
        <v>0</v>
      </c>
      <c r="W1048" s="1">
        <v>6.52</v>
      </c>
      <c r="X1048" s="1">
        <v>30976.325424999999</v>
      </c>
      <c r="Y1048" s="1">
        <v>13310844.9312</v>
      </c>
      <c r="Z1048" t="str">
        <f>VLOOKUP(G1048,'Code Pro'!$A$2:$B$9,2,FALSE)</f>
        <v>จ.สระแก้ว</v>
      </c>
      <c r="AA1048" s="8">
        <f t="shared" si="145"/>
        <v>0</v>
      </c>
      <c r="AB1048" s="8">
        <f t="shared" si="146"/>
        <v>0</v>
      </c>
      <c r="AC1048" s="8">
        <f t="shared" si="147"/>
        <v>0</v>
      </c>
      <c r="AD1048" s="8">
        <f t="shared" si="148"/>
        <v>665542.24656</v>
      </c>
      <c r="AE1048" s="8">
        <f t="shared" si="149"/>
        <v>4525687.2766080005</v>
      </c>
      <c r="AF1048" s="8">
        <f t="shared" si="150"/>
        <v>312405517.22441906</v>
      </c>
      <c r="AG1048" s="8">
        <f t="shared" si="151"/>
        <v>206983638.68016002</v>
      </c>
      <c r="AH1048" s="8">
        <f t="shared" si="152"/>
        <v>0</v>
      </c>
      <c r="AI1048" s="8">
        <f t="shared" si="153"/>
        <v>86786708.951423988</v>
      </c>
    </row>
    <row r="1049" spans="1:35" x14ac:dyDescent="0.55000000000000004">
      <c r="A1049" s="1">
        <v>1047</v>
      </c>
      <c r="B1049" s="1" t="s">
        <v>20</v>
      </c>
      <c r="C1049" s="1">
        <v>68</v>
      </c>
      <c r="D1049" s="1">
        <v>9</v>
      </c>
      <c r="E1049" s="1" t="s">
        <v>153</v>
      </c>
      <c r="F1049" s="1" t="s">
        <v>154</v>
      </c>
      <c r="G1049" s="1">
        <v>27</v>
      </c>
      <c r="H1049" s="1">
        <v>2</v>
      </c>
      <c r="I1049" s="1">
        <v>27090000</v>
      </c>
      <c r="J1049" s="1">
        <v>974</v>
      </c>
      <c r="K1049" s="1">
        <v>0</v>
      </c>
      <c r="L1049" s="1">
        <v>13632</v>
      </c>
      <c r="M1049" s="1">
        <v>13.284592</v>
      </c>
      <c r="N1049" s="1">
        <v>102.020645</v>
      </c>
      <c r="O1049" s="1">
        <v>6.81</v>
      </c>
      <c r="P1049" s="1">
        <v>0.03</v>
      </c>
      <c r="Q1049" s="1">
        <v>6.53</v>
      </c>
      <c r="R1049" s="1">
        <v>1.18</v>
      </c>
      <c r="S1049" s="1">
        <v>9.5399999999999991</v>
      </c>
      <c r="T1049" s="1">
        <v>11.76</v>
      </c>
      <c r="U1049" s="1">
        <v>20.98</v>
      </c>
      <c r="V1049" s="1">
        <v>0.01</v>
      </c>
      <c r="W1049" s="1">
        <v>0.21</v>
      </c>
      <c r="X1049" s="1">
        <v>32735.626820000001</v>
      </c>
      <c r="Y1049" s="1">
        <v>41840088.4516</v>
      </c>
      <c r="Z1049" t="str">
        <f>VLOOKUP(G1049,'Code Pro'!$A$2:$B$9,2,FALSE)</f>
        <v>จ.สระแก้ว</v>
      </c>
      <c r="AA1049" s="8">
        <f t="shared" si="145"/>
        <v>284931002.35539597</v>
      </c>
      <c r="AB1049" s="8">
        <f t="shared" si="146"/>
        <v>1255202.6535479999</v>
      </c>
      <c r="AC1049" s="8">
        <f t="shared" si="147"/>
        <v>273215777.58894801</v>
      </c>
      <c r="AD1049" s="8">
        <f t="shared" si="148"/>
        <v>49371304.372887999</v>
      </c>
      <c r="AE1049" s="8">
        <f t="shared" si="149"/>
        <v>399154443.82826394</v>
      </c>
      <c r="AF1049" s="8">
        <f t="shared" si="150"/>
        <v>492039440.19081599</v>
      </c>
      <c r="AG1049" s="8">
        <f t="shared" si="151"/>
        <v>877805055.71456802</v>
      </c>
      <c r="AH1049" s="8">
        <f t="shared" si="152"/>
        <v>418400.88451599999</v>
      </c>
      <c r="AI1049" s="8">
        <f t="shared" si="153"/>
        <v>8786418.5748359989</v>
      </c>
    </row>
    <row r="1050" spans="1:35" x14ac:dyDescent="0.55000000000000004">
      <c r="A1050" s="1">
        <v>1048</v>
      </c>
      <c r="B1050" s="1" t="s">
        <v>20</v>
      </c>
      <c r="C1050" s="1">
        <v>68</v>
      </c>
      <c r="D1050" s="1">
        <v>9</v>
      </c>
      <c r="E1050" s="1" t="s">
        <v>153</v>
      </c>
      <c r="F1050" s="1" t="s">
        <v>154</v>
      </c>
      <c r="G1050" s="1">
        <v>27</v>
      </c>
      <c r="H1050" s="1">
        <v>2</v>
      </c>
      <c r="I1050" s="1">
        <v>27090000</v>
      </c>
      <c r="J1050" s="1">
        <v>976</v>
      </c>
      <c r="K1050" s="1">
        <v>0</v>
      </c>
      <c r="L1050" s="1">
        <v>13512</v>
      </c>
      <c r="M1050" s="1">
        <v>13.203666999999999</v>
      </c>
      <c r="N1050" s="1">
        <v>102.020645</v>
      </c>
      <c r="O1050" s="1">
        <v>18.82</v>
      </c>
      <c r="P1050" s="1">
        <v>0.95</v>
      </c>
      <c r="Q1050" s="1">
        <v>2.11</v>
      </c>
      <c r="R1050" s="1">
        <v>11.88</v>
      </c>
      <c r="S1050" s="1">
        <v>42.34</v>
      </c>
      <c r="T1050" s="1">
        <v>30.379999000000002</v>
      </c>
      <c r="U1050" s="1">
        <v>12.91</v>
      </c>
      <c r="V1050" s="1">
        <v>0.02</v>
      </c>
      <c r="W1050" s="1">
        <v>0.01</v>
      </c>
      <c r="X1050" s="1">
        <v>8374.9180959999994</v>
      </c>
      <c r="Y1050" s="1">
        <v>1743710.0894599999</v>
      </c>
      <c r="Z1050" t="str">
        <f>VLOOKUP(G1050,'Code Pro'!$A$2:$B$9,2,FALSE)</f>
        <v>จ.สระแก้ว</v>
      </c>
      <c r="AA1050" s="8">
        <f t="shared" si="145"/>
        <v>32816623.883637201</v>
      </c>
      <c r="AB1050" s="8">
        <f t="shared" si="146"/>
        <v>1656524.5849869999</v>
      </c>
      <c r="AC1050" s="8">
        <f t="shared" si="147"/>
        <v>3679228.2887605997</v>
      </c>
      <c r="AD1050" s="8">
        <f t="shared" si="148"/>
        <v>20715275.862784799</v>
      </c>
      <c r="AE1050" s="8">
        <f t="shared" si="149"/>
        <v>73828685.187736407</v>
      </c>
      <c r="AF1050" s="8">
        <f t="shared" si="150"/>
        <v>52973910.77408471</v>
      </c>
      <c r="AG1050" s="8">
        <f t="shared" si="151"/>
        <v>22511297.2549286</v>
      </c>
      <c r="AH1050" s="8">
        <f t="shared" si="152"/>
        <v>34874.2017892</v>
      </c>
      <c r="AI1050" s="8">
        <f t="shared" si="153"/>
        <v>17437.1008946</v>
      </c>
    </row>
    <row r="1051" spans="1:35" x14ac:dyDescent="0.55000000000000004">
      <c r="A1051" s="1">
        <v>1049</v>
      </c>
      <c r="B1051" s="1" t="s">
        <v>20</v>
      </c>
      <c r="C1051" s="1">
        <v>68</v>
      </c>
      <c r="D1051" s="1">
        <v>9</v>
      </c>
      <c r="E1051" s="1" t="s">
        <v>153</v>
      </c>
      <c r="F1051" s="1" t="s">
        <v>154</v>
      </c>
      <c r="G1051" s="1">
        <v>27</v>
      </c>
      <c r="H1051" s="1">
        <v>2</v>
      </c>
      <c r="I1051" s="1">
        <v>27090000</v>
      </c>
      <c r="J1051" s="1">
        <v>981</v>
      </c>
      <c r="K1051" s="1">
        <v>0</v>
      </c>
      <c r="L1051" s="1">
        <v>13633</v>
      </c>
      <c r="M1051" s="1">
        <v>13.284592</v>
      </c>
      <c r="N1051" s="1">
        <v>102.10378</v>
      </c>
      <c r="O1051" s="1">
        <v>27.459999</v>
      </c>
      <c r="P1051" s="1">
        <v>0.4</v>
      </c>
      <c r="Q1051" s="1">
        <v>7.92</v>
      </c>
      <c r="R1051" s="1">
        <v>1.1499999999999999</v>
      </c>
      <c r="S1051" s="1">
        <v>18.549999</v>
      </c>
      <c r="T1051" s="1">
        <v>7.41</v>
      </c>
      <c r="U1051" s="1">
        <v>64.010002</v>
      </c>
      <c r="V1051" s="1">
        <v>0.44</v>
      </c>
      <c r="W1051" s="1">
        <v>1.59</v>
      </c>
      <c r="X1051" s="1">
        <v>32765.495505999999</v>
      </c>
      <c r="Y1051" s="1">
        <v>45624402.737800002</v>
      </c>
      <c r="Z1051" t="str">
        <f>VLOOKUP(G1051,'Code Pro'!$A$2:$B$9,2,FALSE)</f>
        <v>จ.สระแก้ว</v>
      </c>
      <c r="AA1051" s="8">
        <f t="shared" si="145"/>
        <v>1252846053.5555854</v>
      </c>
      <c r="AB1051" s="8">
        <f t="shared" si="146"/>
        <v>18249761.095120002</v>
      </c>
      <c r="AC1051" s="8">
        <f t="shared" si="147"/>
        <v>361345269.68337601</v>
      </c>
      <c r="AD1051" s="8">
        <f t="shared" si="148"/>
        <v>52468063.148469999</v>
      </c>
      <c r="AE1051" s="8">
        <f t="shared" si="149"/>
        <v>846332625.16178727</v>
      </c>
      <c r="AF1051" s="8">
        <f t="shared" si="150"/>
        <v>338076824.28709805</v>
      </c>
      <c r="AG1051" s="8">
        <f t="shared" si="151"/>
        <v>2920418110.4953837</v>
      </c>
      <c r="AH1051" s="8">
        <f t="shared" si="152"/>
        <v>20074737.204632003</v>
      </c>
      <c r="AI1051" s="8">
        <f t="shared" si="153"/>
        <v>72542800.353102013</v>
      </c>
    </row>
    <row r="1052" spans="1:35" x14ac:dyDescent="0.55000000000000004">
      <c r="A1052" s="1">
        <v>1050</v>
      </c>
      <c r="B1052" s="1" t="s">
        <v>20</v>
      </c>
      <c r="C1052" s="1">
        <v>68</v>
      </c>
      <c r="D1052" s="1">
        <v>9</v>
      </c>
      <c r="E1052" s="1" t="s">
        <v>153</v>
      </c>
      <c r="F1052" s="1" t="s">
        <v>154</v>
      </c>
      <c r="G1052" s="1">
        <v>27</v>
      </c>
      <c r="H1052" s="1">
        <v>2</v>
      </c>
      <c r="I1052" s="1">
        <v>27090000</v>
      </c>
      <c r="J1052" s="1">
        <v>982</v>
      </c>
      <c r="K1052" s="1">
        <v>0</v>
      </c>
      <c r="L1052" s="1">
        <v>13752</v>
      </c>
      <c r="M1052" s="1">
        <v>13.365479000000001</v>
      </c>
      <c r="N1052" s="1">
        <v>102.020645</v>
      </c>
      <c r="O1052" s="1">
        <v>1.91</v>
      </c>
      <c r="P1052" s="1">
        <v>0.43</v>
      </c>
      <c r="Q1052" s="1">
        <v>10.199999999999999</v>
      </c>
      <c r="R1052" s="1">
        <v>1.77</v>
      </c>
      <c r="S1052" s="1">
        <v>3.01</v>
      </c>
      <c r="T1052" s="1">
        <v>8.15</v>
      </c>
      <c r="U1052" s="1">
        <v>66.080001999999993</v>
      </c>
      <c r="V1052" s="1">
        <v>0.05</v>
      </c>
      <c r="W1052" s="1">
        <v>0.1</v>
      </c>
      <c r="X1052" s="1">
        <v>35643.889822999998</v>
      </c>
      <c r="Y1052" s="1">
        <v>76194239.332399994</v>
      </c>
      <c r="Z1052" t="str">
        <f>VLOOKUP(G1052,'Code Pro'!$A$2:$B$9,2,FALSE)</f>
        <v>จ.สระแก้ว</v>
      </c>
      <c r="AA1052" s="8">
        <f t="shared" si="145"/>
        <v>145530997.12488398</v>
      </c>
      <c r="AB1052" s="8">
        <f t="shared" si="146"/>
        <v>32763522.912931997</v>
      </c>
      <c r="AC1052" s="8">
        <f t="shared" si="147"/>
        <v>777181241.19047987</v>
      </c>
      <c r="AD1052" s="8">
        <f t="shared" si="148"/>
        <v>134863803.618348</v>
      </c>
      <c r="AE1052" s="8">
        <f t="shared" si="149"/>
        <v>229344660.39052397</v>
      </c>
      <c r="AF1052" s="8">
        <f t="shared" si="150"/>
        <v>620983050.55905998</v>
      </c>
      <c r="AG1052" s="8">
        <f t="shared" si="151"/>
        <v>5034915487.4734697</v>
      </c>
      <c r="AH1052" s="8">
        <f t="shared" si="152"/>
        <v>3809711.9666200001</v>
      </c>
      <c r="AI1052" s="8">
        <f t="shared" si="153"/>
        <v>7619423.9332400002</v>
      </c>
    </row>
    <row r="1053" spans="1:35" x14ac:dyDescent="0.55000000000000004">
      <c r="A1053" s="1">
        <v>1051</v>
      </c>
      <c r="B1053" s="1" t="s">
        <v>20</v>
      </c>
      <c r="C1053" s="1">
        <v>68</v>
      </c>
      <c r="D1053" s="1">
        <v>9</v>
      </c>
      <c r="E1053" s="1" t="s">
        <v>153</v>
      </c>
      <c r="F1053" s="1" t="s">
        <v>154</v>
      </c>
      <c r="G1053" s="1">
        <v>27</v>
      </c>
      <c r="H1053" s="1">
        <v>2</v>
      </c>
      <c r="I1053" s="1">
        <v>27090000</v>
      </c>
      <c r="J1053" s="1">
        <v>983</v>
      </c>
      <c r="K1053" s="1">
        <v>0</v>
      </c>
      <c r="L1053" s="1">
        <v>13751</v>
      </c>
      <c r="M1053" s="1">
        <v>13.365479000000001</v>
      </c>
      <c r="N1053" s="1">
        <v>101.93751</v>
      </c>
      <c r="O1053" s="1">
        <v>0.75</v>
      </c>
      <c r="P1053" s="1">
        <v>0.48</v>
      </c>
      <c r="Q1053" s="1">
        <v>0.08</v>
      </c>
      <c r="R1053" s="1">
        <v>0.51</v>
      </c>
      <c r="S1053" s="1">
        <v>2.91</v>
      </c>
      <c r="T1053" s="1">
        <v>5.45</v>
      </c>
      <c r="U1053" s="1">
        <v>37.07</v>
      </c>
      <c r="V1053" s="1">
        <v>2.42</v>
      </c>
      <c r="W1053" s="1">
        <v>0</v>
      </c>
      <c r="X1053" s="1">
        <v>5793.5972970000003</v>
      </c>
      <c r="Y1053" s="1">
        <v>935066.76147799997</v>
      </c>
      <c r="Z1053" t="str">
        <f>VLOOKUP(G1053,'Code Pro'!$A$2:$B$9,2,FALSE)</f>
        <v>จ.สระแก้ว</v>
      </c>
      <c r="AA1053" s="8">
        <f t="shared" si="145"/>
        <v>701300.07110850001</v>
      </c>
      <c r="AB1053" s="8">
        <f t="shared" si="146"/>
        <v>448832.04550943995</v>
      </c>
      <c r="AC1053" s="8">
        <f t="shared" si="147"/>
        <v>74805.340918240006</v>
      </c>
      <c r="AD1053" s="8">
        <f t="shared" si="148"/>
        <v>476884.04835378</v>
      </c>
      <c r="AE1053" s="8">
        <f t="shared" si="149"/>
        <v>2721044.27590098</v>
      </c>
      <c r="AF1053" s="8">
        <f t="shared" si="150"/>
        <v>5096113.8500551004</v>
      </c>
      <c r="AG1053" s="8">
        <f t="shared" si="151"/>
        <v>34662924.847989462</v>
      </c>
      <c r="AH1053" s="8">
        <f t="shared" si="152"/>
        <v>2262861.5627767597</v>
      </c>
      <c r="AI1053" s="8">
        <f t="shared" si="153"/>
        <v>0</v>
      </c>
    </row>
    <row r="1054" spans="1:35" x14ac:dyDescent="0.55000000000000004">
      <c r="A1054" s="1">
        <v>1052</v>
      </c>
      <c r="B1054" s="1" t="s">
        <v>20</v>
      </c>
      <c r="C1054" s="1">
        <v>68</v>
      </c>
      <c r="D1054" s="1">
        <v>9</v>
      </c>
      <c r="E1054" s="1" t="s">
        <v>153</v>
      </c>
      <c r="F1054" s="1" t="s">
        <v>154</v>
      </c>
      <c r="G1054" s="1">
        <v>27</v>
      </c>
      <c r="H1054" s="1">
        <v>2</v>
      </c>
      <c r="I1054" s="1">
        <v>27090000</v>
      </c>
      <c r="J1054" s="1">
        <v>984</v>
      </c>
      <c r="K1054" s="1">
        <v>0</v>
      </c>
      <c r="L1054" s="1">
        <v>13875</v>
      </c>
      <c r="M1054" s="1">
        <v>13.446358</v>
      </c>
      <c r="N1054" s="1">
        <v>102.27006</v>
      </c>
      <c r="O1054" s="1">
        <v>9.73</v>
      </c>
      <c r="P1054" s="1">
        <v>3.23</v>
      </c>
      <c r="Q1054" s="1">
        <v>0.01</v>
      </c>
      <c r="R1054" s="1">
        <v>13.65</v>
      </c>
      <c r="S1054" s="1">
        <v>1.71</v>
      </c>
      <c r="T1054" s="1">
        <v>13.83</v>
      </c>
      <c r="U1054" s="1">
        <v>7.5</v>
      </c>
      <c r="V1054" s="1">
        <v>0.02</v>
      </c>
      <c r="W1054" s="1">
        <v>0.02</v>
      </c>
      <c r="X1054" s="1">
        <v>16243.741835000001</v>
      </c>
      <c r="Y1054" s="1">
        <v>4770667.1672200002</v>
      </c>
      <c r="Z1054" t="str">
        <f>VLOOKUP(G1054,'Code Pro'!$A$2:$B$9,2,FALSE)</f>
        <v>จ.สระแก้ว</v>
      </c>
      <c r="AA1054" s="8">
        <f t="shared" si="145"/>
        <v>46418591.537050605</v>
      </c>
      <c r="AB1054" s="8">
        <f t="shared" si="146"/>
        <v>15409254.9501206</v>
      </c>
      <c r="AC1054" s="8">
        <f t="shared" si="147"/>
        <v>47706.671672200006</v>
      </c>
      <c r="AD1054" s="8">
        <f t="shared" si="148"/>
        <v>65119606.832553007</v>
      </c>
      <c r="AE1054" s="8">
        <f t="shared" si="149"/>
        <v>8157840.8559462</v>
      </c>
      <c r="AF1054" s="8">
        <f t="shared" si="150"/>
        <v>65978326.922652602</v>
      </c>
      <c r="AG1054" s="8">
        <f t="shared" si="151"/>
        <v>35780003.754150003</v>
      </c>
      <c r="AH1054" s="8">
        <f t="shared" si="152"/>
        <v>95413.343344400011</v>
      </c>
      <c r="AI1054" s="8">
        <f t="shared" si="153"/>
        <v>95413.343344400011</v>
      </c>
    </row>
    <row r="1055" spans="1:35" x14ac:dyDescent="0.55000000000000004">
      <c r="A1055" s="1">
        <v>1053</v>
      </c>
      <c r="B1055" s="1" t="s">
        <v>20</v>
      </c>
      <c r="C1055" s="1">
        <v>68</v>
      </c>
      <c r="D1055" s="1">
        <v>9</v>
      </c>
      <c r="E1055" s="1" t="s">
        <v>153</v>
      </c>
      <c r="F1055" s="1" t="s">
        <v>154</v>
      </c>
      <c r="G1055" s="1">
        <v>27</v>
      </c>
      <c r="H1055" s="1">
        <v>2</v>
      </c>
      <c r="I1055" s="1">
        <v>27090000</v>
      </c>
      <c r="J1055" s="1">
        <v>985</v>
      </c>
      <c r="K1055" s="1">
        <v>0</v>
      </c>
      <c r="L1055" s="1">
        <v>13871</v>
      </c>
      <c r="M1055" s="1">
        <v>13.446358</v>
      </c>
      <c r="N1055" s="1">
        <v>101.93751</v>
      </c>
      <c r="O1055" s="1">
        <v>1.22</v>
      </c>
      <c r="P1055" s="1">
        <v>0.04</v>
      </c>
      <c r="Q1055" s="1">
        <v>0.22</v>
      </c>
      <c r="R1055" s="1">
        <v>0.02</v>
      </c>
      <c r="S1055" s="1">
        <v>0.19</v>
      </c>
      <c r="T1055" s="1">
        <v>8.06</v>
      </c>
      <c r="U1055" s="1">
        <v>31.709999</v>
      </c>
      <c r="V1055" s="1">
        <v>0</v>
      </c>
      <c r="W1055" s="1">
        <v>0</v>
      </c>
      <c r="X1055" s="1">
        <v>1104.828317</v>
      </c>
      <c r="Y1055" s="1">
        <v>72882.930963000006</v>
      </c>
      <c r="Z1055" t="str">
        <f>VLOOKUP(G1055,'Code Pro'!$A$2:$B$9,2,FALSE)</f>
        <v>จ.สระแก้ว</v>
      </c>
      <c r="AA1055" s="8">
        <f t="shared" si="145"/>
        <v>88917.175774860007</v>
      </c>
      <c r="AB1055" s="8">
        <f t="shared" si="146"/>
        <v>2915.3172385200005</v>
      </c>
      <c r="AC1055" s="8">
        <f t="shared" si="147"/>
        <v>16034.244811860002</v>
      </c>
      <c r="AD1055" s="8">
        <f t="shared" si="148"/>
        <v>1457.6586192600003</v>
      </c>
      <c r="AE1055" s="8">
        <f t="shared" si="149"/>
        <v>13847.756882970001</v>
      </c>
      <c r="AF1055" s="8">
        <f t="shared" si="150"/>
        <v>587436.42356178013</v>
      </c>
      <c r="AG1055" s="8">
        <f t="shared" si="151"/>
        <v>2311117.667953799</v>
      </c>
      <c r="AH1055" s="8">
        <f t="shared" si="152"/>
        <v>0</v>
      </c>
      <c r="AI1055" s="8">
        <f t="shared" si="153"/>
        <v>0</v>
      </c>
    </row>
    <row r="1056" spans="1:35" x14ac:dyDescent="0.55000000000000004">
      <c r="A1056" s="1">
        <v>1054</v>
      </c>
      <c r="B1056" s="1" t="s">
        <v>20</v>
      </c>
      <c r="C1056" s="1">
        <v>68</v>
      </c>
      <c r="D1056" s="1">
        <v>9</v>
      </c>
      <c r="E1056" s="1" t="s">
        <v>153</v>
      </c>
      <c r="F1056" s="1" t="s">
        <v>154</v>
      </c>
      <c r="G1056" s="1">
        <v>27</v>
      </c>
      <c r="H1056" s="1">
        <v>2</v>
      </c>
      <c r="I1056" s="1">
        <v>27090000</v>
      </c>
      <c r="J1056" s="1">
        <v>986</v>
      </c>
      <c r="K1056" s="1">
        <v>0</v>
      </c>
      <c r="L1056" s="1">
        <v>13872</v>
      </c>
      <c r="M1056" s="1">
        <v>13.446358</v>
      </c>
      <c r="N1056" s="1">
        <v>102.020645</v>
      </c>
      <c r="O1056" s="1">
        <v>4.82</v>
      </c>
      <c r="P1056" s="1">
        <v>0.28999999999999998</v>
      </c>
      <c r="Q1056" s="1">
        <v>0.65</v>
      </c>
      <c r="R1056" s="1">
        <v>0.03</v>
      </c>
      <c r="S1056" s="1">
        <v>0.22</v>
      </c>
      <c r="T1056" s="1">
        <v>5.76</v>
      </c>
      <c r="U1056" s="1">
        <v>48.610000999999997</v>
      </c>
      <c r="V1056" s="1">
        <v>0.02</v>
      </c>
      <c r="W1056" s="1">
        <v>0</v>
      </c>
      <c r="X1056" s="1">
        <v>24193.578711999999</v>
      </c>
      <c r="Y1056" s="1">
        <v>20610241.1778</v>
      </c>
      <c r="Z1056" t="str">
        <f>VLOOKUP(G1056,'Code Pro'!$A$2:$B$9,2,FALSE)</f>
        <v>จ.สระแก้ว</v>
      </c>
      <c r="AA1056" s="8">
        <f t="shared" si="145"/>
        <v>99341362.476996005</v>
      </c>
      <c r="AB1056" s="8">
        <f t="shared" si="146"/>
        <v>5976969.9415619997</v>
      </c>
      <c r="AC1056" s="8">
        <f t="shared" si="147"/>
        <v>13396656.76557</v>
      </c>
      <c r="AD1056" s="8">
        <f t="shared" si="148"/>
        <v>618307.23533399997</v>
      </c>
      <c r="AE1056" s="8">
        <f t="shared" si="149"/>
        <v>4534253.0591160003</v>
      </c>
      <c r="AF1056" s="8">
        <f t="shared" si="150"/>
        <v>118714989.184128</v>
      </c>
      <c r="AG1056" s="8">
        <f t="shared" si="151"/>
        <v>1001863844.2630991</v>
      </c>
      <c r="AH1056" s="8">
        <f t="shared" si="152"/>
        <v>412204.82355600002</v>
      </c>
      <c r="AI1056" s="8">
        <f t="shared" si="153"/>
        <v>0</v>
      </c>
    </row>
    <row r="1057" spans="1:35" x14ac:dyDescent="0.55000000000000004">
      <c r="A1057" s="1">
        <v>1055</v>
      </c>
      <c r="B1057" s="1" t="s">
        <v>20</v>
      </c>
      <c r="C1057" s="1">
        <v>68</v>
      </c>
      <c r="D1057" s="1">
        <v>9</v>
      </c>
      <c r="E1057" s="1" t="s">
        <v>153</v>
      </c>
      <c r="F1057" s="1" t="s">
        <v>154</v>
      </c>
      <c r="G1057" s="1">
        <v>27</v>
      </c>
      <c r="H1057" s="1">
        <v>2</v>
      </c>
      <c r="I1057" s="1">
        <v>27090000</v>
      </c>
      <c r="J1057" s="1">
        <v>988</v>
      </c>
      <c r="K1057" s="1">
        <v>0</v>
      </c>
      <c r="L1057" s="1">
        <v>13634</v>
      </c>
      <c r="M1057" s="1">
        <v>13.284592</v>
      </c>
      <c r="N1057" s="1">
        <v>102.18692</v>
      </c>
      <c r="O1057" s="1">
        <v>36.889999000000003</v>
      </c>
      <c r="P1057" s="1">
        <v>5.94</v>
      </c>
      <c r="Q1057" s="1">
        <v>1.1200000000000001</v>
      </c>
      <c r="R1057" s="1">
        <v>1.1499999999999999</v>
      </c>
      <c r="S1057" s="1">
        <v>1.56</v>
      </c>
      <c r="T1057" s="1">
        <v>10.98</v>
      </c>
      <c r="U1057" s="1">
        <v>47.57</v>
      </c>
      <c r="V1057" s="1">
        <v>0.25</v>
      </c>
      <c r="W1057" s="1">
        <v>2.2599999999999998</v>
      </c>
      <c r="X1057" s="1">
        <v>32151.151395000001</v>
      </c>
      <c r="Y1057" s="1">
        <v>30939917.347199999</v>
      </c>
      <c r="Z1057" t="str">
        <f>VLOOKUP(G1057,'Code Pro'!$A$2:$B$9,2,FALSE)</f>
        <v>จ.สระแก้ว</v>
      </c>
      <c r="AA1057" s="8">
        <f t="shared" si="145"/>
        <v>1141373519.9982908</v>
      </c>
      <c r="AB1057" s="8">
        <f t="shared" si="146"/>
        <v>183783109.04236799</v>
      </c>
      <c r="AC1057" s="8">
        <f t="shared" si="147"/>
        <v>34652707.428864002</v>
      </c>
      <c r="AD1057" s="8">
        <f t="shared" si="148"/>
        <v>35580904.949279994</v>
      </c>
      <c r="AE1057" s="8">
        <f t="shared" si="149"/>
        <v>48266271.061632</v>
      </c>
      <c r="AF1057" s="8">
        <f t="shared" si="150"/>
        <v>339720292.472256</v>
      </c>
      <c r="AG1057" s="8">
        <f t="shared" si="151"/>
        <v>1471811868.2063038</v>
      </c>
      <c r="AH1057" s="8">
        <f t="shared" si="152"/>
        <v>7734979.3367999997</v>
      </c>
      <c r="AI1057" s="8">
        <f t="shared" si="153"/>
        <v>69924213.204671994</v>
      </c>
    </row>
    <row r="1058" spans="1:35" x14ac:dyDescent="0.55000000000000004">
      <c r="A1058" s="1">
        <v>1056</v>
      </c>
      <c r="B1058" s="1" t="s">
        <v>20</v>
      </c>
      <c r="C1058" s="1">
        <v>68</v>
      </c>
      <c r="D1058" s="1">
        <v>9</v>
      </c>
      <c r="E1058" s="1" t="s">
        <v>153</v>
      </c>
      <c r="F1058" s="1" t="s">
        <v>154</v>
      </c>
      <c r="G1058" s="1">
        <v>27</v>
      </c>
      <c r="H1058" s="1">
        <v>2</v>
      </c>
      <c r="I1058" s="1">
        <v>27090000</v>
      </c>
      <c r="J1058" s="1">
        <v>989</v>
      </c>
      <c r="K1058" s="1">
        <v>0</v>
      </c>
      <c r="L1058" s="1">
        <v>13753</v>
      </c>
      <c r="M1058" s="1">
        <v>13.365479000000001</v>
      </c>
      <c r="N1058" s="1">
        <v>102.10378</v>
      </c>
      <c r="O1058" s="1">
        <v>18.84</v>
      </c>
      <c r="P1058" s="1">
        <v>0.75</v>
      </c>
      <c r="Q1058" s="1">
        <v>11.6</v>
      </c>
      <c r="R1058" s="1">
        <v>8.9499999999999993</v>
      </c>
      <c r="S1058" s="1">
        <v>7.21</v>
      </c>
      <c r="T1058" s="1">
        <v>9.4</v>
      </c>
      <c r="U1058" s="1">
        <v>33.549999</v>
      </c>
      <c r="V1058" s="1">
        <v>0.01</v>
      </c>
      <c r="W1058" s="1">
        <v>7.0000000000000007E-2</v>
      </c>
      <c r="X1058" s="1">
        <v>38909.626224</v>
      </c>
      <c r="Y1058" s="1">
        <v>79502599.035799995</v>
      </c>
      <c r="Z1058" t="str">
        <f>VLOOKUP(G1058,'Code Pro'!$A$2:$B$9,2,FALSE)</f>
        <v>จ.สระแก้ว</v>
      </c>
      <c r="AA1058" s="8">
        <f t="shared" si="145"/>
        <v>1497828965.8344719</v>
      </c>
      <c r="AB1058" s="8">
        <f t="shared" si="146"/>
        <v>59626949.27685</v>
      </c>
      <c r="AC1058" s="8">
        <f t="shared" si="147"/>
        <v>922230148.81527996</v>
      </c>
      <c r="AD1058" s="8">
        <f t="shared" si="148"/>
        <v>711548261.37040985</v>
      </c>
      <c r="AE1058" s="8">
        <f t="shared" si="149"/>
        <v>573213739.048118</v>
      </c>
      <c r="AF1058" s="8">
        <f t="shared" si="150"/>
        <v>747324430.93651998</v>
      </c>
      <c r="AG1058" s="8">
        <f t="shared" si="151"/>
        <v>2667312118.1484909</v>
      </c>
      <c r="AH1058" s="8">
        <f t="shared" si="152"/>
        <v>795025.99035799992</v>
      </c>
      <c r="AI1058" s="8">
        <f t="shared" si="153"/>
        <v>5565181.9325060006</v>
      </c>
    </row>
    <row r="1059" spans="1:35" x14ac:dyDescent="0.55000000000000004">
      <c r="A1059" s="1">
        <v>1057</v>
      </c>
      <c r="B1059" s="1" t="s">
        <v>20</v>
      </c>
      <c r="C1059" s="1">
        <v>68</v>
      </c>
      <c r="D1059" s="1">
        <v>9</v>
      </c>
      <c r="E1059" s="1" t="s">
        <v>153</v>
      </c>
      <c r="F1059" s="1" t="s">
        <v>154</v>
      </c>
      <c r="G1059" s="1">
        <v>27</v>
      </c>
      <c r="H1059" s="1">
        <v>2</v>
      </c>
      <c r="I1059" s="1">
        <v>27090000</v>
      </c>
      <c r="J1059" s="1">
        <v>990</v>
      </c>
      <c r="K1059" s="1">
        <v>0</v>
      </c>
      <c r="L1059" s="1">
        <v>13874</v>
      </c>
      <c r="M1059" s="1">
        <v>13.446358</v>
      </c>
      <c r="N1059" s="1">
        <v>102.18692</v>
      </c>
      <c r="O1059" s="1">
        <v>9.34</v>
      </c>
      <c r="P1059" s="1">
        <v>7.0000000000000007E-2</v>
      </c>
      <c r="Q1059" s="1">
        <v>2.4</v>
      </c>
      <c r="R1059" s="1">
        <v>16.780000999999999</v>
      </c>
      <c r="S1059" s="1">
        <v>7.0000000000000007E-2</v>
      </c>
      <c r="T1059" s="1">
        <v>10.64</v>
      </c>
      <c r="U1059" s="1">
        <v>20.190000999999999</v>
      </c>
      <c r="V1059" s="1">
        <v>0.03</v>
      </c>
      <c r="W1059" s="1">
        <v>0.01</v>
      </c>
      <c r="X1059" s="1">
        <v>33369.591475000001</v>
      </c>
      <c r="Y1059" s="1">
        <v>62650937.894699998</v>
      </c>
      <c r="Z1059" t="str">
        <f>VLOOKUP(G1059,'Code Pro'!$A$2:$B$9,2,FALSE)</f>
        <v>จ.สระแก้ว</v>
      </c>
      <c r="AA1059" s="8">
        <f t="shared" si="145"/>
        <v>585159759.93649793</v>
      </c>
      <c r="AB1059" s="8">
        <f t="shared" si="146"/>
        <v>4385565.6526290001</v>
      </c>
      <c r="AC1059" s="8">
        <f t="shared" si="147"/>
        <v>150362250.94727999</v>
      </c>
      <c r="AD1059" s="8">
        <f t="shared" si="148"/>
        <v>1051282800.5240037</v>
      </c>
      <c r="AE1059" s="8">
        <f t="shared" si="149"/>
        <v>4385565.6526290001</v>
      </c>
      <c r="AF1059" s="8">
        <f t="shared" si="150"/>
        <v>666605979.19960797</v>
      </c>
      <c r="AG1059" s="8">
        <f t="shared" si="151"/>
        <v>1264922498.7449307</v>
      </c>
      <c r="AH1059" s="8">
        <f t="shared" si="152"/>
        <v>1879528.1368409998</v>
      </c>
      <c r="AI1059" s="8">
        <f t="shared" si="153"/>
        <v>626509.37894700002</v>
      </c>
    </row>
    <row r="1060" spans="1:35" x14ac:dyDescent="0.55000000000000004">
      <c r="A1060" s="1">
        <v>1058</v>
      </c>
      <c r="B1060" s="1" t="s">
        <v>20</v>
      </c>
      <c r="C1060" s="1">
        <v>68</v>
      </c>
      <c r="D1060" s="1">
        <v>9</v>
      </c>
      <c r="E1060" s="1" t="s">
        <v>153</v>
      </c>
      <c r="F1060" s="1" t="s">
        <v>154</v>
      </c>
      <c r="G1060" s="1">
        <v>27</v>
      </c>
      <c r="H1060" s="1">
        <v>2</v>
      </c>
      <c r="I1060" s="1">
        <v>27090000</v>
      </c>
      <c r="J1060" s="1">
        <v>991</v>
      </c>
      <c r="K1060" s="1">
        <v>0</v>
      </c>
      <c r="L1060" s="1">
        <v>13873</v>
      </c>
      <c r="M1060" s="1">
        <v>13.446358</v>
      </c>
      <c r="N1060" s="1">
        <v>102.10378</v>
      </c>
      <c r="O1060" s="1">
        <v>18.309999000000001</v>
      </c>
      <c r="P1060" s="1">
        <v>0.06</v>
      </c>
      <c r="Q1060" s="1">
        <v>0.2</v>
      </c>
      <c r="R1060" s="1">
        <v>0.15</v>
      </c>
      <c r="S1060" s="1">
        <v>0</v>
      </c>
      <c r="T1060" s="1">
        <v>2.63</v>
      </c>
      <c r="U1060" s="1">
        <v>26.02</v>
      </c>
      <c r="V1060" s="1">
        <v>0.22</v>
      </c>
      <c r="W1060" s="1">
        <v>0.01</v>
      </c>
      <c r="X1060" s="1">
        <v>28728.695518</v>
      </c>
      <c r="Y1060" s="1">
        <v>42481458.343000002</v>
      </c>
      <c r="Z1060" t="str">
        <f>VLOOKUP(G1060,'Code Pro'!$A$2:$B$9,2,FALSE)</f>
        <v>จ.สระแก้ว</v>
      </c>
      <c r="AA1060" s="8">
        <f t="shared" si="145"/>
        <v>777835459.77887177</v>
      </c>
      <c r="AB1060" s="8">
        <f t="shared" si="146"/>
        <v>2548887.5005800002</v>
      </c>
      <c r="AC1060" s="8">
        <f t="shared" si="147"/>
        <v>8496291.6686000004</v>
      </c>
      <c r="AD1060" s="8">
        <f t="shared" si="148"/>
        <v>6372218.7514500003</v>
      </c>
      <c r="AE1060" s="8">
        <f t="shared" si="149"/>
        <v>0</v>
      </c>
      <c r="AF1060" s="8">
        <f t="shared" si="150"/>
        <v>111726235.44209</v>
      </c>
      <c r="AG1060" s="8">
        <f t="shared" si="151"/>
        <v>1105367546.0848601</v>
      </c>
      <c r="AH1060" s="8">
        <f t="shared" si="152"/>
        <v>9345920.8354599997</v>
      </c>
      <c r="AI1060" s="8">
        <f t="shared" si="153"/>
        <v>424814.58343000006</v>
      </c>
    </row>
    <row r="1061" spans="1:35" x14ac:dyDescent="0.55000000000000004">
      <c r="A1061" s="1">
        <v>1059</v>
      </c>
      <c r="B1061" s="1" t="s">
        <v>20</v>
      </c>
      <c r="C1061" s="1">
        <v>68</v>
      </c>
      <c r="D1061" s="1">
        <v>9</v>
      </c>
      <c r="E1061" s="1" t="s">
        <v>153</v>
      </c>
      <c r="F1061" s="1" t="s">
        <v>154</v>
      </c>
      <c r="G1061" s="1">
        <v>27</v>
      </c>
      <c r="H1061" s="1">
        <v>2</v>
      </c>
      <c r="I1061" s="1">
        <v>27090000</v>
      </c>
      <c r="J1061" s="1">
        <v>992</v>
      </c>
      <c r="K1061" s="1">
        <v>0</v>
      </c>
      <c r="L1061" s="1">
        <v>13754</v>
      </c>
      <c r="M1061" s="1">
        <v>13.365479000000001</v>
      </c>
      <c r="N1061" s="1">
        <v>102.18692</v>
      </c>
      <c r="O1061" s="1">
        <v>37.389999000000003</v>
      </c>
      <c r="P1061" s="1">
        <v>0.16</v>
      </c>
      <c r="Q1061" s="1">
        <v>1.21</v>
      </c>
      <c r="R1061" s="1">
        <v>3.18</v>
      </c>
      <c r="S1061" s="1">
        <v>0.08</v>
      </c>
      <c r="T1061" s="1">
        <v>17.600000000000001</v>
      </c>
      <c r="U1061" s="1">
        <v>16.170000000000002</v>
      </c>
      <c r="V1061" s="1">
        <v>0.02</v>
      </c>
      <c r="W1061" s="1">
        <v>7.0000000000000007E-2</v>
      </c>
      <c r="X1061" s="1">
        <v>35776.561298000001</v>
      </c>
      <c r="Y1061" s="1">
        <v>79001389.659500003</v>
      </c>
      <c r="Z1061" t="str">
        <f>VLOOKUP(G1061,'Code Pro'!$A$2:$B$9,2,FALSE)</f>
        <v>จ.สระแก้ว</v>
      </c>
      <c r="AA1061" s="8">
        <f t="shared" si="145"/>
        <v>2953861880.3673158</v>
      </c>
      <c r="AB1061" s="8">
        <f t="shared" si="146"/>
        <v>12640222.345520001</v>
      </c>
      <c r="AC1061" s="8">
        <f t="shared" si="147"/>
        <v>95591681.487994999</v>
      </c>
      <c r="AD1061" s="8">
        <f t="shared" si="148"/>
        <v>251224419.11721003</v>
      </c>
      <c r="AE1061" s="8">
        <f t="shared" si="149"/>
        <v>6320111.1727600005</v>
      </c>
      <c r="AF1061" s="8">
        <f t="shared" si="150"/>
        <v>1390424458.0072002</v>
      </c>
      <c r="AG1061" s="8">
        <f t="shared" si="151"/>
        <v>1277452470.7941151</v>
      </c>
      <c r="AH1061" s="8">
        <f t="shared" si="152"/>
        <v>1580027.7931900001</v>
      </c>
      <c r="AI1061" s="8">
        <f t="shared" si="153"/>
        <v>5530097.2761650011</v>
      </c>
    </row>
    <row r="1062" spans="1:35" x14ac:dyDescent="0.55000000000000004">
      <c r="A1062" s="1">
        <v>1060</v>
      </c>
      <c r="B1062" s="1" t="s">
        <v>20</v>
      </c>
      <c r="C1062" s="1">
        <v>68</v>
      </c>
      <c r="D1062" s="1">
        <v>9</v>
      </c>
      <c r="E1062" s="1" t="s">
        <v>153</v>
      </c>
      <c r="F1062" s="1" t="s">
        <v>154</v>
      </c>
      <c r="G1062" s="1">
        <v>27</v>
      </c>
      <c r="H1062" s="1">
        <v>2</v>
      </c>
      <c r="I1062" s="1">
        <v>27090000</v>
      </c>
      <c r="J1062" s="1">
        <v>999</v>
      </c>
      <c r="K1062" s="1">
        <v>0</v>
      </c>
      <c r="L1062" s="1">
        <v>13755</v>
      </c>
      <c r="M1062" s="1">
        <v>13.365479000000001</v>
      </c>
      <c r="N1062" s="1">
        <v>102.27006</v>
      </c>
      <c r="O1062" s="1">
        <v>47.849997999999999</v>
      </c>
      <c r="P1062" s="1">
        <v>8.4700000000000006</v>
      </c>
      <c r="Q1062" s="1">
        <v>0.52</v>
      </c>
      <c r="R1062" s="1">
        <v>1.07</v>
      </c>
      <c r="S1062" s="1">
        <v>1.84</v>
      </c>
      <c r="T1062" s="1">
        <v>4.96</v>
      </c>
      <c r="U1062" s="1">
        <v>9.52</v>
      </c>
      <c r="V1062" s="1">
        <v>0.05</v>
      </c>
      <c r="W1062" s="1">
        <v>7.0000000000000007E-2</v>
      </c>
      <c r="X1062" s="1">
        <v>15972.228005999999</v>
      </c>
      <c r="Y1062" s="1">
        <v>8199167.4100900004</v>
      </c>
      <c r="Z1062" t="str">
        <f>VLOOKUP(G1062,'Code Pro'!$A$2:$B$9,2,FALSE)</f>
        <v>จ.สระแก้ว</v>
      </c>
      <c r="AA1062" s="8">
        <f t="shared" si="145"/>
        <v>392330144.17447168</v>
      </c>
      <c r="AB1062" s="8">
        <f t="shared" si="146"/>
        <v>69446947.963462308</v>
      </c>
      <c r="AC1062" s="8">
        <f t="shared" si="147"/>
        <v>4263567.0532468008</v>
      </c>
      <c r="AD1062" s="8">
        <f t="shared" si="148"/>
        <v>8773109.1287963018</v>
      </c>
      <c r="AE1062" s="8">
        <f t="shared" si="149"/>
        <v>15086468.034565601</v>
      </c>
      <c r="AF1062" s="8">
        <f t="shared" si="150"/>
        <v>40667870.354046404</v>
      </c>
      <c r="AG1062" s="8">
        <f t="shared" si="151"/>
        <v>78056073.744056806</v>
      </c>
      <c r="AH1062" s="8">
        <f t="shared" si="152"/>
        <v>409958.37050450005</v>
      </c>
      <c r="AI1062" s="8">
        <f t="shared" si="153"/>
        <v>573941.71870630013</v>
      </c>
    </row>
    <row r="1063" spans="1:35" x14ac:dyDescent="0.55000000000000004">
      <c r="A1063" s="1">
        <v>1061</v>
      </c>
      <c r="B1063" s="1" t="s">
        <v>20</v>
      </c>
      <c r="C1063" s="1">
        <v>68</v>
      </c>
      <c r="D1063" s="1">
        <v>9</v>
      </c>
      <c r="E1063" s="1" t="s">
        <v>153</v>
      </c>
      <c r="F1063" s="1" t="s">
        <v>154</v>
      </c>
      <c r="G1063" s="1">
        <v>27</v>
      </c>
      <c r="H1063" s="1">
        <v>2</v>
      </c>
      <c r="I1063" s="1">
        <v>27090000</v>
      </c>
      <c r="J1063" s="1">
        <v>1000</v>
      </c>
      <c r="K1063" s="1">
        <v>0</v>
      </c>
      <c r="L1063" s="1">
        <v>13635</v>
      </c>
      <c r="M1063" s="1">
        <v>13.284592</v>
      </c>
      <c r="N1063" s="1">
        <v>102.27006</v>
      </c>
      <c r="O1063" s="1">
        <v>3.38</v>
      </c>
      <c r="P1063" s="1">
        <v>44.349997999999999</v>
      </c>
      <c r="Q1063" s="1">
        <v>0.14000000000000001</v>
      </c>
      <c r="R1063" s="1">
        <v>0.39</v>
      </c>
      <c r="S1063" s="1">
        <v>9.15</v>
      </c>
      <c r="T1063" s="1">
        <v>38.68</v>
      </c>
      <c r="U1063" s="1">
        <v>15.62</v>
      </c>
      <c r="V1063" s="1">
        <v>0.83</v>
      </c>
      <c r="W1063" s="1">
        <v>0.31</v>
      </c>
      <c r="X1063" s="1">
        <v>32145.295450000001</v>
      </c>
      <c r="Y1063" s="1">
        <v>46383188.7707</v>
      </c>
      <c r="Z1063" t="str">
        <f>VLOOKUP(G1063,'Code Pro'!$A$2:$B$9,2,FALSE)</f>
        <v>จ.สระแก้ว</v>
      </c>
      <c r="AA1063" s="8">
        <f t="shared" si="145"/>
        <v>156775178.04496598</v>
      </c>
      <c r="AB1063" s="8">
        <f t="shared" si="146"/>
        <v>2057094329.2141674</v>
      </c>
      <c r="AC1063" s="8">
        <f t="shared" si="147"/>
        <v>6493646.4278980009</v>
      </c>
      <c r="AD1063" s="8">
        <f t="shared" si="148"/>
        <v>18089443.620572999</v>
      </c>
      <c r="AE1063" s="8">
        <f t="shared" si="149"/>
        <v>424406177.25190502</v>
      </c>
      <c r="AF1063" s="8">
        <f t="shared" si="150"/>
        <v>1794101741.650676</v>
      </c>
      <c r="AG1063" s="8">
        <f t="shared" si="151"/>
        <v>724505408.59833395</v>
      </c>
      <c r="AH1063" s="8">
        <f t="shared" si="152"/>
        <v>38498046.679680996</v>
      </c>
      <c r="AI1063" s="8">
        <f t="shared" si="153"/>
        <v>14378788.518917</v>
      </c>
    </row>
    <row r="1064" spans="1:35" x14ac:dyDescent="0.55000000000000004">
      <c r="A1064" s="1">
        <v>1062</v>
      </c>
      <c r="B1064" s="1" t="s">
        <v>20</v>
      </c>
      <c r="C1064" s="1">
        <v>0</v>
      </c>
      <c r="D1064" s="1" t="s">
        <v>155</v>
      </c>
      <c r="E1064" s="1" t="s">
        <v>156</v>
      </c>
      <c r="F1064" s="1" t="s">
        <v>157</v>
      </c>
      <c r="G1064" s="1" t="s">
        <v>155</v>
      </c>
      <c r="H1064" s="1">
        <v>1</v>
      </c>
      <c r="I1064" s="1" t="s">
        <v>155</v>
      </c>
      <c r="J1064" s="1">
        <v>724</v>
      </c>
      <c r="K1064" s="1">
        <v>0</v>
      </c>
      <c r="L1064" s="1">
        <v>14339</v>
      </c>
      <c r="M1064" s="1">
        <v>13.769569000000001</v>
      </c>
      <c r="N1064" s="1">
        <v>100.93988</v>
      </c>
      <c r="O1064" s="1">
        <v>7.61</v>
      </c>
      <c r="P1064" s="1">
        <v>0.26</v>
      </c>
      <c r="Q1064" s="1">
        <v>37.810001</v>
      </c>
      <c r="R1064" s="1">
        <v>0</v>
      </c>
      <c r="S1064" s="1">
        <v>0.74</v>
      </c>
      <c r="T1064" s="1">
        <v>52.41</v>
      </c>
      <c r="U1064" s="1">
        <v>2.73</v>
      </c>
      <c r="V1064" s="1">
        <v>0</v>
      </c>
      <c r="W1064" s="1">
        <v>0</v>
      </c>
      <c r="X1064" s="1">
        <v>2.7665670000000002</v>
      </c>
      <c r="Y1064" s="1">
        <v>3.5500000000000002E-3</v>
      </c>
      <c r="Z1064" t="e">
        <f>VLOOKUP(G1064,'Code Pro'!$A$2:$B$9,2,FALSE)</f>
        <v>#N/A</v>
      </c>
      <c r="AA1064" s="8">
        <f t="shared" si="145"/>
        <v>2.7015500000000001E-2</v>
      </c>
      <c r="AB1064" s="8">
        <f t="shared" si="146"/>
        <v>9.230000000000001E-4</v>
      </c>
      <c r="AC1064" s="8">
        <f t="shared" si="147"/>
        <v>0.13422550355000001</v>
      </c>
      <c r="AD1064" s="8">
        <f t="shared" si="148"/>
        <v>0</v>
      </c>
      <c r="AE1064" s="8">
        <f t="shared" si="149"/>
        <v>2.627E-3</v>
      </c>
      <c r="AF1064" s="8">
        <f t="shared" si="150"/>
        <v>0.18605549999999998</v>
      </c>
      <c r="AG1064" s="8">
        <f t="shared" si="151"/>
        <v>9.6915000000000005E-3</v>
      </c>
      <c r="AH1064" s="8">
        <f t="shared" si="152"/>
        <v>0</v>
      </c>
      <c r="AI1064" s="8">
        <f t="shared" si="153"/>
        <v>0</v>
      </c>
    </row>
    <row r="1065" spans="1:35" x14ac:dyDescent="0.55000000000000004">
      <c r="A1065" s="1">
        <v>1063</v>
      </c>
      <c r="B1065" s="1" t="s">
        <v>20</v>
      </c>
      <c r="C1065" s="1">
        <v>38</v>
      </c>
      <c r="D1065" s="1">
        <v>1</v>
      </c>
      <c r="E1065" s="1" t="s">
        <v>93</v>
      </c>
      <c r="F1065" s="1" t="s">
        <v>94</v>
      </c>
      <c r="G1065" s="1">
        <v>24</v>
      </c>
      <c r="H1065" s="1">
        <v>2</v>
      </c>
      <c r="I1065" s="1">
        <v>24010000</v>
      </c>
      <c r="J1065" s="1">
        <v>724</v>
      </c>
      <c r="K1065" s="1">
        <v>0</v>
      </c>
      <c r="L1065" s="1">
        <v>14339</v>
      </c>
      <c r="M1065" s="1">
        <v>13.769569000000001</v>
      </c>
      <c r="N1065" s="1">
        <v>100.93988</v>
      </c>
      <c r="O1065" s="1">
        <v>7.61</v>
      </c>
      <c r="P1065" s="1">
        <v>0.26</v>
      </c>
      <c r="Q1065" s="1">
        <v>37.810001</v>
      </c>
      <c r="R1065" s="1">
        <v>0</v>
      </c>
      <c r="S1065" s="1">
        <v>0.74</v>
      </c>
      <c r="T1065" s="1">
        <v>52.41</v>
      </c>
      <c r="U1065" s="1">
        <v>2.73</v>
      </c>
      <c r="V1065" s="1">
        <v>0</v>
      </c>
      <c r="W1065" s="1">
        <v>0</v>
      </c>
      <c r="X1065" s="1">
        <v>2.7665670000000002</v>
      </c>
      <c r="Y1065" s="1">
        <v>3.5500000000000002E-3</v>
      </c>
      <c r="Z1065" t="str">
        <f>VLOOKUP(G1065,'Code Pro'!$A$2:$B$9,2,FALSE)</f>
        <v>จ.ฉะเชิงเทรา</v>
      </c>
      <c r="AA1065" s="8">
        <f t="shared" si="145"/>
        <v>2.7015500000000001E-2</v>
      </c>
      <c r="AB1065" s="8">
        <f t="shared" si="146"/>
        <v>9.230000000000001E-4</v>
      </c>
      <c r="AC1065" s="8">
        <f t="shared" si="147"/>
        <v>0.13422550355000001</v>
      </c>
      <c r="AD1065" s="8">
        <f t="shared" si="148"/>
        <v>0</v>
      </c>
      <c r="AE1065" s="8">
        <f t="shared" si="149"/>
        <v>2.627E-3</v>
      </c>
      <c r="AF1065" s="8">
        <f t="shared" si="150"/>
        <v>0.18605549999999998</v>
      </c>
      <c r="AG1065" s="8">
        <f t="shared" si="151"/>
        <v>9.6915000000000005E-3</v>
      </c>
      <c r="AH1065" s="8">
        <f t="shared" si="152"/>
        <v>0</v>
      </c>
      <c r="AI1065" s="8">
        <f t="shared" si="153"/>
        <v>0</v>
      </c>
    </row>
    <row r="1066" spans="1:35" x14ac:dyDescent="0.55000000000000004">
      <c r="A1066" s="1">
        <v>1064</v>
      </c>
      <c r="B1066" s="1" t="s">
        <v>20</v>
      </c>
      <c r="C1066" s="1">
        <v>0</v>
      </c>
      <c r="D1066" s="1" t="s">
        <v>155</v>
      </c>
      <c r="E1066" s="1" t="s">
        <v>156</v>
      </c>
      <c r="F1066" s="1" t="s">
        <v>157</v>
      </c>
      <c r="G1066" s="1" t="s">
        <v>155</v>
      </c>
      <c r="H1066" s="1">
        <v>1</v>
      </c>
      <c r="I1066" s="1" t="s">
        <v>155</v>
      </c>
      <c r="J1066" s="1">
        <v>724</v>
      </c>
      <c r="K1066" s="1">
        <v>0</v>
      </c>
      <c r="L1066" s="1">
        <v>14339</v>
      </c>
      <c r="M1066" s="1">
        <v>13.769569000000001</v>
      </c>
      <c r="N1066" s="1">
        <v>100.93988</v>
      </c>
      <c r="O1066" s="1">
        <v>7.61</v>
      </c>
      <c r="P1066" s="1">
        <v>0.26</v>
      </c>
      <c r="Q1066" s="1">
        <v>37.810001</v>
      </c>
      <c r="R1066" s="1">
        <v>0</v>
      </c>
      <c r="S1066" s="1">
        <v>0.74</v>
      </c>
      <c r="T1066" s="1">
        <v>52.41</v>
      </c>
      <c r="U1066" s="1">
        <v>2.73</v>
      </c>
      <c r="V1066" s="1">
        <v>0</v>
      </c>
      <c r="W1066" s="1">
        <v>0</v>
      </c>
      <c r="X1066" s="1">
        <v>600.97047099999997</v>
      </c>
      <c r="Y1066" s="1">
        <v>0.77263899999999996</v>
      </c>
      <c r="Z1066" t="e">
        <f>VLOOKUP(G1066,'Code Pro'!$A$2:$B$9,2,FALSE)</f>
        <v>#N/A</v>
      </c>
      <c r="AA1066" s="8">
        <f t="shared" si="145"/>
        <v>5.8797827900000001</v>
      </c>
      <c r="AB1066" s="8">
        <f t="shared" si="146"/>
        <v>0.20088613999999999</v>
      </c>
      <c r="AC1066" s="8">
        <f t="shared" si="147"/>
        <v>29.213481362638998</v>
      </c>
      <c r="AD1066" s="8">
        <f t="shared" si="148"/>
        <v>0</v>
      </c>
      <c r="AE1066" s="8">
        <f t="shared" si="149"/>
        <v>0.57175285999999992</v>
      </c>
      <c r="AF1066" s="8">
        <f t="shared" si="150"/>
        <v>40.494009989999995</v>
      </c>
      <c r="AG1066" s="8">
        <f t="shared" si="151"/>
        <v>2.1093044700000001</v>
      </c>
      <c r="AH1066" s="8">
        <f t="shared" si="152"/>
        <v>0</v>
      </c>
      <c r="AI1066" s="8">
        <f t="shared" si="153"/>
        <v>0</v>
      </c>
    </row>
    <row r="1067" spans="1:35" x14ac:dyDescent="0.55000000000000004">
      <c r="A1067" s="1">
        <v>1065</v>
      </c>
      <c r="B1067" s="1" t="s">
        <v>20</v>
      </c>
      <c r="C1067" s="1">
        <v>40</v>
      </c>
      <c r="D1067" s="1">
        <v>3</v>
      </c>
      <c r="E1067" s="1" t="s">
        <v>97</v>
      </c>
      <c r="F1067" s="1" t="s">
        <v>98</v>
      </c>
      <c r="G1067" s="1">
        <v>24</v>
      </c>
      <c r="H1067" s="1">
        <v>2</v>
      </c>
      <c r="I1067" s="1">
        <v>24030000</v>
      </c>
      <c r="J1067" s="1">
        <v>724</v>
      </c>
      <c r="K1067" s="1">
        <v>0</v>
      </c>
      <c r="L1067" s="1">
        <v>14339</v>
      </c>
      <c r="M1067" s="1">
        <v>13.769569000000001</v>
      </c>
      <c r="N1067" s="1">
        <v>100.93988</v>
      </c>
      <c r="O1067" s="1">
        <v>7.61</v>
      </c>
      <c r="P1067" s="1">
        <v>0.26</v>
      </c>
      <c r="Q1067" s="1">
        <v>37.810001</v>
      </c>
      <c r="R1067" s="1">
        <v>0</v>
      </c>
      <c r="S1067" s="1">
        <v>0.74</v>
      </c>
      <c r="T1067" s="1">
        <v>52.41</v>
      </c>
      <c r="U1067" s="1">
        <v>2.73</v>
      </c>
      <c r="V1067" s="1">
        <v>0</v>
      </c>
      <c r="W1067" s="1">
        <v>0</v>
      </c>
      <c r="X1067" s="1">
        <v>600.97047099999997</v>
      </c>
      <c r="Y1067" s="1">
        <v>0.77263899999999996</v>
      </c>
      <c r="Z1067" t="str">
        <f>VLOOKUP(G1067,'Code Pro'!$A$2:$B$9,2,FALSE)</f>
        <v>จ.ฉะเชิงเทรา</v>
      </c>
      <c r="AA1067" s="8">
        <f t="shared" si="145"/>
        <v>5.8797827900000001</v>
      </c>
      <c r="AB1067" s="8">
        <f t="shared" si="146"/>
        <v>0.20088613999999999</v>
      </c>
      <c r="AC1067" s="8">
        <f t="shared" si="147"/>
        <v>29.213481362638998</v>
      </c>
      <c r="AD1067" s="8">
        <f t="shared" si="148"/>
        <v>0</v>
      </c>
      <c r="AE1067" s="8">
        <f t="shared" si="149"/>
        <v>0.57175285999999992</v>
      </c>
      <c r="AF1067" s="8">
        <f t="shared" si="150"/>
        <v>40.494009989999995</v>
      </c>
      <c r="AG1067" s="8">
        <f t="shared" si="151"/>
        <v>2.1093044700000001</v>
      </c>
      <c r="AH1067" s="8">
        <f t="shared" si="152"/>
        <v>0</v>
      </c>
      <c r="AI1067" s="8">
        <f t="shared" si="153"/>
        <v>0</v>
      </c>
    </row>
    <row r="1068" spans="1:35" x14ac:dyDescent="0.55000000000000004">
      <c r="A1068" s="1">
        <v>1066</v>
      </c>
      <c r="B1068" s="1" t="s">
        <v>20</v>
      </c>
      <c r="C1068" s="1">
        <v>0</v>
      </c>
      <c r="D1068" s="1" t="s">
        <v>155</v>
      </c>
      <c r="E1068" s="1" t="s">
        <v>156</v>
      </c>
      <c r="F1068" s="1" t="s">
        <v>157</v>
      </c>
      <c r="G1068" s="1" t="s">
        <v>155</v>
      </c>
      <c r="H1068" s="1">
        <v>1</v>
      </c>
      <c r="I1068" s="1" t="s">
        <v>155</v>
      </c>
      <c r="J1068" s="1">
        <v>726</v>
      </c>
      <c r="K1068" s="1">
        <v>0</v>
      </c>
      <c r="L1068" s="1">
        <v>14459</v>
      </c>
      <c r="M1068" s="1">
        <v>13.850304</v>
      </c>
      <c r="N1068" s="1">
        <v>100.93988</v>
      </c>
      <c r="O1068" s="1">
        <v>1.86</v>
      </c>
      <c r="P1068" s="1">
        <v>0</v>
      </c>
      <c r="Q1068" s="1">
        <v>62.779998999999997</v>
      </c>
      <c r="R1068" s="1">
        <v>0.24</v>
      </c>
      <c r="S1068" s="1">
        <v>0.85</v>
      </c>
      <c r="T1068" s="1">
        <v>22.469999000000001</v>
      </c>
      <c r="U1068" s="1">
        <v>6.77</v>
      </c>
      <c r="V1068" s="1">
        <v>0</v>
      </c>
      <c r="W1068" s="1">
        <v>0</v>
      </c>
      <c r="X1068" s="1">
        <v>43.520060999999998</v>
      </c>
      <c r="Y1068" s="1">
        <v>0.25223000000000001</v>
      </c>
      <c r="Z1068" t="e">
        <f>VLOOKUP(G1068,'Code Pro'!$A$2:$B$9,2,FALSE)</f>
        <v>#N/A</v>
      </c>
      <c r="AA1068" s="8">
        <f t="shared" si="145"/>
        <v>0.46914780000000006</v>
      </c>
      <c r="AB1068" s="8">
        <f t="shared" si="146"/>
        <v>0</v>
      </c>
      <c r="AC1068" s="8">
        <f t="shared" si="147"/>
        <v>15.834999147770001</v>
      </c>
      <c r="AD1068" s="8">
        <f t="shared" si="148"/>
        <v>6.0535199999999997E-2</v>
      </c>
      <c r="AE1068" s="8">
        <f t="shared" si="149"/>
        <v>0.21439549999999999</v>
      </c>
      <c r="AF1068" s="8">
        <f t="shared" si="150"/>
        <v>5.6676078477700003</v>
      </c>
      <c r="AG1068" s="8">
        <f t="shared" si="151"/>
        <v>1.7075970999999999</v>
      </c>
      <c r="AH1068" s="8">
        <f t="shared" si="152"/>
        <v>0</v>
      </c>
      <c r="AI1068" s="8">
        <f t="shared" si="153"/>
        <v>0</v>
      </c>
    </row>
    <row r="1069" spans="1:35" x14ac:dyDescent="0.55000000000000004">
      <c r="A1069" s="1">
        <v>1067</v>
      </c>
      <c r="B1069" s="1" t="s">
        <v>20</v>
      </c>
      <c r="C1069" s="1">
        <v>40</v>
      </c>
      <c r="D1069" s="1">
        <v>3</v>
      </c>
      <c r="E1069" s="1" t="s">
        <v>97</v>
      </c>
      <c r="F1069" s="1" t="s">
        <v>98</v>
      </c>
      <c r="G1069" s="1">
        <v>24</v>
      </c>
      <c r="H1069" s="1">
        <v>2</v>
      </c>
      <c r="I1069" s="1">
        <v>24030000</v>
      </c>
      <c r="J1069" s="1">
        <v>726</v>
      </c>
      <c r="K1069" s="1">
        <v>0</v>
      </c>
      <c r="L1069" s="1">
        <v>14459</v>
      </c>
      <c r="M1069" s="1">
        <v>13.850304</v>
      </c>
      <c r="N1069" s="1">
        <v>100.93988</v>
      </c>
      <c r="O1069" s="1">
        <v>1.86</v>
      </c>
      <c r="P1069" s="1">
        <v>0</v>
      </c>
      <c r="Q1069" s="1">
        <v>62.779998999999997</v>
      </c>
      <c r="R1069" s="1">
        <v>0.24</v>
      </c>
      <c r="S1069" s="1">
        <v>0.85</v>
      </c>
      <c r="T1069" s="1">
        <v>22.469999000000001</v>
      </c>
      <c r="U1069" s="1">
        <v>6.77</v>
      </c>
      <c r="V1069" s="1">
        <v>0</v>
      </c>
      <c r="W1069" s="1">
        <v>0</v>
      </c>
      <c r="X1069" s="1">
        <v>43.520060999999998</v>
      </c>
      <c r="Y1069" s="1">
        <v>0.25223000000000001</v>
      </c>
      <c r="Z1069" t="str">
        <f>VLOOKUP(G1069,'Code Pro'!$A$2:$B$9,2,FALSE)</f>
        <v>จ.ฉะเชิงเทรา</v>
      </c>
      <c r="AA1069" s="8">
        <f t="shared" si="145"/>
        <v>0.46914780000000006</v>
      </c>
      <c r="AB1069" s="8">
        <f t="shared" si="146"/>
        <v>0</v>
      </c>
      <c r="AC1069" s="8">
        <f t="shared" si="147"/>
        <v>15.834999147770001</v>
      </c>
      <c r="AD1069" s="8">
        <f t="shared" si="148"/>
        <v>6.0535199999999997E-2</v>
      </c>
      <c r="AE1069" s="8">
        <f t="shared" si="149"/>
        <v>0.21439549999999999</v>
      </c>
      <c r="AF1069" s="8">
        <f t="shared" si="150"/>
        <v>5.6676078477700003</v>
      </c>
      <c r="AG1069" s="8">
        <f t="shared" si="151"/>
        <v>1.7075970999999999</v>
      </c>
      <c r="AH1069" s="8">
        <f t="shared" si="152"/>
        <v>0</v>
      </c>
      <c r="AI1069" s="8">
        <f t="shared" si="15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B8D3-56EA-405C-BFD1-10BB35A9E641}">
  <dimension ref="A1:U69"/>
  <sheetViews>
    <sheetView workbookViewId="0">
      <selection activeCell="A3" sqref="A3:A13"/>
    </sheetView>
  </sheetViews>
  <sheetFormatPr defaultRowHeight="24" x14ac:dyDescent="0.55000000000000004"/>
  <cols>
    <col min="1" max="1" width="11.625" style="3" bestFit="1" customWidth="1"/>
    <col min="2" max="2" width="15.5" style="3" bestFit="1" customWidth="1"/>
    <col min="3" max="3" width="14.375" bestFit="1" customWidth="1"/>
    <col min="4" max="5" width="13.125" bestFit="1" customWidth="1"/>
    <col min="6" max="7" width="14.125" bestFit="1" customWidth="1"/>
    <col min="8" max="9" width="13.125" bestFit="1" customWidth="1"/>
    <col min="10" max="10" width="14.125" bestFit="1" customWidth="1"/>
    <col min="11" max="11" width="13.125" bestFit="1" customWidth="1"/>
    <col min="12" max="12" width="14.125" bestFit="1" customWidth="1"/>
    <col min="13" max="21" width="10.75" bestFit="1" customWidth="1"/>
  </cols>
  <sheetData>
    <row r="1" spans="1:21" x14ac:dyDescent="0.55000000000000004">
      <c r="D1" s="54" t="s">
        <v>175</v>
      </c>
      <c r="E1" s="54"/>
      <c r="F1" s="54"/>
      <c r="G1" s="54"/>
      <c r="H1" s="54"/>
      <c r="I1" s="54"/>
      <c r="J1" s="54"/>
      <c r="K1" s="54"/>
      <c r="L1" s="54"/>
      <c r="M1" s="54" t="s">
        <v>176</v>
      </c>
      <c r="N1" s="54"/>
      <c r="O1" s="54"/>
      <c r="P1" s="54"/>
      <c r="Q1" s="54"/>
      <c r="R1" s="54"/>
      <c r="S1" s="54"/>
      <c r="T1" s="54"/>
      <c r="U1" s="54"/>
    </row>
    <row r="2" spans="1:21" x14ac:dyDescent="0.55000000000000004">
      <c r="A2" s="6" t="s">
        <v>168</v>
      </c>
      <c r="B2" s="6" t="s">
        <v>169</v>
      </c>
      <c r="C2" t="s">
        <v>174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1" x14ac:dyDescent="0.55000000000000004">
      <c r="A3" s="53" t="s">
        <v>163</v>
      </c>
      <c r="B3" s="6" t="s">
        <v>113</v>
      </c>
      <c r="C3" s="9">
        <f>SUMIFS(Data!$Y$2:$Y$2000,Data!$E$2:$E$2000,WeightCal!B3)</f>
        <v>107168613.33996999</v>
      </c>
      <c r="D3" s="10">
        <f>SUMIFS(Data!AA$2:AA$2000,Data!$E$2:$E$2000,WeightCal!$B3)</f>
        <v>6398634205.5848169</v>
      </c>
      <c r="E3" s="10">
        <f>SUMIFS(Data!AB$2:AB$2000,Data!$E$2:$E$2000,WeightCal!$B3)</f>
        <v>225285929.66415548</v>
      </c>
      <c r="F3" s="10">
        <f>SUMIFS(Data!AC$2:AC$2000,Data!$E$2:$E$2000,WeightCal!$B3)</f>
        <v>846200901.57533026</v>
      </c>
      <c r="G3" s="10">
        <f>SUMIFS(Data!AD$2:AD$2000,Data!$E$2:$E$2000,WeightCal!$B3)</f>
        <v>15280716.595038399</v>
      </c>
      <c r="H3" s="10">
        <f>SUMIFS(Data!AE$2:AE$2000,Data!$E$2:$E$2000,WeightCal!$B3)</f>
        <v>139276146.90479261</v>
      </c>
      <c r="I3" s="10">
        <f>SUMIFS(Data!AF$2:AF$2000,Data!$E$2:$E$2000,WeightCal!$B3)</f>
        <v>1297923365.1812596</v>
      </c>
      <c r="J3" s="10">
        <f>SUMIFS(Data!AG$2:AG$2000,Data!$E$2:$E$2000,WeightCal!$B3)</f>
        <v>3269124965.8671365</v>
      </c>
      <c r="K3" s="10">
        <f>SUMIFS(Data!AH$2:AH$2000,Data!$E$2:$E$2000,WeightCal!$B3)</f>
        <v>443468.62083199999</v>
      </c>
      <c r="L3" s="10">
        <f>SUMIFS(Data!AI$2:AI$2000,Data!$E$2:$E$2000,WeightCal!$B3)</f>
        <v>0</v>
      </c>
      <c r="M3" s="2">
        <f>+D3/$C3</f>
        <v>59.706233067385966</v>
      </c>
      <c r="N3" s="2">
        <f t="shared" ref="N3:T3" si="0">+E3/$C3</f>
        <v>2.1021633353553155</v>
      </c>
      <c r="O3" s="2">
        <f t="shared" si="0"/>
        <v>7.8959769582063641</v>
      </c>
      <c r="P3" s="2">
        <f t="shared" si="0"/>
        <v>0.14258574519914263</v>
      </c>
      <c r="Q3" s="2">
        <f t="shared" si="0"/>
        <v>1.299598292486702</v>
      </c>
      <c r="R3" s="2">
        <f t="shared" si="0"/>
        <v>12.111040021240822</v>
      </c>
      <c r="S3" s="2">
        <f t="shared" si="0"/>
        <v>30.504500002221004</v>
      </c>
      <c r="T3" s="2">
        <f t="shared" si="0"/>
        <v>4.1380457114359465E-3</v>
      </c>
      <c r="U3" s="2">
        <f>+L3/$C3</f>
        <v>0</v>
      </c>
    </row>
    <row r="4" spans="1:21" x14ac:dyDescent="0.55000000000000004">
      <c r="A4" s="53"/>
      <c r="B4" s="6" t="s">
        <v>111</v>
      </c>
      <c r="C4" s="9">
        <f>SUMIFS(Data!$Y$2:$Y$2000,Data!$E$2:$E$2000,WeightCal!B4)</f>
        <v>1422609907.3416328</v>
      </c>
      <c r="D4" s="10">
        <f>SUMIFS(Data!AA$2:AA$2000,Data!$E$2:$E$2000,WeightCal!$B4)</f>
        <v>14727950298.552732</v>
      </c>
      <c r="E4" s="10">
        <f>SUMIFS(Data!AB$2:AB$2000,Data!$E$2:$E$2000,WeightCal!$B4)</f>
        <v>5698886388.6388292</v>
      </c>
      <c r="F4" s="10">
        <f>SUMIFS(Data!AC$2:AC$2000,Data!$E$2:$E$2000,WeightCal!$B4)</f>
        <v>3194594414.3643379</v>
      </c>
      <c r="G4" s="10">
        <f>SUMIFS(Data!AD$2:AD$2000,Data!$E$2:$E$2000,WeightCal!$B4)</f>
        <v>767576043.08006108</v>
      </c>
      <c r="H4" s="10">
        <f>SUMIFS(Data!AE$2:AE$2000,Data!$E$2:$E$2000,WeightCal!$B4)</f>
        <v>9988692344.8375854</v>
      </c>
      <c r="I4" s="10">
        <f>SUMIFS(Data!AF$2:AF$2000,Data!$E$2:$E$2000,WeightCal!$B4)</f>
        <v>14725964877.772089</v>
      </c>
      <c r="J4" s="10">
        <f>SUMIFS(Data!AG$2:AG$2000,Data!$E$2:$E$2000,WeightCal!$B4)</f>
        <v>33698244206.211327</v>
      </c>
      <c r="K4" s="10">
        <f>SUMIFS(Data!AH$2:AH$2000,Data!$E$2:$E$2000,WeightCal!$B4)</f>
        <v>956867385.82706213</v>
      </c>
      <c r="L4" s="10">
        <f>SUMIFS(Data!AI$2:AI$2000,Data!$E$2:$E$2000,WeightCal!$B4)</f>
        <v>19108295.540485874</v>
      </c>
      <c r="M4" s="2">
        <f t="shared" ref="M4:M67" si="1">+D4/$C4</f>
        <v>10.352767981262124</v>
      </c>
      <c r="N4" s="2">
        <f t="shared" ref="N4:N67" si="2">+E4/$C4</f>
        <v>4.0059375091011997</v>
      </c>
      <c r="O4" s="2">
        <f t="shared" ref="O4:O67" si="3">+F4/$C4</f>
        <v>2.2455870705511485</v>
      </c>
      <c r="P4" s="2">
        <f t="shared" ref="P4:P67" si="4">+G4/$C4</f>
        <v>0.53955482744696748</v>
      </c>
      <c r="Q4" s="2">
        <f t="shared" ref="Q4:Q67" si="5">+H4/$C4</f>
        <v>7.0213853378140785</v>
      </c>
      <c r="R4" s="2">
        <f t="shared" ref="R4:R67" si="6">+I4/$C4</f>
        <v>10.351372362708929</v>
      </c>
      <c r="S4" s="2">
        <f t="shared" ref="S4:S67" si="7">+J4/$C4</f>
        <v>23.687620922858411</v>
      </c>
      <c r="T4" s="2">
        <f t="shared" ref="T4:T67" si="8">+K4/$C4</f>
        <v>0.67261403206105685</v>
      </c>
      <c r="U4" s="2">
        <f t="shared" ref="U4:U67" si="9">+L4/$C4</f>
        <v>1.3431858896717995E-2</v>
      </c>
    </row>
    <row r="5" spans="1:21" x14ac:dyDescent="0.55000000000000004">
      <c r="A5" s="53"/>
      <c r="B5" s="6" t="s">
        <v>95</v>
      </c>
      <c r="C5" s="9">
        <f>SUMIFS(Data!$Y$2:$Y$2000,Data!$E$2:$E$2000,WeightCal!B5)</f>
        <v>235598749.80604598</v>
      </c>
      <c r="D5" s="10">
        <f>SUMIFS(Data!AA$2:AA$2000,Data!$E$2:$E$2000,WeightCal!$B5)</f>
        <v>10591187786.975166</v>
      </c>
      <c r="E5" s="10">
        <f>SUMIFS(Data!AB$2:AB$2000,Data!$E$2:$E$2000,WeightCal!$B5)</f>
        <v>384712593.9394021</v>
      </c>
      <c r="F5" s="10">
        <f>SUMIFS(Data!AC$2:AC$2000,Data!$E$2:$E$2000,WeightCal!$B5)</f>
        <v>1972044072.1257873</v>
      </c>
      <c r="G5" s="10">
        <f>SUMIFS(Data!AD$2:AD$2000,Data!$E$2:$E$2000,WeightCal!$B5)</f>
        <v>16949884.796996821</v>
      </c>
      <c r="H5" s="10">
        <f>SUMIFS(Data!AE$2:AE$2000,Data!$E$2:$E$2000,WeightCal!$B5)</f>
        <v>362008560.66735303</v>
      </c>
      <c r="I5" s="10">
        <f>SUMIFS(Data!AF$2:AF$2000,Data!$E$2:$E$2000,WeightCal!$B5)</f>
        <v>3482830799.0739074</v>
      </c>
      <c r="J5" s="10">
        <f>SUMIFS(Data!AG$2:AG$2000,Data!$E$2:$E$2000,WeightCal!$B5)</f>
        <v>5410628046.9987612</v>
      </c>
      <c r="K5" s="10">
        <f>SUMIFS(Data!AH$2:AH$2000,Data!$E$2:$E$2000,WeightCal!$B5)</f>
        <v>49800401.43942</v>
      </c>
      <c r="L5" s="10">
        <f>SUMIFS(Data!AI$2:AI$2000,Data!$E$2:$E$2000,WeightCal!$B5)</f>
        <v>0</v>
      </c>
      <c r="M5" s="2">
        <f t="shared" si="1"/>
        <v>44.954346301473343</v>
      </c>
      <c r="N5" s="2">
        <f t="shared" si="2"/>
        <v>1.6329144117110657</v>
      </c>
      <c r="O5" s="2">
        <f t="shared" si="3"/>
        <v>8.370350325497272</v>
      </c>
      <c r="P5" s="2">
        <f t="shared" si="4"/>
        <v>7.1943865623016343E-2</v>
      </c>
      <c r="Q5" s="2">
        <f t="shared" si="5"/>
        <v>1.5365470358623401</v>
      </c>
      <c r="R5" s="2">
        <f t="shared" si="6"/>
        <v>14.782891683173652</v>
      </c>
      <c r="S5" s="2">
        <f t="shared" si="7"/>
        <v>22.965436155552606</v>
      </c>
      <c r="T5" s="2">
        <f t="shared" si="8"/>
        <v>0.21137803778847561</v>
      </c>
      <c r="U5" s="2">
        <f t="shared" si="9"/>
        <v>0</v>
      </c>
    </row>
    <row r="6" spans="1:21" x14ac:dyDescent="0.55000000000000004">
      <c r="A6" s="53"/>
      <c r="B6" s="6" t="s">
        <v>97</v>
      </c>
      <c r="C6" s="9">
        <f>SUMIFS(Data!$Y$2:$Y$2000,Data!$E$2:$E$2000,WeightCal!B6)</f>
        <v>496785499.97392905</v>
      </c>
      <c r="D6" s="10">
        <f>SUMIFS(Data!AA$2:AA$2000,Data!$E$2:$E$2000,WeightCal!$B6)</f>
        <v>6856318907.2760105</v>
      </c>
      <c r="E6" s="10">
        <f>SUMIFS(Data!AB$2:AB$2000,Data!$E$2:$E$2000,WeightCal!$B6)</f>
        <v>61567489.829576336</v>
      </c>
      <c r="F6" s="10">
        <f>SUMIFS(Data!AC$2:AC$2000,Data!$E$2:$E$2000,WeightCal!$B6)</f>
        <v>14793031585.084127</v>
      </c>
      <c r="G6" s="10">
        <f>SUMIFS(Data!AD$2:AD$2000,Data!$E$2:$E$2000,WeightCal!$B6)</f>
        <v>393703160.98014367</v>
      </c>
      <c r="H6" s="10">
        <f>SUMIFS(Data!AE$2:AE$2000,Data!$E$2:$E$2000,WeightCal!$B6)</f>
        <v>265035052.70671204</v>
      </c>
      <c r="I6" s="10">
        <f>SUMIFS(Data!AF$2:AF$2000,Data!$E$2:$E$2000,WeightCal!$B6)</f>
        <v>6558731876.5796585</v>
      </c>
      <c r="J6" s="10">
        <f>SUMIFS(Data!AG$2:AG$2000,Data!$E$2:$E$2000,WeightCal!$B6)</f>
        <v>3104821595.3953557</v>
      </c>
      <c r="K6" s="10">
        <f>SUMIFS(Data!AH$2:AH$2000,Data!$E$2:$E$2000,WeightCal!$B6)</f>
        <v>0</v>
      </c>
      <c r="L6" s="10">
        <f>SUMIFS(Data!AI$2:AI$2000,Data!$E$2:$E$2000,WeightCal!$B6)</f>
        <v>0</v>
      </c>
      <c r="M6" s="2">
        <f t="shared" si="1"/>
        <v>13.801366802444567</v>
      </c>
      <c r="N6" s="2">
        <f t="shared" si="2"/>
        <v>0.12393173680151162</v>
      </c>
      <c r="O6" s="2">
        <f t="shared" si="3"/>
        <v>29.777502736815901</v>
      </c>
      <c r="P6" s="2">
        <f t="shared" si="4"/>
        <v>0.79250131294251736</v>
      </c>
      <c r="Q6" s="2">
        <f t="shared" si="5"/>
        <v>0.53349997679203776</v>
      </c>
      <c r="R6" s="2">
        <f t="shared" si="6"/>
        <v>13.202341608045838</v>
      </c>
      <c r="S6" s="2">
        <f t="shared" si="7"/>
        <v>6.2498233051453687</v>
      </c>
      <c r="T6" s="2">
        <f t="shared" si="8"/>
        <v>0</v>
      </c>
      <c r="U6" s="2">
        <f t="shared" si="9"/>
        <v>0</v>
      </c>
    </row>
    <row r="7" spans="1:21" x14ac:dyDescent="0.55000000000000004">
      <c r="A7" s="53"/>
      <c r="B7" s="6" t="s">
        <v>99</v>
      </c>
      <c r="C7" s="9">
        <f>SUMIFS(Data!$Y$2:$Y$2000,Data!$E$2:$E$2000,WeightCal!B7)</f>
        <v>260356989.31167999</v>
      </c>
      <c r="D7" s="10">
        <f>SUMIFS(Data!AA$2:AA$2000,Data!$E$2:$E$2000,WeightCal!$B7)</f>
        <v>1310826618.5721519</v>
      </c>
      <c r="E7" s="10">
        <f>SUMIFS(Data!AB$2:AB$2000,Data!$E$2:$E$2000,WeightCal!$B7)</f>
        <v>1380279781.531081</v>
      </c>
      <c r="F7" s="10">
        <f>SUMIFS(Data!AC$2:AC$2000,Data!$E$2:$E$2000,WeightCal!$B7)</f>
        <v>509656265.04326797</v>
      </c>
      <c r="G7" s="10">
        <f>SUMIFS(Data!AD$2:AD$2000,Data!$E$2:$E$2000,WeightCal!$B7)</f>
        <v>2804297486.9130955</v>
      </c>
      <c r="H7" s="10">
        <f>SUMIFS(Data!AE$2:AE$2000,Data!$E$2:$E$2000,WeightCal!$B7)</f>
        <v>791159913.00411749</v>
      </c>
      <c r="I7" s="10">
        <f>SUMIFS(Data!AF$2:AF$2000,Data!$E$2:$E$2000,WeightCal!$B7)</f>
        <v>4894811774.5008612</v>
      </c>
      <c r="J7" s="10">
        <f>SUMIFS(Data!AG$2:AG$2000,Data!$E$2:$E$2000,WeightCal!$B7)</f>
        <v>2407787042.783546</v>
      </c>
      <c r="K7" s="10">
        <f>SUMIFS(Data!AH$2:AH$2000,Data!$E$2:$E$2000,WeightCal!$B7)</f>
        <v>45668353.792347006</v>
      </c>
      <c r="L7" s="10">
        <f>SUMIFS(Data!AI$2:AI$2000,Data!$E$2:$E$2000,WeightCal!$B7)</f>
        <v>0</v>
      </c>
      <c r="M7" s="2">
        <f t="shared" si="1"/>
        <v>5.0347279788326631</v>
      </c>
      <c r="N7" s="2">
        <f t="shared" si="2"/>
        <v>5.3014892558874722</v>
      </c>
      <c r="O7" s="2">
        <f t="shared" si="3"/>
        <v>1.9575286470729059</v>
      </c>
      <c r="P7" s="2">
        <f t="shared" si="4"/>
        <v>10.770970636613098</v>
      </c>
      <c r="Q7" s="2">
        <f t="shared" si="5"/>
        <v>3.038750429154025</v>
      </c>
      <c r="R7" s="2">
        <f t="shared" si="6"/>
        <v>18.800385530042973</v>
      </c>
      <c r="S7" s="2">
        <f t="shared" si="7"/>
        <v>9.2480215305498206</v>
      </c>
      <c r="T7" s="2">
        <f t="shared" si="8"/>
        <v>0.17540667493921686</v>
      </c>
      <c r="U7" s="2">
        <f t="shared" si="9"/>
        <v>0</v>
      </c>
    </row>
    <row r="8" spans="1:21" x14ac:dyDescent="0.55000000000000004">
      <c r="A8" s="53"/>
      <c r="B8" s="6" t="s">
        <v>101</v>
      </c>
      <c r="C8" s="9">
        <f>SUMIFS(Data!$Y$2:$Y$2000,Data!$E$2:$E$2000,WeightCal!B8)</f>
        <v>211240055.06424502</v>
      </c>
      <c r="D8" s="10">
        <f>SUMIFS(Data!AA$2:AA$2000,Data!$E$2:$E$2000,WeightCal!$B8)</f>
        <v>2742625040.7835093</v>
      </c>
      <c r="E8" s="10">
        <f>SUMIFS(Data!AB$2:AB$2000,Data!$E$2:$E$2000,WeightCal!$B8)</f>
        <v>204848912.60450059</v>
      </c>
      <c r="F8" s="10">
        <f>SUMIFS(Data!AC$2:AC$2000,Data!$E$2:$E$2000,WeightCal!$B8)</f>
        <v>352686145.69645458</v>
      </c>
      <c r="G8" s="10">
        <f>SUMIFS(Data!AD$2:AD$2000,Data!$E$2:$E$2000,WeightCal!$B8)</f>
        <v>909616971.7373668</v>
      </c>
      <c r="H8" s="10">
        <f>SUMIFS(Data!AE$2:AE$2000,Data!$E$2:$E$2000,WeightCal!$B8)</f>
        <v>275976146.85173076</v>
      </c>
      <c r="I8" s="10">
        <f>SUMIFS(Data!AF$2:AF$2000,Data!$E$2:$E$2000,WeightCal!$B8)</f>
        <v>2229891178.3922391</v>
      </c>
      <c r="J8" s="10">
        <f>SUMIFS(Data!AG$2:AG$2000,Data!$E$2:$E$2000,WeightCal!$B8)</f>
        <v>3581246135.9553614</v>
      </c>
      <c r="K8" s="10">
        <f>SUMIFS(Data!AH$2:AH$2000,Data!$E$2:$E$2000,WeightCal!$B8)</f>
        <v>31609483.057143204</v>
      </c>
      <c r="L8" s="10">
        <f>SUMIFS(Data!AI$2:AI$2000,Data!$E$2:$E$2000,WeightCal!$B8)</f>
        <v>150134.53893400001</v>
      </c>
      <c r="M8" s="2">
        <f t="shared" si="1"/>
        <v>12.983451646750362</v>
      </c>
      <c r="N8" s="2">
        <f t="shared" si="2"/>
        <v>0.96974464687674566</v>
      </c>
      <c r="O8" s="2">
        <f t="shared" si="3"/>
        <v>1.6695988153818233</v>
      </c>
      <c r="P8" s="2">
        <f t="shared" si="4"/>
        <v>4.3060818719287042</v>
      </c>
      <c r="Q8" s="2">
        <f t="shared" si="5"/>
        <v>1.3064574650285778</v>
      </c>
      <c r="R8" s="2">
        <f t="shared" si="6"/>
        <v>10.55619483584236</v>
      </c>
      <c r="S8" s="2">
        <f t="shared" si="7"/>
        <v>16.953442541312477</v>
      </c>
      <c r="T8" s="2">
        <f t="shared" si="8"/>
        <v>0.14963773346645703</v>
      </c>
      <c r="U8" s="2">
        <f t="shared" si="9"/>
        <v>7.1072950103302703E-4</v>
      </c>
    </row>
    <row r="9" spans="1:21" x14ac:dyDescent="0.55000000000000004">
      <c r="A9" s="53"/>
      <c r="B9" s="6" t="s">
        <v>109</v>
      </c>
      <c r="C9" s="9">
        <f>SUMIFS(Data!$Y$2:$Y$2000,Data!$E$2:$E$2000,WeightCal!B9)</f>
        <v>327905387.75160903</v>
      </c>
      <c r="D9" s="10">
        <f>SUMIFS(Data!AA$2:AA$2000,Data!$E$2:$E$2000,WeightCal!$B9)</f>
        <v>13071767516.639343</v>
      </c>
      <c r="E9" s="10">
        <f>SUMIFS(Data!AB$2:AB$2000,Data!$E$2:$E$2000,WeightCal!$B9)</f>
        <v>916724460.86622846</v>
      </c>
      <c r="F9" s="10">
        <f>SUMIFS(Data!AC$2:AC$2000,Data!$E$2:$E$2000,WeightCal!$B9)</f>
        <v>194754365.6968936</v>
      </c>
      <c r="G9" s="10">
        <f>SUMIFS(Data!AD$2:AD$2000,Data!$E$2:$E$2000,WeightCal!$B9)</f>
        <v>796806818.80108917</v>
      </c>
      <c r="H9" s="10">
        <f>SUMIFS(Data!AE$2:AE$2000,Data!$E$2:$E$2000,WeightCal!$B9)</f>
        <v>619543365.14505863</v>
      </c>
      <c r="I9" s="10">
        <f>SUMIFS(Data!AF$2:AF$2000,Data!$E$2:$E$2000,WeightCal!$B9)</f>
        <v>4326558867.424325</v>
      </c>
      <c r="J9" s="10">
        <f>SUMIFS(Data!AG$2:AG$2000,Data!$E$2:$E$2000,WeightCal!$B9)</f>
        <v>6576621295.8051157</v>
      </c>
      <c r="K9" s="10">
        <f>SUMIFS(Data!AH$2:AH$2000,Data!$E$2:$E$2000,WeightCal!$B9)</f>
        <v>74719780.303399131</v>
      </c>
      <c r="L9" s="10">
        <f>SUMIFS(Data!AI$2:AI$2000,Data!$E$2:$E$2000,WeightCal!$B9)</f>
        <v>5335641.1074448004</v>
      </c>
      <c r="M9" s="2">
        <f t="shared" si="1"/>
        <v>39.864448724890465</v>
      </c>
      <c r="N9" s="2">
        <f t="shared" si="2"/>
        <v>2.7956980736182797</v>
      </c>
      <c r="O9" s="2">
        <f t="shared" si="3"/>
        <v>0.59393463167010119</v>
      </c>
      <c r="P9" s="2">
        <f t="shared" si="4"/>
        <v>2.4299900171346889</v>
      </c>
      <c r="Q9" s="2">
        <f t="shared" si="5"/>
        <v>1.889396723223004</v>
      </c>
      <c r="R9" s="2">
        <f t="shared" si="6"/>
        <v>13.194534243828064</v>
      </c>
      <c r="S9" s="2">
        <f t="shared" si="7"/>
        <v>20.056460007869585</v>
      </c>
      <c r="T9" s="2">
        <f t="shared" si="8"/>
        <v>0.22786993777607573</v>
      </c>
      <c r="U9" s="2">
        <f t="shared" si="9"/>
        <v>1.6271892157766532E-2</v>
      </c>
    </row>
    <row r="10" spans="1:21" x14ac:dyDescent="0.55000000000000004">
      <c r="A10" s="53"/>
      <c r="B10" s="6" t="s">
        <v>103</v>
      </c>
      <c r="C10" s="9">
        <f>SUMIFS(Data!$Y$2:$Y$2000,Data!$E$2:$E$2000,WeightCal!B10)</f>
        <v>511252650.87700897</v>
      </c>
      <c r="D10" s="10">
        <f>SUMIFS(Data!AA$2:AA$2000,Data!$E$2:$E$2000,WeightCal!$B10)</f>
        <v>8116263915.2662621</v>
      </c>
      <c r="E10" s="10">
        <f>SUMIFS(Data!AB$2:AB$2000,Data!$E$2:$E$2000,WeightCal!$B10)</f>
        <v>2038570889.7765052</v>
      </c>
      <c r="F10" s="10">
        <f>SUMIFS(Data!AC$2:AC$2000,Data!$E$2:$E$2000,WeightCal!$B10)</f>
        <v>3490098801.038919</v>
      </c>
      <c r="G10" s="10">
        <f>SUMIFS(Data!AD$2:AD$2000,Data!$E$2:$E$2000,WeightCal!$B10)</f>
        <v>2676445299.6842914</v>
      </c>
      <c r="H10" s="10">
        <f>SUMIFS(Data!AE$2:AE$2000,Data!$E$2:$E$2000,WeightCal!$B10)</f>
        <v>574945035.60054791</v>
      </c>
      <c r="I10" s="10">
        <f>SUMIFS(Data!AF$2:AF$2000,Data!$E$2:$E$2000,WeightCal!$B10)</f>
        <v>5731613737.9468069</v>
      </c>
      <c r="J10" s="10">
        <f>SUMIFS(Data!AG$2:AG$2000,Data!$E$2:$E$2000,WeightCal!$B10)</f>
        <v>4828767649.2190523</v>
      </c>
      <c r="K10" s="10">
        <f>SUMIFS(Data!AH$2:AH$2000,Data!$E$2:$E$2000,WeightCal!$B10)</f>
        <v>3299141862.6037722</v>
      </c>
      <c r="L10" s="10">
        <f>SUMIFS(Data!AI$2:AI$2000,Data!$E$2:$E$2000,WeightCal!$B10)</f>
        <v>23644647.9488151</v>
      </c>
      <c r="M10" s="2">
        <f t="shared" si="1"/>
        <v>15.875250527001718</v>
      </c>
      <c r="N10" s="2">
        <f t="shared" si="2"/>
        <v>3.9874040482323485</v>
      </c>
      <c r="O10" s="2">
        <f t="shared" si="3"/>
        <v>6.8265637254925942</v>
      </c>
      <c r="P10" s="2">
        <f t="shared" si="4"/>
        <v>5.2350736863526963</v>
      </c>
      <c r="Q10" s="2">
        <f t="shared" si="5"/>
        <v>1.1245810356470138</v>
      </c>
      <c r="R10" s="2">
        <f t="shared" si="6"/>
        <v>11.21092228688639</v>
      </c>
      <c r="S10" s="2">
        <f t="shared" si="7"/>
        <v>9.4449733237289344</v>
      </c>
      <c r="T10" s="2">
        <f t="shared" si="8"/>
        <v>6.4530557581352088</v>
      </c>
      <c r="U10" s="2">
        <f t="shared" si="9"/>
        <v>4.6248460341975314E-2</v>
      </c>
    </row>
    <row r="11" spans="1:21" x14ac:dyDescent="0.55000000000000004">
      <c r="A11" s="53"/>
      <c r="B11" s="6" t="s">
        <v>93</v>
      </c>
      <c r="C11" s="9">
        <f>SUMIFS(Data!$Y$2:$Y$2000,Data!$E$2:$E$2000,WeightCal!B11)</f>
        <v>385093653.76731008</v>
      </c>
      <c r="D11" s="10">
        <f>SUMIFS(Data!AA$2:AA$2000,Data!$E$2:$E$2000,WeightCal!$B11)</f>
        <v>5890965170.4687729</v>
      </c>
      <c r="E11" s="10">
        <f>SUMIFS(Data!AB$2:AB$2000,Data!$E$2:$E$2000,WeightCal!$B11)</f>
        <v>346966143.95303464</v>
      </c>
      <c r="F11" s="10">
        <f>SUMIFS(Data!AC$2:AC$2000,Data!$E$2:$E$2000,WeightCal!$B11)</f>
        <v>4476934227.3932476</v>
      </c>
      <c r="G11" s="10">
        <f>SUMIFS(Data!AD$2:AD$2000,Data!$E$2:$E$2000,WeightCal!$B11)</f>
        <v>714334490.79684842</v>
      </c>
      <c r="H11" s="10">
        <f>SUMIFS(Data!AE$2:AE$2000,Data!$E$2:$E$2000,WeightCal!$B11)</f>
        <v>665638529.42892087</v>
      </c>
      <c r="I11" s="10">
        <f>SUMIFS(Data!AF$2:AF$2000,Data!$E$2:$E$2000,WeightCal!$B11)</f>
        <v>5861266616.3927431</v>
      </c>
      <c r="J11" s="10">
        <f>SUMIFS(Data!AG$2:AG$2000,Data!$E$2:$E$2000,WeightCal!$B11)</f>
        <v>7387994022.0859623</v>
      </c>
      <c r="K11" s="10">
        <f>SUMIFS(Data!AH$2:AH$2000,Data!$E$2:$E$2000,WeightCal!$B11)</f>
        <v>38971153.047571003</v>
      </c>
      <c r="L11" s="10">
        <f>SUMIFS(Data!AI$2:AI$2000,Data!$E$2:$E$2000,WeightCal!$B11)</f>
        <v>0</v>
      </c>
      <c r="M11" s="2">
        <f t="shared" si="1"/>
        <v>15.297487021243782</v>
      </c>
      <c r="N11" s="2">
        <f t="shared" si="2"/>
        <v>0.90099159141865859</v>
      </c>
      <c r="O11" s="2">
        <f t="shared" si="3"/>
        <v>11.62557259408487</v>
      </c>
      <c r="P11" s="2">
        <f t="shared" si="4"/>
        <v>1.8549630299243509</v>
      </c>
      <c r="Q11" s="2">
        <f t="shared" si="5"/>
        <v>1.7285107737224044</v>
      </c>
      <c r="R11" s="2">
        <f t="shared" si="6"/>
        <v>15.220366679774912</v>
      </c>
      <c r="S11" s="2">
        <f t="shared" si="7"/>
        <v>19.184928003384083</v>
      </c>
      <c r="T11" s="2">
        <f t="shared" si="8"/>
        <v>0.10119915679295777</v>
      </c>
      <c r="U11" s="2">
        <f t="shared" si="9"/>
        <v>0</v>
      </c>
    </row>
    <row r="12" spans="1:21" x14ac:dyDescent="0.55000000000000004">
      <c r="A12" s="53"/>
      <c r="B12" s="6" t="s">
        <v>105</v>
      </c>
      <c r="C12" s="9">
        <f>SUMIFS(Data!$Y$2:$Y$2000,Data!$E$2:$E$2000,WeightCal!B12)</f>
        <v>144767851.84722799</v>
      </c>
      <c r="D12" s="10">
        <f>SUMIFS(Data!AA$2:AA$2000,Data!$E$2:$E$2000,WeightCal!$B12)</f>
        <v>4617572903.7657232</v>
      </c>
      <c r="E12" s="10">
        <f>SUMIFS(Data!AB$2:AB$2000,Data!$E$2:$E$2000,WeightCal!$B12)</f>
        <v>570458644.96058071</v>
      </c>
      <c r="F12" s="10">
        <f>SUMIFS(Data!AC$2:AC$2000,Data!$E$2:$E$2000,WeightCal!$B12)</f>
        <v>1418521544.7229338</v>
      </c>
      <c r="G12" s="10">
        <f>SUMIFS(Data!AD$2:AD$2000,Data!$E$2:$E$2000,WeightCal!$B12)</f>
        <v>7177215.4535343992</v>
      </c>
      <c r="H12" s="10">
        <f>SUMIFS(Data!AE$2:AE$2000,Data!$E$2:$E$2000,WeightCal!$B12)</f>
        <v>88829892.189296275</v>
      </c>
      <c r="I12" s="10">
        <f>SUMIFS(Data!AF$2:AF$2000,Data!$E$2:$E$2000,WeightCal!$B12)</f>
        <v>1376277416.0134516</v>
      </c>
      <c r="J12" s="10">
        <f>SUMIFS(Data!AG$2:AG$2000,Data!$E$2:$E$2000,WeightCal!$B12)</f>
        <v>2672526896.8146915</v>
      </c>
      <c r="K12" s="10">
        <f>SUMIFS(Data!AH$2:AH$2000,Data!$E$2:$E$2000,WeightCal!$B12)</f>
        <v>62586104.785663247</v>
      </c>
      <c r="L12" s="10">
        <f>SUMIFS(Data!AI$2:AI$2000,Data!$E$2:$E$2000,WeightCal!$B12)</f>
        <v>354734.82352671999</v>
      </c>
      <c r="M12" s="2">
        <f t="shared" si="1"/>
        <v>31.896397196240777</v>
      </c>
      <c r="N12" s="2">
        <f t="shared" si="2"/>
        <v>3.9405063878586786</v>
      </c>
      <c r="O12" s="2">
        <f t="shared" si="3"/>
        <v>9.7985949685838047</v>
      </c>
      <c r="P12" s="2">
        <f t="shared" si="4"/>
        <v>4.9577412125369105E-2</v>
      </c>
      <c r="Q12" s="2">
        <f t="shared" si="5"/>
        <v>0.61360233681603249</v>
      </c>
      <c r="R12" s="2">
        <f t="shared" si="6"/>
        <v>9.5067889621365858</v>
      </c>
      <c r="S12" s="2">
        <f t="shared" si="7"/>
        <v>18.460776081936903</v>
      </c>
      <c r="T12" s="2">
        <f t="shared" si="8"/>
        <v>0.43232046332848617</v>
      </c>
      <c r="U12" s="2">
        <f t="shared" si="9"/>
        <v>2.4503701547016667E-3</v>
      </c>
    </row>
    <row r="13" spans="1:21" x14ac:dyDescent="0.55000000000000004">
      <c r="A13" s="53"/>
      <c r="B13" s="6" t="s">
        <v>107</v>
      </c>
      <c r="C13" s="9">
        <f>SUMIFS(Data!$Y$2:$Y$2000,Data!$E$2:$E$2000,WeightCal!B13)</f>
        <v>1067044699.0516061</v>
      </c>
      <c r="D13" s="10">
        <f>SUMIFS(Data!AA$2:AA$2000,Data!$E$2:$E$2000,WeightCal!$B13)</f>
        <v>5331929465.8203354</v>
      </c>
      <c r="E13" s="10">
        <f>SUMIFS(Data!AB$2:AB$2000,Data!$E$2:$E$2000,WeightCal!$B13)</f>
        <v>8475515617.9215641</v>
      </c>
      <c r="F13" s="10">
        <f>SUMIFS(Data!AC$2:AC$2000,Data!$E$2:$E$2000,WeightCal!$B13)</f>
        <v>1809996431.7430322</v>
      </c>
      <c r="G13" s="10">
        <f>SUMIFS(Data!AD$2:AD$2000,Data!$E$2:$E$2000,WeightCal!$B13)</f>
        <v>426249599.65971243</v>
      </c>
      <c r="H13" s="10">
        <f>SUMIFS(Data!AE$2:AE$2000,Data!$E$2:$E$2000,WeightCal!$B13)</f>
        <v>988280281.27022326</v>
      </c>
      <c r="I13" s="10">
        <f>SUMIFS(Data!AF$2:AF$2000,Data!$E$2:$E$2000,WeightCal!$B13)</f>
        <v>8654902050.7594948</v>
      </c>
      <c r="J13" s="10">
        <f>SUMIFS(Data!AG$2:AG$2000,Data!$E$2:$E$2000,WeightCal!$B13)</f>
        <v>15916315375.368708</v>
      </c>
      <c r="K13" s="10">
        <f>SUMIFS(Data!AH$2:AH$2000,Data!$E$2:$E$2000,WeightCal!$B13)</f>
        <v>632739066.73041475</v>
      </c>
      <c r="L13" s="10">
        <f>SUMIFS(Data!AI$2:AI$2000,Data!$E$2:$E$2000,WeightCal!$B13)</f>
        <v>94657111.63235563</v>
      </c>
      <c r="M13" s="2">
        <f t="shared" si="1"/>
        <v>4.9969129414722522</v>
      </c>
      <c r="N13" s="2">
        <f t="shared" si="2"/>
        <v>7.942980856804442</v>
      </c>
      <c r="O13" s="2">
        <f t="shared" si="3"/>
        <v>1.6962704874048526</v>
      </c>
      <c r="P13" s="2">
        <f t="shared" si="4"/>
        <v>0.39946742628360826</v>
      </c>
      <c r="Q13" s="2">
        <f t="shared" si="5"/>
        <v>0.92618451893216003</v>
      </c>
      <c r="R13" s="2">
        <f t="shared" si="6"/>
        <v>8.1110960566619266</v>
      </c>
      <c r="S13" s="2">
        <f t="shared" si="7"/>
        <v>14.916259262161367</v>
      </c>
      <c r="T13" s="2">
        <f t="shared" si="8"/>
        <v>0.59298271880530962</v>
      </c>
      <c r="U13" s="2">
        <f t="shared" si="9"/>
        <v>8.8709602996469863E-2</v>
      </c>
    </row>
    <row r="14" spans="1:21" x14ac:dyDescent="0.55000000000000004">
      <c r="A14" s="53" t="s">
        <v>159</v>
      </c>
      <c r="B14" s="6" t="s">
        <v>41</v>
      </c>
      <c r="C14" s="9">
        <f>SUMIFS(Data!$Y$2:$Y$2000,Data!$E$2:$E$2000,WeightCal!B14)</f>
        <v>269206510.18799996</v>
      </c>
      <c r="D14" s="10">
        <f>SUMIFS(Data!AA$2:AA$2000,Data!$E$2:$E$2000,WeightCal!$B14)</f>
        <v>3498793307.7389307</v>
      </c>
      <c r="E14" s="10">
        <f>SUMIFS(Data!AB$2:AB$2000,Data!$E$2:$E$2000,WeightCal!$B14)</f>
        <v>12067106.702432001</v>
      </c>
      <c r="F14" s="10">
        <f>SUMIFS(Data!AC$2:AC$2000,Data!$E$2:$E$2000,WeightCal!$B14)</f>
        <v>199949003.685956</v>
      </c>
      <c r="G14" s="10">
        <f>SUMIFS(Data!AD$2:AD$2000,Data!$E$2:$E$2000,WeightCal!$B14)</f>
        <v>400273329.86136699</v>
      </c>
      <c r="H14" s="10">
        <f>SUMIFS(Data!AE$2:AE$2000,Data!$E$2:$E$2000,WeightCal!$B14)</f>
        <v>187789227.19160798</v>
      </c>
      <c r="I14" s="10">
        <f>SUMIFS(Data!AF$2:AF$2000,Data!$E$2:$E$2000,WeightCal!$B14)</f>
        <v>3144017212.9391189</v>
      </c>
      <c r="J14" s="10">
        <f>SUMIFS(Data!AG$2:AG$2000,Data!$E$2:$E$2000,WeightCal!$B14)</f>
        <v>2295993511.4221983</v>
      </c>
      <c r="K14" s="10">
        <f>SUMIFS(Data!AH$2:AH$2000,Data!$E$2:$E$2000,WeightCal!$B14)</f>
        <v>1502547.6301549999</v>
      </c>
      <c r="L14" s="10">
        <f>SUMIFS(Data!AI$2:AI$2000,Data!$E$2:$E$2000,WeightCal!$B14)</f>
        <v>0</v>
      </c>
      <c r="M14" s="2">
        <f t="shared" si="1"/>
        <v>12.996689067049507</v>
      </c>
      <c r="N14" s="2">
        <f t="shared" si="2"/>
        <v>4.4824720969804763E-2</v>
      </c>
      <c r="O14" s="2">
        <f t="shared" si="3"/>
        <v>0.74273465209411882</v>
      </c>
      <c r="P14" s="2">
        <f t="shared" si="4"/>
        <v>1.4868634847717341</v>
      </c>
      <c r="Q14" s="2">
        <f t="shared" si="5"/>
        <v>0.69756569802292545</v>
      </c>
      <c r="R14" s="2">
        <f t="shared" si="6"/>
        <v>11.678830540700888</v>
      </c>
      <c r="S14" s="2">
        <f t="shared" si="7"/>
        <v>8.5287443822171856</v>
      </c>
      <c r="T14" s="2">
        <f t="shared" si="8"/>
        <v>5.5813941093240949E-3</v>
      </c>
      <c r="U14" s="2">
        <f t="shared" si="9"/>
        <v>0</v>
      </c>
    </row>
    <row r="15" spans="1:21" x14ac:dyDescent="0.55000000000000004">
      <c r="A15" s="53"/>
      <c r="B15" s="6" t="s">
        <v>39</v>
      </c>
      <c r="C15" s="9">
        <f>SUMIFS(Data!$Y$2:$Y$2000,Data!$E$2:$E$2000,WeightCal!B15)</f>
        <v>832568602.85358989</v>
      </c>
      <c r="D15" s="10">
        <f>SUMIFS(Data!AA$2:AA$2000,Data!$E$2:$E$2000,WeightCal!$B15)</f>
        <v>2011558573.8282299</v>
      </c>
      <c r="E15" s="10">
        <f>SUMIFS(Data!AB$2:AB$2000,Data!$E$2:$E$2000,WeightCal!$B15)</f>
        <v>251612692.19048673</v>
      </c>
      <c r="F15" s="10">
        <f>SUMIFS(Data!AC$2:AC$2000,Data!$E$2:$E$2000,WeightCal!$B15)</f>
        <v>1399667561.7422795</v>
      </c>
      <c r="G15" s="10">
        <f>SUMIFS(Data!AD$2:AD$2000,Data!$E$2:$E$2000,WeightCal!$B15)</f>
        <v>2708190857.7284484</v>
      </c>
      <c r="H15" s="10">
        <f>SUMIFS(Data!AE$2:AE$2000,Data!$E$2:$E$2000,WeightCal!$B15)</f>
        <v>4844736655.7320776</v>
      </c>
      <c r="I15" s="10">
        <f>SUMIFS(Data!AF$2:AF$2000,Data!$E$2:$E$2000,WeightCal!$B15)</f>
        <v>18262219774.541645</v>
      </c>
      <c r="J15" s="10">
        <f>SUMIFS(Data!AG$2:AG$2000,Data!$E$2:$E$2000,WeightCal!$B15)</f>
        <v>9082320100.0997772</v>
      </c>
      <c r="K15" s="10">
        <f>SUMIFS(Data!AH$2:AH$2000,Data!$E$2:$E$2000,WeightCal!$B15)</f>
        <v>3293986617.1005921</v>
      </c>
      <c r="L15" s="10">
        <f>SUMIFS(Data!AI$2:AI$2000,Data!$E$2:$E$2000,WeightCal!$B15)</f>
        <v>66472935.274979092</v>
      </c>
      <c r="M15" s="2">
        <f t="shared" si="1"/>
        <v>2.4160874754749422</v>
      </c>
      <c r="N15" s="2">
        <f t="shared" si="2"/>
        <v>0.30221256401946461</v>
      </c>
      <c r="O15" s="2">
        <f t="shared" si="3"/>
        <v>1.6811438203950815</v>
      </c>
      <c r="P15" s="2">
        <f t="shared" si="4"/>
        <v>3.2528140605425802</v>
      </c>
      <c r="Q15" s="2">
        <f t="shared" si="5"/>
        <v>5.8190239688681142</v>
      </c>
      <c r="R15" s="2">
        <f t="shared" si="6"/>
        <v>21.934792774972227</v>
      </c>
      <c r="S15" s="2">
        <f t="shared" si="7"/>
        <v>10.908794865636958</v>
      </c>
      <c r="T15" s="2">
        <f t="shared" si="8"/>
        <v>3.9564146495683445</v>
      </c>
      <c r="U15" s="2">
        <f t="shared" si="9"/>
        <v>7.9840790353066668E-2</v>
      </c>
    </row>
    <row r="16" spans="1:21" x14ac:dyDescent="0.55000000000000004">
      <c r="A16" s="53"/>
      <c r="B16" s="6" t="s">
        <v>27</v>
      </c>
      <c r="C16" s="9">
        <f>SUMIFS(Data!$Y$2:$Y$2000,Data!$E$2:$E$2000,WeightCal!B16)</f>
        <v>536210225.14533311</v>
      </c>
      <c r="D16" s="10">
        <f>SUMIFS(Data!AA$2:AA$2000,Data!$E$2:$E$2000,WeightCal!$B16)</f>
        <v>404010351.11586559</v>
      </c>
      <c r="E16" s="10">
        <f>SUMIFS(Data!AB$2:AB$2000,Data!$E$2:$E$2000,WeightCal!$B16)</f>
        <v>1535301095.3699317</v>
      </c>
      <c r="F16" s="10">
        <f>SUMIFS(Data!AC$2:AC$2000,Data!$E$2:$E$2000,WeightCal!$B16)</f>
        <v>1039116106.48931</v>
      </c>
      <c r="G16" s="10">
        <f>SUMIFS(Data!AD$2:AD$2000,Data!$E$2:$E$2000,WeightCal!$B16)</f>
        <v>120580395.29704113</v>
      </c>
      <c r="H16" s="10">
        <f>SUMIFS(Data!AE$2:AE$2000,Data!$E$2:$E$2000,WeightCal!$B16)</f>
        <v>1890219663.4807358</v>
      </c>
      <c r="I16" s="10">
        <f>SUMIFS(Data!AF$2:AF$2000,Data!$E$2:$E$2000,WeightCal!$B16)</f>
        <v>14630833799.143566</v>
      </c>
      <c r="J16" s="10">
        <f>SUMIFS(Data!AG$2:AG$2000,Data!$E$2:$E$2000,WeightCal!$B16)</f>
        <v>4627811643.9952192</v>
      </c>
      <c r="K16" s="10">
        <f>SUMIFS(Data!AH$2:AH$2000,Data!$E$2:$E$2000,WeightCal!$B16)</f>
        <v>13659774565.97578</v>
      </c>
      <c r="L16" s="10">
        <f>SUMIFS(Data!AI$2:AI$2000,Data!$E$2:$E$2000,WeightCal!$B16)</f>
        <v>1874672814.9521554</v>
      </c>
      <c r="M16" s="2">
        <f t="shared" si="1"/>
        <v>0.75345514160302263</v>
      </c>
      <c r="N16" s="2">
        <f t="shared" si="2"/>
        <v>2.8632447189044323</v>
      </c>
      <c r="O16" s="2">
        <f t="shared" si="3"/>
        <v>1.9378893906912547</v>
      </c>
      <c r="P16" s="2">
        <f t="shared" si="4"/>
        <v>0.22487522550387642</v>
      </c>
      <c r="Q16" s="2">
        <f t="shared" si="5"/>
        <v>3.5251466213058791</v>
      </c>
      <c r="R16" s="2">
        <f t="shared" si="6"/>
        <v>27.285629988085475</v>
      </c>
      <c r="S16" s="2">
        <f t="shared" si="7"/>
        <v>8.6305919338649471</v>
      </c>
      <c r="T16" s="2">
        <f t="shared" si="8"/>
        <v>25.474662595763572</v>
      </c>
      <c r="U16" s="2">
        <f t="shared" si="9"/>
        <v>3.4961526786328041</v>
      </c>
    </row>
    <row r="17" spans="1:21" x14ac:dyDescent="0.55000000000000004">
      <c r="A17" s="53"/>
      <c r="B17" s="6" t="s">
        <v>23</v>
      </c>
      <c r="C17" s="9">
        <f>SUMIFS(Data!$Y$2:$Y$2000,Data!$E$2:$E$2000,WeightCal!B17)</f>
        <v>593410586.78647602</v>
      </c>
      <c r="D17" s="10">
        <f>SUMIFS(Data!AA$2:AA$2000,Data!$E$2:$E$2000,WeightCal!$B17)</f>
        <v>501354919.51191807</v>
      </c>
      <c r="E17" s="10">
        <f>SUMIFS(Data!AB$2:AB$2000,Data!$E$2:$E$2000,WeightCal!$B17)</f>
        <v>3652967293.6979513</v>
      </c>
      <c r="F17" s="10">
        <f>SUMIFS(Data!AC$2:AC$2000,Data!$E$2:$E$2000,WeightCal!$B17)</f>
        <v>4284346095.5664711</v>
      </c>
      <c r="G17" s="10">
        <f>SUMIFS(Data!AD$2:AD$2000,Data!$E$2:$E$2000,WeightCal!$B17)</f>
        <v>4002655818.4421992</v>
      </c>
      <c r="H17" s="10">
        <f>SUMIFS(Data!AE$2:AE$2000,Data!$E$2:$E$2000,WeightCal!$B17)</f>
        <v>162256415.8098875</v>
      </c>
      <c r="I17" s="10">
        <f>SUMIFS(Data!AF$2:AF$2000,Data!$E$2:$E$2000,WeightCal!$B17)</f>
        <v>32621551717.481548</v>
      </c>
      <c r="J17" s="10">
        <f>SUMIFS(Data!AG$2:AG$2000,Data!$E$2:$E$2000,WeightCal!$B17)</f>
        <v>2556017427.8150868</v>
      </c>
      <c r="K17" s="10">
        <f>SUMIFS(Data!AH$2:AH$2000,Data!$E$2:$E$2000,WeightCal!$B17)</f>
        <v>931125168.07982075</v>
      </c>
      <c r="L17" s="10">
        <f>SUMIFS(Data!AI$2:AI$2000,Data!$E$2:$E$2000,WeightCal!$B17)</f>
        <v>0</v>
      </c>
      <c r="M17" s="2">
        <f t="shared" si="1"/>
        <v>0.84487019725571244</v>
      </c>
      <c r="N17" s="2">
        <f t="shared" si="2"/>
        <v>6.155884938757219</v>
      </c>
      <c r="O17" s="2">
        <f t="shared" si="3"/>
        <v>7.2198679817421016</v>
      </c>
      <c r="P17" s="2">
        <f t="shared" si="4"/>
        <v>6.7451708944357867</v>
      </c>
      <c r="Q17" s="2">
        <f t="shared" si="5"/>
        <v>0.27343026805194398</v>
      </c>
      <c r="R17" s="2">
        <f t="shared" si="6"/>
        <v>54.972985726693139</v>
      </c>
      <c r="S17" s="2">
        <f t="shared" si="7"/>
        <v>4.3073337158624136</v>
      </c>
      <c r="T17" s="2">
        <f t="shared" si="8"/>
        <v>1.5691077793576051</v>
      </c>
      <c r="U17" s="2">
        <f t="shared" si="9"/>
        <v>0</v>
      </c>
    </row>
    <row r="18" spans="1:21" x14ac:dyDescent="0.55000000000000004">
      <c r="A18" s="53"/>
      <c r="B18" s="6" t="s">
        <v>31</v>
      </c>
      <c r="C18" s="9">
        <f>SUMIFS(Data!$Y$2:$Y$2000,Data!$E$2:$E$2000,WeightCal!B18)</f>
        <v>479667364.38733798</v>
      </c>
      <c r="D18" s="10">
        <f>SUMIFS(Data!AA$2:AA$2000,Data!$E$2:$E$2000,WeightCal!$B18)</f>
        <v>4002946887.695199</v>
      </c>
      <c r="E18" s="10">
        <f>SUMIFS(Data!AB$2:AB$2000,Data!$E$2:$E$2000,WeightCal!$B18)</f>
        <v>1901354821.3379922</v>
      </c>
      <c r="F18" s="10">
        <f>SUMIFS(Data!AC$2:AC$2000,Data!$E$2:$E$2000,WeightCal!$B18)</f>
        <v>1015242736.8833669</v>
      </c>
      <c r="G18" s="10">
        <f>SUMIFS(Data!AD$2:AD$2000,Data!$E$2:$E$2000,WeightCal!$B18)</f>
        <v>4411063058.077343</v>
      </c>
      <c r="H18" s="10">
        <f>SUMIFS(Data!AE$2:AE$2000,Data!$E$2:$E$2000,WeightCal!$B18)</f>
        <v>297999346.23772979</v>
      </c>
      <c r="I18" s="10">
        <f>SUMIFS(Data!AF$2:AF$2000,Data!$E$2:$E$2000,WeightCal!$B18)</f>
        <v>9222350484.2476654</v>
      </c>
      <c r="J18" s="10">
        <f>SUMIFS(Data!AG$2:AG$2000,Data!$E$2:$E$2000,WeightCal!$B18)</f>
        <v>1752169416.0762143</v>
      </c>
      <c r="K18" s="10">
        <f>SUMIFS(Data!AH$2:AH$2000,Data!$E$2:$E$2000,WeightCal!$B18)</f>
        <v>3208376.4536095206</v>
      </c>
      <c r="L18" s="10">
        <f>SUMIFS(Data!AI$2:AI$2000,Data!$E$2:$E$2000,WeightCal!$B18)</f>
        <v>39987.975096400005</v>
      </c>
      <c r="M18" s="2">
        <f t="shared" si="1"/>
        <v>8.3452558687373291</v>
      </c>
      <c r="N18" s="2">
        <f t="shared" si="2"/>
        <v>3.9639028262148392</v>
      </c>
      <c r="O18" s="2">
        <f t="shared" si="3"/>
        <v>2.1165557889895226</v>
      </c>
      <c r="P18" s="2">
        <f t="shared" si="4"/>
        <v>9.1960875089165945</v>
      </c>
      <c r="Q18" s="2">
        <f t="shared" si="5"/>
        <v>0.62126250056297605</v>
      </c>
      <c r="R18" s="2">
        <f t="shared" si="6"/>
        <v>19.226554001702919</v>
      </c>
      <c r="S18" s="2">
        <f t="shared" si="7"/>
        <v>3.6528843656357521</v>
      </c>
      <c r="T18" s="2">
        <f t="shared" si="8"/>
        <v>6.6887528562787789E-3</v>
      </c>
      <c r="U18" s="2">
        <f t="shared" si="9"/>
        <v>8.336605336382478E-5</v>
      </c>
    </row>
    <row r="19" spans="1:21" x14ac:dyDescent="0.55000000000000004">
      <c r="A19" s="53"/>
      <c r="B19" s="6" t="s">
        <v>29</v>
      </c>
      <c r="C19" s="9">
        <f>SUMIFS(Data!$Y$2:$Y$2000,Data!$E$2:$E$2000,WeightCal!B19)</f>
        <v>167747274.81985903</v>
      </c>
      <c r="D19" s="10">
        <f>SUMIFS(Data!AA$2:AA$2000,Data!$E$2:$E$2000,WeightCal!$B19)</f>
        <v>349820951.69975203</v>
      </c>
      <c r="E19" s="10">
        <f>SUMIFS(Data!AB$2:AB$2000,Data!$E$2:$E$2000,WeightCal!$B19)</f>
        <v>4709842175.99368</v>
      </c>
      <c r="F19" s="10">
        <f>SUMIFS(Data!AC$2:AC$2000,Data!$E$2:$E$2000,WeightCal!$B19)</f>
        <v>1774816312.2176247</v>
      </c>
      <c r="G19" s="10">
        <f>SUMIFS(Data!AD$2:AD$2000,Data!$E$2:$E$2000,WeightCal!$B19)</f>
        <v>530807564.19601583</v>
      </c>
      <c r="H19" s="10">
        <f>SUMIFS(Data!AE$2:AE$2000,Data!$E$2:$E$2000,WeightCal!$B19)</f>
        <v>44124479.736529961</v>
      </c>
      <c r="I19" s="10">
        <f>SUMIFS(Data!AF$2:AF$2000,Data!$E$2:$E$2000,WeightCal!$B19)</f>
        <v>8990180289.6254482</v>
      </c>
      <c r="J19" s="10">
        <f>SUMIFS(Data!AG$2:AG$2000,Data!$E$2:$E$2000,WeightCal!$B19)</f>
        <v>394477113.42514747</v>
      </c>
      <c r="K19" s="10">
        <f>SUMIFS(Data!AH$2:AH$2000,Data!$E$2:$E$2000,WeightCal!$B19)</f>
        <v>38123.981589449999</v>
      </c>
      <c r="L19" s="10">
        <f>SUMIFS(Data!AI$2:AI$2000,Data!$E$2:$E$2000,WeightCal!$B19)</f>
        <v>0</v>
      </c>
      <c r="M19" s="2">
        <f t="shared" si="1"/>
        <v>2.0854046784093443</v>
      </c>
      <c r="N19" s="2">
        <f t="shared" si="2"/>
        <v>28.077011570241606</v>
      </c>
      <c r="O19" s="2">
        <f t="shared" si="3"/>
        <v>10.580298929586606</v>
      </c>
      <c r="P19" s="2">
        <f t="shared" si="4"/>
        <v>3.1643289869599438</v>
      </c>
      <c r="Q19" s="2">
        <f t="shared" si="5"/>
        <v>0.26304141026382988</v>
      </c>
      <c r="R19" s="2">
        <f t="shared" si="6"/>
        <v>53.593599653287072</v>
      </c>
      <c r="S19" s="2">
        <f t="shared" si="7"/>
        <v>2.3516156304105076</v>
      </c>
      <c r="T19" s="2">
        <f t="shared" si="8"/>
        <v>2.2727034838801823E-4</v>
      </c>
      <c r="U19" s="2">
        <f t="shared" si="9"/>
        <v>0</v>
      </c>
    </row>
    <row r="20" spans="1:21" x14ac:dyDescent="0.55000000000000004">
      <c r="A20" s="53"/>
      <c r="B20" s="6" t="s">
        <v>21</v>
      </c>
      <c r="C20" s="9">
        <f>SUMIFS(Data!$Y$2:$Y$2000,Data!$E$2:$E$2000,WeightCal!B20)</f>
        <v>255673675.99832401</v>
      </c>
      <c r="D20" s="10">
        <f>SUMIFS(Data!AA$2:AA$2000,Data!$E$2:$E$2000,WeightCal!$B20)</f>
        <v>394238461.30371696</v>
      </c>
      <c r="E20" s="10">
        <f>SUMIFS(Data!AB$2:AB$2000,Data!$E$2:$E$2000,WeightCal!$B20)</f>
        <v>3593638438.4202313</v>
      </c>
      <c r="F20" s="10">
        <f>SUMIFS(Data!AC$2:AC$2000,Data!$E$2:$E$2000,WeightCal!$B20)</f>
        <v>1538185503.8524263</v>
      </c>
      <c r="G20" s="10">
        <f>SUMIFS(Data!AD$2:AD$2000,Data!$E$2:$E$2000,WeightCal!$B20)</f>
        <v>724577537.00100195</v>
      </c>
      <c r="H20" s="10">
        <f>SUMIFS(Data!AE$2:AE$2000,Data!$E$2:$E$2000,WeightCal!$B20)</f>
        <v>296945735.27969259</v>
      </c>
      <c r="I20" s="10">
        <f>SUMIFS(Data!AF$2:AF$2000,Data!$E$2:$E$2000,WeightCal!$B20)</f>
        <v>9102211731.6490231</v>
      </c>
      <c r="J20" s="10">
        <f>SUMIFS(Data!AG$2:AG$2000,Data!$E$2:$E$2000,WeightCal!$B20)</f>
        <v>1002719209.5641073</v>
      </c>
      <c r="K20" s="10">
        <f>SUMIFS(Data!AH$2:AH$2000,Data!$E$2:$E$2000,WeightCal!$B20)</f>
        <v>94951063.139255241</v>
      </c>
      <c r="L20" s="10">
        <f>SUMIFS(Data!AI$2:AI$2000,Data!$E$2:$E$2000,WeightCal!$B20)</f>
        <v>3991003.9167021601</v>
      </c>
      <c r="M20" s="2">
        <f t="shared" si="1"/>
        <v>1.5419595301093934</v>
      </c>
      <c r="N20" s="2">
        <f t="shared" si="2"/>
        <v>14.055566825126684</v>
      </c>
      <c r="O20" s="2">
        <f t="shared" si="3"/>
        <v>6.0162060010531135</v>
      </c>
      <c r="P20" s="2">
        <f t="shared" si="4"/>
        <v>2.8339935043048849</v>
      </c>
      <c r="Q20" s="2">
        <f t="shared" si="5"/>
        <v>1.1614247502024382</v>
      </c>
      <c r="R20" s="2">
        <f t="shared" si="6"/>
        <v>35.600895149286664</v>
      </c>
      <c r="S20" s="2">
        <f t="shared" si="7"/>
        <v>3.9218711337755412</v>
      </c>
      <c r="T20" s="2">
        <f t="shared" si="8"/>
        <v>0.37137598451816239</v>
      </c>
      <c r="U20" s="2">
        <f t="shared" si="9"/>
        <v>1.5609756855564285E-2</v>
      </c>
    </row>
    <row r="21" spans="1:21" x14ac:dyDescent="0.55000000000000004">
      <c r="A21" s="53"/>
      <c r="B21" s="6" t="s">
        <v>33</v>
      </c>
      <c r="C21" s="9">
        <f>SUMIFS(Data!$Y$2:$Y$2000,Data!$E$2:$E$2000,WeightCal!B21)</f>
        <v>623715443.49773002</v>
      </c>
      <c r="D21" s="10">
        <f>SUMIFS(Data!AA$2:AA$2000,Data!$E$2:$E$2000,WeightCal!$B21)</f>
        <v>1609985922.581629</v>
      </c>
      <c r="E21" s="10">
        <f>SUMIFS(Data!AB$2:AB$2000,Data!$E$2:$E$2000,WeightCal!$B21)</f>
        <v>1290727453.9821026</v>
      </c>
      <c r="F21" s="10">
        <f>SUMIFS(Data!AC$2:AC$2000,Data!$E$2:$E$2000,WeightCal!$B21)</f>
        <v>5889824663.4124155</v>
      </c>
      <c r="G21" s="10">
        <f>SUMIFS(Data!AD$2:AD$2000,Data!$E$2:$E$2000,WeightCal!$B21)</f>
        <v>2188419896.4431338</v>
      </c>
      <c r="H21" s="10">
        <f>SUMIFS(Data!AE$2:AE$2000,Data!$E$2:$E$2000,WeightCal!$B21)</f>
        <v>297349633.6556704</v>
      </c>
      <c r="I21" s="10">
        <f>SUMIFS(Data!AF$2:AF$2000,Data!$E$2:$E$2000,WeightCal!$B21)</f>
        <v>28326282599.44862</v>
      </c>
      <c r="J21" s="10">
        <f>SUMIFS(Data!AG$2:AG$2000,Data!$E$2:$E$2000,WeightCal!$B21)</f>
        <v>2528710510.5507936</v>
      </c>
      <c r="K21" s="10">
        <f>SUMIFS(Data!AH$2:AH$2000,Data!$E$2:$E$2000,WeightCal!$B21)</f>
        <v>3855425940.1307225</v>
      </c>
      <c r="L21" s="10">
        <f>SUMIFS(Data!AI$2:AI$2000,Data!$E$2:$E$2000,WeightCal!$B21)</f>
        <v>113071387.7273542</v>
      </c>
      <c r="M21" s="2">
        <f t="shared" si="1"/>
        <v>2.5812827618200358</v>
      </c>
      <c r="N21" s="2">
        <f t="shared" si="2"/>
        <v>2.0694171796417931</v>
      </c>
      <c r="O21" s="2">
        <f t="shared" si="3"/>
        <v>9.4431278314721592</v>
      </c>
      <c r="P21" s="2">
        <f t="shared" si="4"/>
        <v>3.5086831972136321</v>
      </c>
      <c r="Q21" s="2">
        <f t="shared" si="5"/>
        <v>0.47673925145762819</v>
      </c>
      <c r="R21" s="2">
        <f t="shared" si="6"/>
        <v>45.415393982547286</v>
      </c>
      <c r="S21" s="2">
        <f t="shared" si="7"/>
        <v>4.0542695181155901</v>
      </c>
      <c r="T21" s="2">
        <f t="shared" si="8"/>
        <v>6.1813860476340023</v>
      </c>
      <c r="U21" s="2">
        <f t="shared" si="9"/>
        <v>0.18128681741991484</v>
      </c>
    </row>
    <row r="22" spans="1:21" x14ac:dyDescent="0.55000000000000004">
      <c r="A22" s="53"/>
      <c r="B22" s="6" t="s">
        <v>37</v>
      </c>
      <c r="C22" s="9">
        <f>SUMIFS(Data!$Y$2:$Y$2000,Data!$E$2:$E$2000,WeightCal!B22)</f>
        <v>287122966.74782097</v>
      </c>
      <c r="D22" s="10">
        <f>SUMIFS(Data!AA$2:AA$2000,Data!$E$2:$E$2000,WeightCal!$B22)</f>
        <v>481324142.63150454</v>
      </c>
      <c r="E22" s="10">
        <f>SUMIFS(Data!AB$2:AB$2000,Data!$E$2:$E$2000,WeightCal!$B22)</f>
        <v>481599271.25850034</v>
      </c>
      <c r="F22" s="10">
        <f>SUMIFS(Data!AC$2:AC$2000,Data!$E$2:$E$2000,WeightCal!$B22)</f>
        <v>186055442.88688329</v>
      </c>
      <c r="G22" s="10">
        <f>SUMIFS(Data!AD$2:AD$2000,Data!$E$2:$E$2000,WeightCal!$B22)</f>
        <v>291905042.92792112</v>
      </c>
      <c r="H22" s="10">
        <f>SUMIFS(Data!AE$2:AE$2000,Data!$E$2:$E$2000,WeightCal!$B22)</f>
        <v>499197593.90442151</v>
      </c>
      <c r="I22" s="10">
        <f>SUMIFS(Data!AF$2:AF$2000,Data!$E$2:$E$2000,WeightCal!$B22)</f>
        <v>6620104465.9584761</v>
      </c>
      <c r="J22" s="10">
        <f>SUMIFS(Data!AG$2:AG$2000,Data!$E$2:$E$2000,WeightCal!$B22)</f>
        <v>3158890956.0832567</v>
      </c>
      <c r="K22" s="10">
        <f>SUMIFS(Data!AH$2:AH$2000,Data!$E$2:$E$2000,WeightCal!$B22)</f>
        <v>2377612272.2802424</v>
      </c>
      <c r="L22" s="10">
        <f>SUMIFS(Data!AI$2:AI$2000,Data!$E$2:$E$2000,WeightCal!$B22)</f>
        <v>1881574428.9887676</v>
      </c>
      <c r="M22" s="2">
        <f t="shared" si="1"/>
        <v>1.6763693552046979</v>
      </c>
      <c r="N22" s="2">
        <f t="shared" si="2"/>
        <v>1.6773275809785262</v>
      </c>
      <c r="O22" s="2">
        <f t="shared" si="3"/>
        <v>0.64799916563377913</v>
      </c>
      <c r="P22" s="2">
        <f t="shared" si="4"/>
        <v>1.0166551503499204</v>
      </c>
      <c r="Q22" s="2">
        <f t="shared" si="5"/>
        <v>1.7386195174796479</v>
      </c>
      <c r="R22" s="2">
        <f t="shared" si="6"/>
        <v>23.056687317433887</v>
      </c>
      <c r="S22" s="2">
        <f t="shared" si="7"/>
        <v>11.001874882609787</v>
      </c>
      <c r="T22" s="2">
        <f t="shared" si="8"/>
        <v>8.2808153566081337</v>
      </c>
      <c r="U22" s="2">
        <f t="shared" si="9"/>
        <v>6.5532007080483652</v>
      </c>
    </row>
    <row r="23" spans="1:21" x14ac:dyDescent="0.55000000000000004">
      <c r="A23" s="53"/>
      <c r="B23" s="6" t="s">
        <v>25</v>
      </c>
      <c r="C23" s="9">
        <f>SUMIFS(Data!$Y$2:$Y$2000,Data!$E$2:$E$2000,WeightCal!B23)</f>
        <v>456005464.68986905</v>
      </c>
      <c r="D23" s="10">
        <f>SUMIFS(Data!AA$2:AA$2000,Data!$E$2:$E$2000,WeightCal!$B23)</f>
        <v>446203504.67485756</v>
      </c>
      <c r="E23" s="10">
        <f>SUMIFS(Data!AB$2:AB$2000,Data!$E$2:$E$2000,WeightCal!$B23)</f>
        <v>643176202.41758394</v>
      </c>
      <c r="F23" s="10">
        <f>SUMIFS(Data!AC$2:AC$2000,Data!$E$2:$E$2000,WeightCal!$B23)</f>
        <v>383643880.04044574</v>
      </c>
      <c r="G23" s="10">
        <f>SUMIFS(Data!AD$2:AD$2000,Data!$E$2:$E$2000,WeightCal!$B23)</f>
        <v>676830762.50644064</v>
      </c>
      <c r="H23" s="10">
        <f>SUMIFS(Data!AE$2:AE$2000,Data!$E$2:$E$2000,WeightCal!$B23)</f>
        <v>2766374530.1171913</v>
      </c>
      <c r="I23" s="10">
        <f>SUMIFS(Data!AF$2:AF$2000,Data!$E$2:$E$2000,WeightCal!$B23)</f>
        <v>12381638339.755129</v>
      </c>
      <c r="J23" s="10">
        <f>SUMIFS(Data!AG$2:AG$2000,Data!$E$2:$E$2000,WeightCal!$B23)</f>
        <v>2808518233.5459018</v>
      </c>
      <c r="K23" s="10">
        <f>SUMIFS(Data!AH$2:AH$2000,Data!$E$2:$E$2000,WeightCal!$B23)</f>
        <v>2806874219.8332791</v>
      </c>
      <c r="L23" s="10">
        <f>SUMIFS(Data!AI$2:AI$2000,Data!$E$2:$E$2000,WeightCal!$B23)</f>
        <v>28652665.164032206</v>
      </c>
      <c r="M23" s="2">
        <f t="shared" si="1"/>
        <v>0.97850473124992521</v>
      </c>
      <c r="N23" s="2">
        <f t="shared" si="2"/>
        <v>1.4104572252330581</v>
      </c>
      <c r="O23" s="2">
        <f t="shared" si="3"/>
        <v>0.84131421605081713</v>
      </c>
      <c r="P23" s="2">
        <f t="shared" si="4"/>
        <v>1.4842602006244721</v>
      </c>
      <c r="Q23" s="2">
        <f t="shared" si="5"/>
        <v>6.0665381104557872</v>
      </c>
      <c r="R23" s="2">
        <f t="shared" si="6"/>
        <v>27.152390263954238</v>
      </c>
      <c r="S23" s="2">
        <f t="shared" si="7"/>
        <v>6.1589574051617673</v>
      </c>
      <c r="T23" s="2">
        <f t="shared" si="8"/>
        <v>6.1553521551375363</v>
      </c>
      <c r="U23" s="2">
        <f t="shared" si="9"/>
        <v>6.2834039025209898E-2</v>
      </c>
    </row>
    <row r="24" spans="1:21" x14ac:dyDescent="0.55000000000000004">
      <c r="A24" s="53" t="s">
        <v>160</v>
      </c>
      <c r="B24" s="6" t="s">
        <v>47</v>
      </c>
      <c r="C24" s="9">
        <f>SUMIFS(Data!$Y$2:$Y$2000,Data!$E$2:$E$2000,WeightCal!B24)</f>
        <v>735785897.25664401</v>
      </c>
      <c r="D24" s="10">
        <f>SUMIFS(Data!AA$2:AA$2000,Data!$E$2:$E$2000,WeightCal!$B24)</f>
        <v>1279261419.5609016</v>
      </c>
      <c r="E24" s="10">
        <f>SUMIFS(Data!AB$2:AB$2000,Data!$E$2:$E$2000,WeightCal!$B24)</f>
        <v>81727325.810632542</v>
      </c>
      <c r="F24" s="10">
        <f>SUMIFS(Data!AC$2:AC$2000,Data!$E$2:$E$2000,WeightCal!$B24)</f>
        <v>1320109486.0256197</v>
      </c>
      <c r="G24" s="10">
        <f>SUMIFS(Data!AD$2:AD$2000,Data!$E$2:$E$2000,WeightCal!$B24)</f>
        <v>8148655897.9132881</v>
      </c>
      <c r="H24" s="10">
        <f>SUMIFS(Data!AE$2:AE$2000,Data!$E$2:$E$2000,WeightCal!$B24)</f>
        <v>1256559350.309633</v>
      </c>
      <c r="I24" s="10">
        <f>SUMIFS(Data!AF$2:AF$2000,Data!$E$2:$E$2000,WeightCal!$B24)</f>
        <v>7314986958.9440851</v>
      </c>
      <c r="J24" s="10">
        <f>SUMIFS(Data!AG$2:AG$2000,Data!$E$2:$E$2000,WeightCal!$B24)</f>
        <v>7029346455.0868683</v>
      </c>
      <c r="K24" s="10">
        <f>SUMIFS(Data!AH$2:AH$2000,Data!$E$2:$E$2000,WeightCal!$B24)</f>
        <v>13544837018.599276</v>
      </c>
      <c r="L24" s="10">
        <f>SUMIFS(Data!AI$2:AI$2000,Data!$E$2:$E$2000,WeightCal!$B24)</f>
        <v>3948897161.9963765</v>
      </c>
      <c r="M24" s="2">
        <f t="shared" si="1"/>
        <v>1.7386326978141196</v>
      </c>
      <c r="N24" s="2">
        <f t="shared" si="2"/>
        <v>0.11107487397536493</v>
      </c>
      <c r="O24" s="2">
        <f t="shared" si="3"/>
        <v>1.7941489378195601</v>
      </c>
      <c r="P24" s="2">
        <f t="shared" si="4"/>
        <v>11.07476499385937</v>
      </c>
      <c r="Q24" s="2">
        <f t="shared" si="5"/>
        <v>1.7077785195322137</v>
      </c>
      <c r="R24" s="2">
        <f t="shared" si="6"/>
        <v>9.9417330316030768</v>
      </c>
      <c r="S24" s="2">
        <f t="shared" si="7"/>
        <v>9.5535215900380521</v>
      </c>
      <c r="T24" s="2">
        <f t="shared" si="8"/>
        <v>18.408666256176968</v>
      </c>
      <c r="U24" s="2">
        <f t="shared" si="9"/>
        <v>5.3669106416958021</v>
      </c>
    </row>
    <row r="25" spans="1:21" x14ac:dyDescent="0.55000000000000004">
      <c r="A25" s="53"/>
      <c r="B25" s="6" t="s">
        <v>55</v>
      </c>
      <c r="C25" s="9">
        <f>SUMIFS(Data!$Y$2:$Y$2000,Data!$E$2:$E$2000,WeightCal!B25)</f>
        <v>477001195.36815798</v>
      </c>
      <c r="D25" s="10">
        <f>SUMIFS(Data!AA$2:AA$2000,Data!$E$2:$E$2000,WeightCal!$B25)</f>
        <v>6706743780.6390791</v>
      </c>
      <c r="E25" s="10">
        <f>SUMIFS(Data!AB$2:AB$2000,Data!$E$2:$E$2000,WeightCal!$B25)</f>
        <v>35042045.82085079</v>
      </c>
      <c r="F25" s="10">
        <f>SUMIFS(Data!AC$2:AC$2000,Data!$E$2:$E$2000,WeightCal!$B25)</f>
        <v>122037780.49983554</v>
      </c>
      <c r="G25" s="10">
        <f>SUMIFS(Data!AD$2:AD$2000,Data!$E$2:$E$2000,WeightCal!$B25)</f>
        <v>1752250048.4284253</v>
      </c>
      <c r="H25" s="10">
        <f>SUMIFS(Data!AE$2:AE$2000,Data!$E$2:$E$2000,WeightCal!$B25)</f>
        <v>9353112650.0296593</v>
      </c>
      <c r="I25" s="10">
        <f>SUMIFS(Data!AF$2:AF$2000,Data!$E$2:$E$2000,WeightCal!$B25)</f>
        <v>3434194674.6284103</v>
      </c>
      <c r="J25" s="10">
        <f>SUMIFS(Data!AG$2:AG$2000,Data!$E$2:$E$2000,WeightCal!$B25)</f>
        <v>5089943207.4685946</v>
      </c>
      <c r="K25" s="10">
        <f>SUMIFS(Data!AH$2:AH$2000,Data!$E$2:$E$2000,WeightCal!$B25)</f>
        <v>1862378557.9141245</v>
      </c>
      <c r="L25" s="10">
        <f>SUMIFS(Data!AI$2:AI$2000,Data!$E$2:$E$2000,WeightCal!$B25)</f>
        <v>109975675.21634112</v>
      </c>
      <c r="M25" s="2">
        <f t="shared" si="1"/>
        <v>14.060224263091616</v>
      </c>
      <c r="N25" s="2">
        <f t="shared" si="2"/>
        <v>7.3463224329668009E-2</v>
      </c>
      <c r="O25" s="2">
        <f t="shared" si="3"/>
        <v>0.25584376241582502</v>
      </c>
      <c r="P25" s="2">
        <f t="shared" si="4"/>
        <v>3.6734709796188407</v>
      </c>
      <c r="Q25" s="2">
        <f t="shared" si="5"/>
        <v>19.608153482321487</v>
      </c>
      <c r="R25" s="2">
        <f t="shared" si="6"/>
        <v>7.1995515063182136</v>
      </c>
      <c r="S25" s="2">
        <f t="shared" si="7"/>
        <v>10.670713735926984</v>
      </c>
      <c r="T25" s="2">
        <f t="shared" si="8"/>
        <v>3.9043477794153278</v>
      </c>
      <c r="U25" s="2">
        <f t="shared" si="9"/>
        <v>0.23055639332614239</v>
      </c>
    </row>
    <row r="26" spans="1:21" x14ac:dyDescent="0.55000000000000004">
      <c r="A26" s="53"/>
      <c r="B26" s="6" t="s">
        <v>57</v>
      </c>
      <c r="C26" s="9">
        <f>SUMIFS(Data!$Y$2:$Y$2000,Data!$E$2:$E$2000,WeightCal!B26)</f>
        <v>236017824.02811801</v>
      </c>
      <c r="D26" s="10">
        <f>SUMIFS(Data!AA$2:AA$2000,Data!$E$2:$E$2000,WeightCal!$B26)</f>
        <v>8282468.5439213198</v>
      </c>
      <c r="E26" s="10">
        <f>SUMIFS(Data!AB$2:AB$2000,Data!$E$2:$E$2000,WeightCal!$B26)</f>
        <v>68002256.884430245</v>
      </c>
      <c r="F26" s="10">
        <f>SUMIFS(Data!AC$2:AC$2000,Data!$E$2:$E$2000,WeightCal!$B26)</f>
        <v>49558161.05516395</v>
      </c>
      <c r="G26" s="10">
        <f>SUMIFS(Data!AD$2:AD$2000,Data!$E$2:$E$2000,WeightCal!$B26)</f>
        <v>212742251.17301509</v>
      </c>
      <c r="H26" s="10">
        <f>SUMIFS(Data!AE$2:AE$2000,Data!$E$2:$E$2000,WeightCal!$B26)</f>
        <v>3906022829.5957327</v>
      </c>
      <c r="I26" s="10">
        <f>SUMIFS(Data!AF$2:AF$2000,Data!$E$2:$E$2000,WeightCal!$B26)</f>
        <v>5923479065.9675198</v>
      </c>
      <c r="J26" s="10">
        <f>SUMIFS(Data!AG$2:AG$2000,Data!$E$2:$E$2000,WeightCal!$B26)</f>
        <v>4983307256.3003531</v>
      </c>
      <c r="K26" s="10">
        <f>SUMIFS(Data!AH$2:AH$2000,Data!$E$2:$E$2000,WeightCal!$B26)</f>
        <v>4325256662.7668772</v>
      </c>
      <c r="L26" s="10">
        <f>SUMIFS(Data!AI$2:AI$2000,Data!$E$2:$E$2000,WeightCal!$B26)</f>
        <v>545023258.75566292</v>
      </c>
      <c r="M26" s="2">
        <f t="shared" si="1"/>
        <v>3.5092555310291255E-2</v>
      </c>
      <c r="N26" s="2">
        <f t="shared" si="2"/>
        <v>0.28812339561409051</v>
      </c>
      <c r="O26" s="2">
        <f t="shared" si="3"/>
        <v>0.20997634928309411</v>
      </c>
      <c r="P26" s="2">
        <f t="shared" si="4"/>
        <v>0.90138213945939105</v>
      </c>
      <c r="Q26" s="2">
        <f t="shared" si="5"/>
        <v>16.549694268558245</v>
      </c>
      <c r="R26" s="2">
        <f t="shared" si="6"/>
        <v>25.097592058393968</v>
      </c>
      <c r="S26" s="2">
        <f t="shared" si="7"/>
        <v>21.114114058210561</v>
      </c>
      <c r="T26" s="2">
        <f t="shared" si="8"/>
        <v>18.325974661352642</v>
      </c>
      <c r="U26" s="2">
        <f t="shared" si="9"/>
        <v>2.3092461808762863</v>
      </c>
    </row>
    <row r="27" spans="1:21" x14ac:dyDescent="0.55000000000000004">
      <c r="A27" s="53"/>
      <c r="B27" s="6" t="s">
        <v>51</v>
      </c>
      <c r="C27" s="9">
        <f>SUMIFS(Data!$Y$2:$Y$2000,Data!$E$2:$E$2000,WeightCal!B27)</f>
        <v>474928518.18005985</v>
      </c>
      <c r="D27" s="10">
        <f>SUMIFS(Data!AA$2:AA$2000,Data!$E$2:$E$2000,WeightCal!$B27)</f>
        <v>3401010255.7720671</v>
      </c>
      <c r="E27" s="10">
        <f>SUMIFS(Data!AB$2:AB$2000,Data!$E$2:$E$2000,WeightCal!$B27)</f>
        <v>2235431631.8782396</v>
      </c>
      <c r="F27" s="10">
        <f>SUMIFS(Data!AC$2:AC$2000,Data!$E$2:$E$2000,WeightCal!$B27)</f>
        <v>1336352498.9157584</v>
      </c>
      <c r="G27" s="10">
        <f>SUMIFS(Data!AD$2:AD$2000,Data!$E$2:$E$2000,WeightCal!$B27)</f>
        <v>2117865370.8952162</v>
      </c>
      <c r="H27" s="10">
        <f>SUMIFS(Data!AE$2:AE$2000,Data!$E$2:$E$2000,WeightCal!$B27)</f>
        <v>3783013248.5811081</v>
      </c>
      <c r="I27" s="10">
        <f>SUMIFS(Data!AF$2:AF$2000,Data!$E$2:$E$2000,WeightCal!$B27)</f>
        <v>9219724246.9927368</v>
      </c>
      <c r="J27" s="10">
        <f>SUMIFS(Data!AG$2:AG$2000,Data!$E$2:$E$2000,WeightCal!$B27)</f>
        <v>5763712665.4692459</v>
      </c>
      <c r="K27" s="10">
        <f>SUMIFS(Data!AH$2:AH$2000,Data!$E$2:$E$2000,WeightCal!$B27)</f>
        <v>10444805020.957813</v>
      </c>
      <c r="L27" s="10">
        <f>SUMIFS(Data!AI$2:AI$2000,Data!$E$2:$E$2000,WeightCal!$B27)</f>
        <v>1323043360.2530677</v>
      </c>
      <c r="M27" s="2">
        <f t="shared" si="1"/>
        <v>7.1610992509037761</v>
      </c>
      <c r="N27" s="2">
        <f t="shared" si="2"/>
        <v>4.706880185768755</v>
      </c>
      <c r="O27" s="2">
        <f t="shared" si="3"/>
        <v>2.8137971247477425</v>
      </c>
      <c r="P27" s="2">
        <f t="shared" si="4"/>
        <v>4.4593350153217566</v>
      </c>
      <c r="Q27" s="2">
        <f t="shared" si="5"/>
        <v>7.9654371211013544</v>
      </c>
      <c r="R27" s="2">
        <f t="shared" si="6"/>
        <v>19.412867187514856</v>
      </c>
      <c r="S27" s="2">
        <f t="shared" si="7"/>
        <v>12.135958243897342</v>
      </c>
      <c r="T27" s="2">
        <f t="shared" si="8"/>
        <v>21.992372791136265</v>
      </c>
      <c r="U27" s="2">
        <f t="shared" si="9"/>
        <v>2.7857736682627716</v>
      </c>
    </row>
    <row r="28" spans="1:21" x14ac:dyDescent="0.55000000000000004">
      <c r="A28" s="53"/>
      <c r="B28" s="6" t="s">
        <v>45</v>
      </c>
      <c r="C28" s="9">
        <f>SUMIFS(Data!$Y$2:$Y$2000,Data!$E$2:$E$2000,WeightCal!B28)</f>
        <v>163252429.49276501</v>
      </c>
      <c r="D28" s="10">
        <f>SUMIFS(Data!AA$2:AA$2000,Data!$E$2:$E$2000,WeightCal!$B28)</f>
        <v>28225582.792827003</v>
      </c>
      <c r="E28" s="10">
        <f>SUMIFS(Data!AB$2:AB$2000,Data!$E$2:$E$2000,WeightCal!$B28)</f>
        <v>593378939.26780725</v>
      </c>
      <c r="F28" s="10">
        <f>SUMIFS(Data!AC$2:AC$2000,Data!$E$2:$E$2000,WeightCal!$B28)</f>
        <v>19103918.4567951</v>
      </c>
      <c r="G28" s="10">
        <f>SUMIFS(Data!AD$2:AD$2000,Data!$E$2:$E$2000,WeightCal!$B28)</f>
        <v>231011856.50844765</v>
      </c>
      <c r="H28" s="10">
        <f>SUMIFS(Data!AE$2:AE$2000,Data!$E$2:$E$2000,WeightCal!$B28)</f>
        <v>1158803316.1920438</v>
      </c>
      <c r="I28" s="10">
        <f>SUMIFS(Data!AF$2:AF$2000,Data!$E$2:$E$2000,WeightCal!$B28)</f>
        <v>4962245551.8619576</v>
      </c>
      <c r="J28" s="10">
        <f>SUMIFS(Data!AG$2:AG$2000,Data!$E$2:$E$2000,WeightCal!$B28)</f>
        <v>1523526870.6825681</v>
      </c>
      <c r="K28" s="10">
        <f>SUMIFS(Data!AH$2:AH$2000,Data!$E$2:$E$2000,WeightCal!$B28)</f>
        <v>2893696364.9121962</v>
      </c>
      <c r="L28" s="10">
        <f>SUMIFS(Data!AI$2:AI$2000,Data!$E$2:$E$2000,WeightCal!$B28)</f>
        <v>813740784.67916465</v>
      </c>
      <c r="M28" s="2">
        <f t="shared" si="1"/>
        <v>0.17289533074959781</v>
      </c>
      <c r="N28" s="2">
        <f t="shared" si="2"/>
        <v>3.6347326720433553</v>
      </c>
      <c r="O28" s="2">
        <f t="shared" si="3"/>
        <v>0.11702072989757095</v>
      </c>
      <c r="P28" s="2">
        <f t="shared" si="4"/>
        <v>1.4150592259252448</v>
      </c>
      <c r="Q28" s="2">
        <f t="shared" si="5"/>
        <v>7.0982301445222866</v>
      </c>
      <c r="R28" s="2">
        <f t="shared" si="6"/>
        <v>30.396151330059521</v>
      </c>
      <c r="S28" s="2">
        <f t="shared" si="7"/>
        <v>9.3323381184357039</v>
      </c>
      <c r="T28" s="2">
        <f t="shared" si="8"/>
        <v>17.725288217168238</v>
      </c>
      <c r="U28" s="2">
        <f t="shared" si="9"/>
        <v>4.9845554348410346</v>
      </c>
    </row>
    <row r="29" spans="1:21" x14ac:dyDescent="0.55000000000000004">
      <c r="A29" s="53"/>
      <c r="B29" s="6" t="s">
        <v>53</v>
      </c>
      <c r="C29" s="9">
        <f>SUMIFS(Data!$Y$2:$Y$2000,Data!$E$2:$E$2000,WeightCal!B29)</f>
        <v>530998992.93366796</v>
      </c>
      <c r="D29" s="10">
        <f>SUMIFS(Data!AA$2:AA$2000,Data!$E$2:$E$2000,WeightCal!$B29)</f>
        <v>2088570920.9122303</v>
      </c>
      <c r="E29" s="10">
        <f>SUMIFS(Data!AB$2:AB$2000,Data!$E$2:$E$2000,WeightCal!$B29)</f>
        <v>731403526.6046772</v>
      </c>
      <c r="F29" s="10">
        <f>SUMIFS(Data!AC$2:AC$2000,Data!$E$2:$E$2000,WeightCal!$B29)</f>
        <v>189956468.15770015</v>
      </c>
      <c r="G29" s="10">
        <f>SUMIFS(Data!AD$2:AD$2000,Data!$E$2:$E$2000,WeightCal!$B29)</f>
        <v>456359546.32018006</v>
      </c>
      <c r="H29" s="10">
        <f>SUMIFS(Data!AE$2:AE$2000,Data!$E$2:$E$2000,WeightCal!$B29)</f>
        <v>4379588585.1468353</v>
      </c>
      <c r="I29" s="10">
        <f>SUMIFS(Data!AF$2:AF$2000,Data!$E$2:$E$2000,WeightCal!$B29)</f>
        <v>25488211212.370831</v>
      </c>
      <c r="J29" s="10">
        <f>SUMIFS(Data!AG$2:AG$2000,Data!$E$2:$E$2000,WeightCal!$B29)</f>
        <v>6021591125.7163668</v>
      </c>
      <c r="K29" s="10">
        <f>SUMIFS(Data!AH$2:AH$2000,Data!$E$2:$E$2000,WeightCal!$B29)</f>
        <v>6319765797.2558222</v>
      </c>
      <c r="L29" s="10">
        <f>SUMIFS(Data!AI$2:AI$2000,Data!$E$2:$E$2000,WeightCal!$B29)</f>
        <v>395011264.89592516</v>
      </c>
      <c r="M29" s="2">
        <f t="shared" si="1"/>
        <v>3.9332860301170727</v>
      </c>
      <c r="N29" s="2">
        <f t="shared" si="2"/>
        <v>1.3774103837067797</v>
      </c>
      <c r="O29" s="2">
        <f t="shared" si="3"/>
        <v>0.35773414015011018</v>
      </c>
      <c r="P29" s="2">
        <f t="shared" si="4"/>
        <v>0.85943580382117257</v>
      </c>
      <c r="Q29" s="2">
        <f t="shared" si="5"/>
        <v>8.247828420446611</v>
      </c>
      <c r="R29" s="2">
        <f t="shared" si="6"/>
        <v>48.000488798581962</v>
      </c>
      <c r="S29" s="2">
        <f t="shared" si="7"/>
        <v>11.34011778901543</v>
      </c>
      <c r="T29" s="2">
        <f t="shared" si="8"/>
        <v>11.901653075348268</v>
      </c>
      <c r="U29" s="2">
        <f t="shared" si="9"/>
        <v>0.74390209803141705</v>
      </c>
    </row>
    <row r="30" spans="1:21" x14ac:dyDescent="0.55000000000000004">
      <c r="A30" s="53"/>
      <c r="B30" s="6" t="s">
        <v>43</v>
      </c>
      <c r="C30" s="9">
        <f>SUMIFS(Data!$Y$2:$Y$2000,Data!$E$2:$E$2000,WeightCal!B30)</f>
        <v>674029189.06861687</v>
      </c>
      <c r="D30" s="10">
        <f>SUMIFS(Data!AA$2:AA$2000,Data!$E$2:$E$2000,WeightCal!$B30)</f>
        <v>274840597.02006602</v>
      </c>
      <c r="E30" s="10">
        <f>SUMIFS(Data!AB$2:AB$2000,Data!$E$2:$E$2000,WeightCal!$B30)</f>
        <v>908543860.38305044</v>
      </c>
      <c r="F30" s="10">
        <f>SUMIFS(Data!AC$2:AC$2000,Data!$E$2:$E$2000,WeightCal!$B30)</f>
        <v>299012338.37102848</v>
      </c>
      <c r="G30" s="10">
        <f>SUMIFS(Data!AD$2:AD$2000,Data!$E$2:$E$2000,WeightCal!$B30)</f>
        <v>3036270275.1884842</v>
      </c>
      <c r="H30" s="10">
        <f>SUMIFS(Data!AE$2:AE$2000,Data!$E$2:$E$2000,WeightCal!$B30)</f>
        <v>14972564734.443329</v>
      </c>
      <c r="I30" s="10">
        <f>SUMIFS(Data!AF$2:AF$2000,Data!$E$2:$E$2000,WeightCal!$B30)</f>
        <v>9535329130.651329</v>
      </c>
      <c r="J30" s="10">
        <f>SUMIFS(Data!AG$2:AG$2000,Data!$E$2:$E$2000,WeightCal!$B30)</f>
        <v>9221369858.2696571</v>
      </c>
      <c r="K30" s="10">
        <f>SUMIFS(Data!AH$2:AH$2000,Data!$E$2:$E$2000,WeightCal!$B30)</f>
        <v>23678739969.411625</v>
      </c>
      <c r="L30" s="10">
        <f>SUMIFS(Data!AI$2:AI$2000,Data!$E$2:$E$2000,WeightCal!$B30)</f>
        <v>9577229529.4374847</v>
      </c>
      <c r="M30" s="2">
        <f t="shared" si="1"/>
        <v>0.40775770764444885</v>
      </c>
      <c r="N30" s="2">
        <f t="shared" si="2"/>
        <v>1.3479295483308211</v>
      </c>
      <c r="O30" s="2">
        <f t="shared" si="3"/>
        <v>0.44361927231105225</v>
      </c>
      <c r="P30" s="2">
        <f t="shared" si="4"/>
        <v>4.5046569561535543</v>
      </c>
      <c r="Q30" s="2">
        <f t="shared" si="5"/>
        <v>22.213525730440001</v>
      </c>
      <c r="R30" s="2">
        <f t="shared" si="6"/>
        <v>14.146759940511453</v>
      </c>
      <c r="S30" s="2">
        <f t="shared" si="7"/>
        <v>13.680965168603272</v>
      </c>
      <c r="T30" s="2">
        <f t="shared" si="8"/>
        <v>35.13014028684907</v>
      </c>
      <c r="U30" s="2">
        <f t="shared" si="9"/>
        <v>14.208924012135791</v>
      </c>
    </row>
    <row r="31" spans="1:21" x14ac:dyDescent="0.55000000000000004">
      <c r="A31" s="53"/>
      <c r="B31" s="6" t="s">
        <v>49</v>
      </c>
      <c r="C31" s="9">
        <f>SUMIFS(Data!$Y$2:$Y$2000,Data!$E$2:$E$2000,WeightCal!B31)</f>
        <v>373274387.46800905</v>
      </c>
      <c r="D31" s="10">
        <f>SUMIFS(Data!AA$2:AA$2000,Data!$E$2:$E$2000,WeightCal!$B31)</f>
        <v>2205585071.6106381</v>
      </c>
      <c r="E31" s="10">
        <f>SUMIFS(Data!AB$2:AB$2000,Data!$E$2:$E$2000,WeightCal!$B31)</f>
        <v>60199019.30396951</v>
      </c>
      <c r="F31" s="10">
        <f>SUMIFS(Data!AC$2:AC$2000,Data!$E$2:$E$2000,WeightCal!$B31)</f>
        <v>591192770.63227642</v>
      </c>
      <c r="G31" s="10">
        <f>SUMIFS(Data!AD$2:AD$2000,Data!$E$2:$E$2000,WeightCal!$B31)</f>
        <v>1950788738.9549975</v>
      </c>
      <c r="H31" s="10">
        <f>SUMIFS(Data!AE$2:AE$2000,Data!$E$2:$E$2000,WeightCal!$B31)</f>
        <v>4039988316.0175247</v>
      </c>
      <c r="I31" s="10">
        <f>SUMIFS(Data!AF$2:AF$2000,Data!$E$2:$E$2000,WeightCal!$B31)</f>
        <v>2330173677.6664147</v>
      </c>
      <c r="J31" s="10">
        <f>SUMIFS(Data!AG$2:AG$2000,Data!$E$2:$E$2000,WeightCal!$B31)</f>
        <v>6562876394.6201344</v>
      </c>
      <c r="K31" s="10">
        <f>SUMIFS(Data!AH$2:AH$2000,Data!$E$2:$E$2000,WeightCal!$B31)</f>
        <v>1860181270.8336813</v>
      </c>
      <c r="L31" s="10">
        <f>SUMIFS(Data!AI$2:AI$2000,Data!$E$2:$E$2000,WeightCal!$B31)</f>
        <v>145079087.75410706</v>
      </c>
      <c r="M31" s="2">
        <f t="shared" si="1"/>
        <v>5.9087500928513741</v>
      </c>
      <c r="N31" s="2">
        <f t="shared" si="2"/>
        <v>0.16127283661842129</v>
      </c>
      <c r="O31" s="2">
        <f t="shared" si="3"/>
        <v>1.5838021318377857</v>
      </c>
      <c r="P31" s="2">
        <f t="shared" si="4"/>
        <v>5.2261521402193365</v>
      </c>
      <c r="Q31" s="2">
        <f t="shared" si="5"/>
        <v>10.823106142967728</v>
      </c>
      <c r="R31" s="2">
        <f t="shared" si="6"/>
        <v>6.2425222728846324</v>
      </c>
      <c r="S31" s="2">
        <f t="shared" si="7"/>
        <v>17.581909220017398</v>
      </c>
      <c r="T31" s="2">
        <f t="shared" si="8"/>
        <v>4.9834152389925377</v>
      </c>
      <c r="U31" s="2">
        <f t="shared" si="9"/>
        <v>0.38866606610275628</v>
      </c>
    </row>
    <row r="32" spans="1:21" x14ac:dyDescent="0.55000000000000004">
      <c r="A32" s="53" t="s">
        <v>161</v>
      </c>
      <c r="B32" s="6" t="s">
        <v>73</v>
      </c>
      <c r="C32" s="9">
        <f>SUMIFS(Data!$Y$2:$Y$2000,Data!$E$2:$E$2000,WeightCal!B32)</f>
        <v>1217089745.0110452</v>
      </c>
      <c r="D32" s="10">
        <f>SUMIFS(Data!AA$2:AA$2000,Data!$E$2:$E$2000,WeightCal!$B32)</f>
        <v>24472077869.881493</v>
      </c>
      <c r="E32" s="10">
        <f>SUMIFS(Data!AB$2:AB$2000,Data!$E$2:$E$2000,WeightCal!$B32)</f>
        <v>331381179.06847358</v>
      </c>
      <c r="F32" s="10">
        <f>SUMIFS(Data!AC$2:AC$2000,Data!$E$2:$E$2000,WeightCal!$B32)</f>
        <v>982438345.61840701</v>
      </c>
      <c r="G32" s="10">
        <f>SUMIFS(Data!AD$2:AD$2000,Data!$E$2:$E$2000,WeightCal!$B32)</f>
        <v>3200387428.7632771</v>
      </c>
      <c r="H32" s="10">
        <f>SUMIFS(Data!AE$2:AE$2000,Data!$E$2:$E$2000,WeightCal!$B32)</f>
        <v>31194464294.25375</v>
      </c>
      <c r="I32" s="10">
        <f>SUMIFS(Data!AF$2:AF$2000,Data!$E$2:$E$2000,WeightCal!$B32)</f>
        <v>16906496524.560673</v>
      </c>
      <c r="J32" s="10">
        <f>SUMIFS(Data!AG$2:AG$2000,Data!$E$2:$E$2000,WeightCal!$B32)</f>
        <v>14555759086.371201</v>
      </c>
      <c r="K32" s="10">
        <f>SUMIFS(Data!AH$2:AH$2000,Data!$E$2:$E$2000,WeightCal!$B32)</f>
        <v>2889923370.0858817</v>
      </c>
      <c r="L32" s="10">
        <f>SUMIFS(Data!AI$2:AI$2000,Data!$E$2:$E$2000,WeightCal!$B32)</f>
        <v>721201736.39359391</v>
      </c>
      <c r="M32" s="2">
        <f t="shared" si="1"/>
        <v>20.107044669626564</v>
      </c>
      <c r="N32" s="2">
        <f t="shared" si="2"/>
        <v>0.27227341321938936</v>
      </c>
      <c r="O32" s="2">
        <f t="shared" si="3"/>
        <v>0.80720287854326744</v>
      </c>
      <c r="P32" s="2">
        <f t="shared" si="4"/>
        <v>2.6295410358044164</v>
      </c>
      <c r="Q32" s="2">
        <f t="shared" si="5"/>
        <v>25.630373127472748</v>
      </c>
      <c r="R32" s="2">
        <f t="shared" si="6"/>
        <v>13.890920200307205</v>
      </c>
      <c r="S32" s="2">
        <f t="shared" si="7"/>
        <v>11.959478868371457</v>
      </c>
      <c r="T32" s="2">
        <f t="shared" si="8"/>
        <v>2.3744538000849356</v>
      </c>
      <c r="U32" s="2">
        <f t="shared" si="9"/>
        <v>0.59256249537050276</v>
      </c>
    </row>
    <row r="33" spans="1:21" x14ac:dyDescent="0.55000000000000004">
      <c r="A33" s="53"/>
      <c r="B33" s="6" t="s">
        <v>61</v>
      </c>
      <c r="C33" s="9">
        <f>SUMIFS(Data!$Y$2:$Y$2000,Data!$E$2:$E$2000,WeightCal!B33)</f>
        <v>784449010.79770803</v>
      </c>
      <c r="D33" s="10">
        <f>SUMIFS(Data!AA$2:AA$2000,Data!$E$2:$E$2000,WeightCal!$B33)</f>
        <v>5759771431.1089697</v>
      </c>
      <c r="E33" s="10">
        <f>SUMIFS(Data!AB$2:AB$2000,Data!$E$2:$E$2000,WeightCal!$B33)</f>
        <v>101247832.00511301</v>
      </c>
      <c r="F33" s="10">
        <f>SUMIFS(Data!AC$2:AC$2000,Data!$E$2:$E$2000,WeightCal!$B33)</f>
        <v>819441572.99152458</v>
      </c>
      <c r="G33" s="10">
        <f>SUMIFS(Data!AD$2:AD$2000,Data!$E$2:$E$2000,WeightCal!$B33)</f>
        <v>1551709993.2358093</v>
      </c>
      <c r="H33" s="10">
        <f>SUMIFS(Data!AE$2:AE$2000,Data!$E$2:$E$2000,WeightCal!$B33)</f>
        <v>3770529486.5444403</v>
      </c>
      <c r="I33" s="10">
        <f>SUMIFS(Data!AF$2:AF$2000,Data!$E$2:$E$2000,WeightCal!$B33)</f>
        <v>5007120014.5149441</v>
      </c>
      <c r="J33" s="10">
        <f>SUMIFS(Data!AG$2:AG$2000,Data!$E$2:$E$2000,WeightCal!$B33)</f>
        <v>8187693715.0559235</v>
      </c>
      <c r="K33" s="10">
        <f>SUMIFS(Data!AH$2:AH$2000,Data!$E$2:$E$2000,WeightCal!$B33)</f>
        <v>4353715998.1459656</v>
      </c>
      <c r="L33" s="10">
        <f>SUMIFS(Data!AI$2:AI$2000,Data!$E$2:$E$2000,WeightCal!$B33)</f>
        <v>13055062479.372179</v>
      </c>
      <c r="M33" s="2">
        <f t="shared" si="1"/>
        <v>7.3424420858812027</v>
      </c>
      <c r="N33" s="2">
        <f t="shared" si="2"/>
        <v>0.12906872290163748</v>
      </c>
      <c r="O33" s="2">
        <f t="shared" si="3"/>
        <v>1.0446078224488198</v>
      </c>
      <c r="P33" s="2">
        <f t="shared" si="4"/>
        <v>1.9780890432354192</v>
      </c>
      <c r="Q33" s="2">
        <f t="shared" si="5"/>
        <v>4.8065960115242925</v>
      </c>
      <c r="R33" s="2">
        <f t="shared" si="6"/>
        <v>6.3829770266689376</v>
      </c>
      <c r="S33" s="2">
        <f t="shared" si="7"/>
        <v>10.437509133614483</v>
      </c>
      <c r="T33" s="2">
        <f t="shared" si="8"/>
        <v>5.5500305797041696</v>
      </c>
      <c r="U33" s="2">
        <f t="shared" si="9"/>
        <v>16.642334045518719</v>
      </c>
    </row>
    <row r="34" spans="1:21" x14ac:dyDescent="0.55000000000000004">
      <c r="A34" s="53"/>
      <c r="B34" s="6" t="s">
        <v>77</v>
      </c>
      <c r="C34" s="9">
        <f>SUMIFS(Data!$Y$2:$Y$2000,Data!$E$2:$E$2000,WeightCal!B34)</f>
        <v>780583415.64028704</v>
      </c>
      <c r="D34" s="10">
        <f>SUMIFS(Data!AA$2:AA$2000,Data!$E$2:$E$2000,WeightCal!$B34)</f>
        <v>21036549306.416592</v>
      </c>
      <c r="E34" s="10">
        <f>SUMIFS(Data!AB$2:AB$2000,Data!$E$2:$E$2000,WeightCal!$B34)</f>
        <v>307919517.52387476</v>
      </c>
      <c r="F34" s="10">
        <f>SUMIFS(Data!AC$2:AC$2000,Data!$E$2:$E$2000,WeightCal!$B34)</f>
        <v>269745322.26732099</v>
      </c>
      <c r="G34" s="10">
        <f>SUMIFS(Data!AD$2:AD$2000,Data!$E$2:$E$2000,WeightCal!$B34)</f>
        <v>3292970419.7226529</v>
      </c>
      <c r="H34" s="10">
        <f>SUMIFS(Data!AE$2:AE$2000,Data!$E$2:$E$2000,WeightCal!$B34)</f>
        <v>9743088035.5251045</v>
      </c>
      <c r="I34" s="10">
        <f>SUMIFS(Data!AF$2:AF$2000,Data!$E$2:$E$2000,WeightCal!$B34)</f>
        <v>19984080009.224289</v>
      </c>
      <c r="J34" s="10">
        <f>SUMIFS(Data!AG$2:AG$2000,Data!$E$2:$E$2000,WeightCal!$B34)</f>
        <v>11993061034.486967</v>
      </c>
      <c r="K34" s="10">
        <f>SUMIFS(Data!AH$2:AH$2000,Data!$E$2:$E$2000,WeightCal!$B34)</f>
        <v>2766966004.6080351</v>
      </c>
      <c r="L34" s="10">
        <f>SUMIFS(Data!AI$2:AI$2000,Data!$E$2:$E$2000,WeightCal!$B34)</f>
        <v>1735513192.9318609</v>
      </c>
      <c r="M34" s="2">
        <f t="shared" si="1"/>
        <v>26.949777416371315</v>
      </c>
      <c r="N34" s="2">
        <f t="shared" si="2"/>
        <v>0.39447355830804892</v>
      </c>
      <c r="O34" s="2">
        <f t="shared" si="3"/>
        <v>0.34556886152398936</v>
      </c>
      <c r="P34" s="2">
        <f t="shared" si="4"/>
        <v>4.2186015661395224</v>
      </c>
      <c r="Q34" s="2">
        <f t="shared" si="5"/>
        <v>12.481802508618721</v>
      </c>
      <c r="R34" s="2">
        <f t="shared" si="6"/>
        <v>25.601466299193664</v>
      </c>
      <c r="S34" s="2">
        <f t="shared" si="7"/>
        <v>15.364227312784312</v>
      </c>
      <c r="T34" s="2">
        <f t="shared" si="8"/>
        <v>3.5447409580670932</v>
      </c>
      <c r="U34" s="2">
        <f t="shared" si="9"/>
        <v>2.2233539147232282</v>
      </c>
    </row>
    <row r="35" spans="1:21" x14ac:dyDescent="0.55000000000000004">
      <c r="A35" s="53"/>
      <c r="B35" s="6" t="s">
        <v>63</v>
      </c>
      <c r="C35" s="9">
        <f>SUMIFS(Data!$Y$2:$Y$2000,Data!$E$2:$E$2000,WeightCal!B35)</f>
        <v>626085335.75694704</v>
      </c>
      <c r="D35" s="10">
        <f>SUMIFS(Data!AA$2:AA$2000,Data!$E$2:$E$2000,WeightCal!$B35)</f>
        <v>3440233797.3270364</v>
      </c>
      <c r="E35" s="10">
        <f>SUMIFS(Data!AB$2:AB$2000,Data!$E$2:$E$2000,WeightCal!$B35)</f>
        <v>127454727.77815197</v>
      </c>
      <c r="F35" s="10">
        <f>SUMIFS(Data!AC$2:AC$2000,Data!$E$2:$E$2000,WeightCal!$B35)</f>
        <v>202619192.15411958</v>
      </c>
      <c r="G35" s="10">
        <f>SUMIFS(Data!AD$2:AD$2000,Data!$E$2:$E$2000,WeightCal!$B35)</f>
        <v>2430462412.6138768</v>
      </c>
      <c r="H35" s="10">
        <f>SUMIFS(Data!AE$2:AE$2000,Data!$E$2:$E$2000,WeightCal!$B35)</f>
        <v>2601546634.1740112</v>
      </c>
      <c r="I35" s="10">
        <f>SUMIFS(Data!AF$2:AF$2000,Data!$E$2:$E$2000,WeightCal!$B35)</f>
        <v>4794484803.2004776</v>
      </c>
      <c r="J35" s="10">
        <f>SUMIFS(Data!AG$2:AG$2000,Data!$E$2:$E$2000,WeightCal!$B35)</f>
        <v>15012603122.636972</v>
      </c>
      <c r="K35" s="10">
        <f>SUMIFS(Data!AH$2:AH$2000,Data!$E$2:$E$2000,WeightCal!$B35)</f>
        <v>6152198512.3095694</v>
      </c>
      <c r="L35" s="10">
        <f>SUMIFS(Data!AI$2:AI$2000,Data!$E$2:$E$2000,WeightCal!$B35)</f>
        <v>3651824696.5777659</v>
      </c>
      <c r="M35" s="2">
        <f t="shared" si="1"/>
        <v>5.4948320953209029</v>
      </c>
      <c r="N35" s="2">
        <f t="shared" si="2"/>
        <v>0.20357405053107849</v>
      </c>
      <c r="O35" s="2">
        <f t="shared" si="3"/>
        <v>0.32362871414189853</v>
      </c>
      <c r="P35" s="2">
        <f t="shared" si="4"/>
        <v>3.8819986251161902</v>
      </c>
      <c r="Q35" s="2">
        <f t="shared" si="5"/>
        <v>4.1552588530582666</v>
      </c>
      <c r="R35" s="2">
        <f t="shared" si="6"/>
        <v>7.657877495890987</v>
      </c>
      <c r="S35" s="2">
        <f t="shared" si="7"/>
        <v>23.978525394603754</v>
      </c>
      <c r="T35" s="2">
        <f t="shared" si="8"/>
        <v>9.8264536173355097</v>
      </c>
      <c r="U35" s="2">
        <f t="shared" si="9"/>
        <v>5.8327906565047591</v>
      </c>
    </row>
    <row r="36" spans="1:21" x14ac:dyDescent="0.55000000000000004">
      <c r="A36" s="53"/>
      <c r="B36" s="6" t="s">
        <v>75</v>
      </c>
      <c r="C36" s="9">
        <f>SUMIFS(Data!$Y$2:$Y$2000,Data!$E$2:$E$2000,WeightCal!B36)</f>
        <v>286114012.14646202</v>
      </c>
      <c r="D36" s="10">
        <f>SUMIFS(Data!AA$2:AA$2000,Data!$E$2:$E$2000,WeightCal!$B36)</f>
        <v>775940367.1015296</v>
      </c>
      <c r="E36" s="10">
        <f>SUMIFS(Data!AB$2:AB$2000,Data!$E$2:$E$2000,WeightCal!$B36)</f>
        <v>44705812.652352773</v>
      </c>
      <c r="F36" s="10">
        <f>SUMIFS(Data!AC$2:AC$2000,Data!$E$2:$E$2000,WeightCal!$B36)</f>
        <v>767872146.59219611</v>
      </c>
      <c r="G36" s="10">
        <f>SUMIFS(Data!AD$2:AD$2000,Data!$E$2:$E$2000,WeightCal!$B36)</f>
        <v>664309934.00276983</v>
      </c>
      <c r="H36" s="10">
        <f>SUMIFS(Data!AE$2:AE$2000,Data!$E$2:$E$2000,WeightCal!$B36)</f>
        <v>760392396.77607954</v>
      </c>
      <c r="I36" s="10">
        <f>SUMIFS(Data!AF$2:AF$2000,Data!$E$2:$E$2000,WeightCal!$B36)</f>
        <v>1969679090.9942665</v>
      </c>
      <c r="J36" s="10">
        <f>SUMIFS(Data!AG$2:AG$2000,Data!$E$2:$E$2000,WeightCal!$B36)</f>
        <v>9248644233.7507153</v>
      </c>
      <c r="K36" s="10">
        <f>SUMIFS(Data!AH$2:AH$2000,Data!$E$2:$E$2000,WeightCal!$B36)</f>
        <v>1394038705.7141776</v>
      </c>
      <c r="L36" s="10">
        <f>SUMIFS(Data!AI$2:AI$2000,Data!$E$2:$E$2000,WeightCal!$B36)</f>
        <v>1977365767.7790987</v>
      </c>
      <c r="M36" s="2">
        <f t="shared" si="1"/>
        <v>2.7119970856384517</v>
      </c>
      <c r="N36" s="2">
        <f t="shared" si="2"/>
        <v>0.15625174145426973</v>
      </c>
      <c r="O36" s="2">
        <f t="shared" si="3"/>
        <v>2.6837977659029213</v>
      </c>
      <c r="P36" s="2">
        <f t="shared" si="4"/>
        <v>2.3218364211491642</v>
      </c>
      <c r="Q36" s="2">
        <f t="shared" si="5"/>
        <v>2.6576552160850966</v>
      </c>
      <c r="R36" s="2">
        <f t="shared" si="6"/>
        <v>6.8842454664051402</v>
      </c>
      <c r="S36" s="2">
        <f t="shared" si="7"/>
        <v>32.325030725920286</v>
      </c>
      <c r="T36" s="2">
        <f t="shared" si="8"/>
        <v>4.8723188887392483</v>
      </c>
      <c r="U36" s="2">
        <f t="shared" si="9"/>
        <v>6.9111112487803759</v>
      </c>
    </row>
    <row r="37" spans="1:21" x14ac:dyDescent="0.55000000000000004">
      <c r="A37" s="53"/>
      <c r="B37" s="6" t="s">
        <v>65</v>
      </c>
      <c r="C37" s="9">
        <f>SUMIFS(Data!$Y$2:$Y$2000,Data!$E$2:$E$2000,WeightCal!B37)</f>
        <v>1017290565.3519261</v>
      </c>
      <c r="D37" s="10">
        <f>SUMIFS(Data!AA$2:AA$2000,Data!$E$2:$E$2000,WeightCal!$B37)</f>
        <v>9180730712.8504066</v>
      </c>
      <c r="E37" s="10">
        <f>SUMIFS(Data!AB$2:AB$2000,Data!$E$2:$E$2000,WeightCal!$B37)</f>
        <v>1762082565.5472658</v>
      </c>
      <c r="F37" s="10">
        <f>SUMIFS(Data!AC$2:AC$2000,Data!$E$2:$E$2000,WeightCal!$B37)</f>
        <v>224470059.27897707</v>
      </c>
      <c r="G37" s="10">
        <f>SUMIFS(Data!AD$2:AD$2000,Data!$E$2:$E$2000,WeightCal!$B37)</f>
        <v>1785292344.6382527</v>
      </c>
      <c r="H37" s="10">
        <f>SUMIFS(Data!AE$2:AE$2000,Data!$E$2:$E$2000,WeightCal!$B37)</f>
        <v>27921826207.404476</v>
      </c>
      <c r="I37" s="10">
        <f>SUMIFS(Data!AF$2:AF$2000,Data!$E$2:$E$2000,WeightCal!$B37)</f>
        <v>17652726608.240467</v>
      </c>
      <c r="J37" s="10">
        <f>SUMIFS(Data!AG$2:AG$2000,Data!$E$2:$E$2000,WeightCal!$B37)</f>
        <v>14612038300.681498</v>
      </c>
      <c r="K37" s="10">
        <f>SUMIFS(Data!AH$2:AH$2000,Data!$E$2:$E$2000,WeightCal!$B37)</f>
        <v>4026872191.5489397</v>
      </c>
      <c r="L37" s="10">
        <f>SUMIFS(Data!AI$2:AI$2000,Data!$E$2:$E$2000,WeightCal!$B37)</f>
        <v>1283450391.4306149</v>
      </c>
      <c r="M37" s="2">
        <f t="shared" si="1"/>
        <v>9.0246887423696727</v>
      </c>
      <c r="N37" s="2">
        <f t="shared" si="2"/>
        <v>1.732133006598447</v>
      </c>
      <c r="O37" s="2">
        <f t="shared" si="3"/>
        <v>0.220654812817735</v>
      </c>
      <c r="P37" s="2">
        <f t="shared" si="4"/>
        <v>1.7549482964295857</v>
      </c>
      <c r="Q37" s="2">
        <f t="shared" si="5"/>
        <v>27.447247776002989</v>
      </c>
      <c r="R37" s="2">
        <f t="shared" si="6"/>
        <v>17.352688808367748</v>
      </c>
      <c r="S37" s="2">
        <f t="shared" si="7"/>
        <v>14.363682116354379</v>
      </c>
      <c r="T37" s="2">
        <f t="shared" si="8"/>
        <v>3.9584287210565701</v>
      </c>
      <c r="U37" s="2">
        <f t="shared" si="9"/>
        <v>1.2616359918629663</v>
      </c>
    </row>
    <row r="38" spans="1:21" x14ac:dyDescent="0.55000000000000004">
      <c r="A38" s="53"/>
      <c r="B38" s="6" t="s">
        <v>67</v>
      </c>
      <c r="C38" s="9">
        <f>SUMIFS(Data!$Y$2:$Y$2000,Data!$E$2:$E$2000,WeightCal!B38)</f>
        <v>445597395.545353</v>
      </c>
      <c r="D38" s="10">
        <f>SUMIFS(Data!AA$2:AA$2000,Data!$E$2:$E$2000,WeightCal!$B38)</f>
        <v>5408501365.5331907</v>
      </c>
      <c r="E38" s="10">
        <f>SUMIFS(Data!AB$2:AB$2000,Data!$E$2:$E$2000,WeightCal!$B38)</f>
        <v>1027782088.139798</v>
      </c>
      <c r="F38" s="10">
        <f>SUMIFS(Data!AC$2:AC$2000,Data!$E$2:$E$2000,WeightCal!$B38)</f>
        <v>1142325199.1289985</v>
      </c>
      <c r="G38" s="10">
        <f>SUMIFS(Data!AD$2:AD$2000,Data!$E$2:$E$2000,WeightCal!$B38)</f>
        <v>892147005.81184149</v>
      </c>
      <c r="H38" s="10">
        <f>SUMIFS(Data!AE$2:AE$2000,Data!$E$2:$E$2000,WeightCal!$B38)</f>
        <v>6264308174.8013802</v>
      </c>
      <c r="I38" s="10">
        <f>SUMIFS(Data!AF$2:AF$2000,Data!$E$2:$E$2000,WeightCal!$B38)</f>
        <v>5791911773.0336704</v>
      </c>
      <c r="J38" s="10">
        <f>SUMIFS(Data!AG$2:AG$2000,Data!$E$2:$E$2000,WeightCal!$B38)</f>
        <v>3252702350.4501286</v>
      </c>
      <c r="K38" s="10">
        <f>SUMIFS(Data!AH$2:AH$2000,Data!$E$2:$E$2000,WeightCal!$B38)</f>
        <v>907633726.63911831</v>
      </c>
      <c r="L38" s="10">
        <f>SUMIFS(Data!AI$2:AI$2000,Data!$E$2:$E$2000,WeightCal!$B38)</f>
        <v>1439133766.0120144</v>
      </c>
      <c r="M38" s="2">
        <f t="shared" si="1"/>
        <v>12.137641331843719</v>
      </c>
      <c r="N38" s="2">
        <f t="shared" si="2"/>
        <v>2.3065262463707334</v>
      </c>
      <c r="O38" s="2">
        <f t="shared" si="3"/>
        <v>2.5635814090226936</v>
      </c>
      <c r="P38" s="2">
        <f t="shared" si="4"/>
        <v>2.0021369396021047</v>
      </c>
      <c r="Q38" s="2">
        <f t="shared" si="5"/>
        <v>14.058224391403108</v>
      </c>
      <c r="R38" s="2">
        <f t="shared" si="6"/>
        <v>12.998082643515291</v>
      </c>
      <c r="S38" s="2">
        <f t="shared" si="7"/>
        <v>7.29964399021957</v>
      </c>
      <c r="T38" s="2">
        <f t="shared" si="8"/>
        <v>2.0368919022255354</v>
      </c>
      <c r="U38" s="2">
        <f t="shared" si="9"/>
        <v>3.2296727503326239</v>
      </c>
    </row>
    <row r="39" spans="1:21" x14ac:dyDescent="0.55000000000000004">
      <c r="A39" s="53"/>
      <c r="B39" s="6" t="s">
        <v>59</v>
      </c>
      <c r="C39" s="9">
        <f>SUMIFS(Data!$Y$2:$Y$2000,Data!$E$2:$E$2000,WeightCal!B39)</f>
        <v>282230968.450728</v>
      </c>
      <c r="D39" s="10">
        <f>SUMIFS(Data!AA$2:AA$2000,Data!$E$2:$E$2000,WeightCal!$B39)</f>
        <v>1229975873.7403719</v>
      </c>
      <c r="E39" s="10">
        <f>SUMIFS(Data!AB$2:AB$2000,Data!$E$2:$E$2000,WeightCal!$B39)</f>
        <v>262675098.49847367</v>
      </c>
      <c r="F39" s="10">
        <f>SUMIFS(Data!AC$2:AC$2000,Data!$E$2:$E$2000,WeightCal!$B39)</f>
        <v>24657655.713608924</v>
      </c>
      <c r="G39" s="10">
        <f>SUMIFS(Data!AD$2:AD$2000,Data!$E$2:$E$2000,WeightCal!$B39)</f>
        <v>1030561377.6907414</v>
      </c>
      <c r="H39" s="10">
        <f>SUMIFS(Data!AE$2:AE$2000,Data!$E$2:$E$2000,WeightCal!$B39)</f>
        <v>1081913062.3094723</v>
      </c>
      <c r="I39" s="10">
        <f>SUMIFS(Data!AF$2:AF$2000,Data!$E$2:$E$2000,WeightCal!$B39)</f>
        <v>1732853476.1945181</v>
      </c>
      <c r="J39" s="10">
        <f>SUMIFS(Data!AG$2:AG$2000,Data!$E$2:$E$2000,WeightCal!$B39)</f>
        <v>4955510910.6287966</v>
      </c>
      <c r="K39" s="10">
        <f>SUMIFS(Data!AH$2:AH$2000,Data!$E$2:$E$2000,WeightCal!$B39)</f>
        <v>2574782913.1206713</v>
      </c>
      <c r="L39" s="10">
        <f>SUMIFS(Data!AI$2:AI$2000,Data!$E$2:$E$2000,WeightCal!$B39)</f>
        <v>2642525902.0939817</v>
      </c>
      <c r="M39" s="2">
        <f t="shared" si="1"/>
        <v>4.3580471714077742</v>
      </c>
      <c r="N39" s="2">
        <f t="shared" si="2"/>
        <v>0.93070969475956566</v>
      </c>
      <c r="O39" s="2">
        <f t="shared" si="3"/>
        <v>8.7366938677793146E-2</v>
      </c>
      <c r="P39" s="2">
        <f t="shared" si="4"/>
        <v>3.6514822712329575</v>
      </c>
      <c r="Q39" s="2">
        <f t="shared" si="5"/>
        <v>3.8334314205436075</v>
      </c>
      <c r="R39" s="2">
        <f t="shared" si="6"/>
        <v>6.1398417250481154</v>
      </c>
      <c r="S39" s="2">
        <f t="shared" si="7"/>
        <v>17.558352784003333</v>
      </c>
      <c r="T39" s="2">
        <f t="shared" si="8"/>
        <v>9.1229638166733569</v>
      </c>
      <c r="U39" s="2">
        <f t="shared" si="9"/>
        <v>9.362990591003534</v>
      </c>
    </row>
    <row r="40" spans="1:21" x14ac:dyDescent="0.55000000000000004">
      <c r="A40" s="53"/>
      <c r="B40" s="6" t="s">
        <v>71</v>
      </c>
      <c r="C40" s="9">
        <f>SUMIFS(Data!$Y$2:$Y$2000,Data!$E$2:$E$2000,WeightCal!B40)</f>
        <v>762450737.77240193</v>
      </c>
      <c r="D40" s="10">
        <f>SUMIFS(Data!AA$2:AA$2000,Data!$E$2:$E$2000,WeightCal!$B40)</f>
        <v>10359490102.622574</v>
      </c>
      <c r="E40" s="10">
        <f>SUMIFS(Data!AB$2:AB$2000,Data!$E$2:$E$2000,WeightCal!$B40)</f>
        <v>5008723331.7744751</v>
      </c>
      <c r="F40" s="10">
        <f>SUMIFS(Data!AC$2:AC$2000,Data!$E$2:$E$2000,WeightCal!$B40)</f>
        <v>458252211.14718467</v>
      </c>
      <c r="G40" s="10">
        <f>SUMIFS(Data!AD$2:AD$2000,Data!$E$2:$E$2000,WeightCal!$B40)</f>
        <v>2680539500.187139</v>
      </c>
      <c r="H40" s="10">
        <f>SUMIFS(Data!AE$2:AE$2000,Data!$E$2:$E$2000,WeightCal!$B40)</f>
        <v>19302929587.23003</v>
      </c>
      <c r="I40" s="10">
        <f>SUMIFS(Data!AF$2:AF$2000,Data!$E$2:$E$2000,WeightCal!$B40)</f>
        <v>11725690138.832762</v>
      </c>
      <c r="J40" s="10">
        <f>SUMIFS(Data!AG$2:AG$2000,Data!$E$2:$E$2000,WeightCal!$B40)</f>
        <v>14643538213.143677</v>
      </c>
      <c r="K40" s="10">
        <f>SUMIFS(Data!AH$2:AH$2000,Data!$E$2:$E$2000,WeightCal!$B40)</f>
        <v>10091602108.40036</v>
      </c>
      <c r="L40" s="10">
        <f>SUMIFS(Data!AI$2:AI$2000,Data!$E$2:$E$2000,WeightCal!$B40)</f>
        <v>419503556.24165446</v>
      </c>
      <c r="M40" s="2">
        <f t="shared" si="1"/>
        <v>13.587094338565608</v>
      </c>
      <c r="N40" s="2">
        <f t="shared" si="2"/>
        <v>6.5692418980511524</v>
      </c>
      <c r="O40" s="2">
        <f t="shared" si="3"/>
        <v>0.60102533638570221</v>
      </c>
      <c r="P40" s="2">
        <f t="shared" si="4"/>
        <v>3.5156887748822707</v>
      </c>
      <c r="Q40" s="2">
        <f t="shared" si="5"/>
        <v>25.316953123589368</v>
      </c>
      <c r="R40" s="2">
        <f t="shared" si="6"/>
        <v>15.37894785581935</v>
      </c>
      <c r="S40" s="2">
        <f t="shared" si="7"/>
        <v>19.20588109853059</v>
      </c>
      <c r="T40" s="2">
        <f t="shared" si="8"/>
        <v>13.235743122085863</v>
      </c>
      <c r="U40" s="2">
        <f t="shared" si="9"/>
        <v>0.55020414494881087</v>
      </c>
    </row>
    <row r="41" spans="1:21" x14ac:dyDescent="0.55000000000000004">
      <c r="A41" s="53"/>
      <c r="B41" s="6" t="s">
        <v>69</v>
      </c>
      <c r="C41" s="9">
        <f>SUMIFS(Data!$Y$2:$Y$2000,Data!$E$2:$E$2000,WeightCal!B41)</f>
        <v>171369558.12759</v>
      </c>
      <c r="D41" s="10">
        <f>SUMIFS(Data!AA$2:AA$2000,Data!$E$2:$E$2000,WeightCal!$B41)</f>
        <v>149534092.01549208</v>
      </c>
      <c r="E41" s="10">
        <f>SUMIFS(Data!AB$2:AB$2000,Data!$E$2:$E$2000,WeightCal!$B41)</f>
        <v>21173354.763823301</v>
      </c>
      <c r="F41" s="10">
        <f>SUMIFS(Data!AC$2:AC$2000,Data!$E$2:$E$2000,WeightCal!$B41)</f>
        <v>16489283.519233201</v>
      </c>
      <c r="G41" s="10">
        <f>SUMIFS(Data!AD$2:AD$2000,Data!$E$2:$E$2000,WeightCal!$B41)</f>
        <v>146444465.7309424</v>
      </c>
      <c r="H41" s="10">
        <f>SUMIFS(Data!AE$2:AE$2000,Data!$E$2:$E$2000,WeightCal!$B41)</f>
        <v>3139904887.5566587</v>
      </c>
      <c r="I41" s="10">
        <f>SUMIFS(Data!AF$2:AF$2000,Data!$E$2:$E$2000,WeightCal!$B41)</f>
        <v>458524181.02464241</v>
      </c>
      <c r="J41" s="10">
        <f>SUMIFS(Data!AG$2:AG$2000,Data!$E$2:$E$2000,WeightCal!$B41)</f>
        <v>2631149628.2858419</v>
      </c>
      <c r="K41" s="10">
        <f>SUMIFS(Data!AH$2:AH$2000,Data!$E$2:$E$2000,WeightCal!$B41)</f>
        <v>837974336.54707277</v>
      </c>
      <c r="L41" s="10">
        <f>SUMIFS(Data!AI$2:AI$2000,Data!$E$2:$E$2000,WeightCal!$B41)</f>
        <v>1509308108.5674965</v>
      </c>
      <c r="M41" s="2">
        <f t="shared" si="1"/>
        <v>0.8725825849662241</v>
      </c>
      <c r="N41" s="2">
        <f t="shared" si="2"/>
        <v>0.1235537687974843</v>
      </c>
      <c r="O41" s="2">
        <f t="shared" si="3"/>
        <v>9.6220610588004282E-2</v>
      </c>
      <c r="P41" s="2">
        <f t="shared" si="4"/>
        <v>0.85455355858424931</v>
      </c>
      <c r="Q41" s="2">
        <f t="shared" si="5"/>
        <v>18.322419231651992</v>
      </c>
      <c r="R41" s="2">
        <f t="shared" si="6"/>
        <v>2.6756454648920598</v>
      </c>
      <c r="S41" s="2">
        <f t="shared" si="7"/>
        <v>15.353658240321007</v>
      </c>
      <c r="T41" s="2">
        <f t="shared" si="8"/>
        <v>4.8898669384627498</v>
      </c>
      <c r="U41" s="2">
        <f t="shared" si="9"/>
        <v>8.8073291724529597</v>
      </c>
    </row>
    <row r="42" spans="1:21" x14ac:dyDescent="0.55000000000000004">
      <c r="A42" s="53" t="s">
        <v>162</v>
      </c>
      <c r="B42" s="6" t="s">
        <v>83</v>
      </c>
      <c r="C42" s="9">
        <f>SUMIFS(Data!$Y$2:$Y$2000,Data!$E$2:$E$2000,WeightCal!B42)</f>
        <v>651467381.87523401</v>
      </c>
      <c r="D42" s="10">
        <f>SUMIFS(Data!AA$2:AA$2000,Data!$E$2:$E$2000,WeightCal!$B42)</f>
        <v>5555906462.2173471</v>
      </c>
      <c r="E42" s="10">
        <f>SUMIFS(Data!AB$2:AB$2000,Data!$E$2:$E$2000,WeightCal!$B42)</f>
        <v>344552060.01664555</v>
      </c>
      <c r="F42" s="10">
        <f>SUMIFS(Data!AC$2:AC$2000,Data!$E$2:$E$2000,WeightCal!$B42)</f>
        <v>629960427.94364953</v>
      </c>
      <c r="G42" s="10">
        <f>SUMIFS(Data!AD$2:AD$2000,Data!$E$2:$E$2000,WeightCal!$B42)</f>
        <v>170890980.93147725</v>
      </c>
      <c r="H42" s="10">
        <f>SUMIFS(Data!AE$2:AE$2000,Data!$E$2:$E$2000,WeightCal!$B42)</f>
        <v>2261630692.1705427</v>
      </c>
      <c r="I42" s="10">
        <f>SUMIFS(Data!AF$2:AF$2000,Data!$E$2:$E$2000,WeightCal!$B42)</f>
        <v>1503046716.9443989</v>
      </c>
      <c r="J42" s="10">
        <f>SUMIFS(Data!AG$2:AG$2000,Data!$E$2:$E$2000,WeightCal!$B42)</f>
        <v>4956599874.7032862</v>
      </c>
      <c r="K42" s="10">
        <f>SUMIFS(Data!AH$2:AH$2000,Data!$E$2:$E$2000,WeightCal!$B42)</f>
        <v>4094481765.9888434</v>
      </c>
      <c r="L42" s="10">
        <f>SUMIFS(Data!AI$2:AI$2000,Data!$E$2:$E$2000,WeightCal!$B42)</f>
        <v>16619585437.328953</v>
      </c>
      <c r="M42" s="2">
        <f t="shared" si="1"/>
        <v>8.5282956856946495</v>
      </c>
      <c r="N42" s="2">
        <f t="shared" si="2"/>
        <v>0.52888612630898002</v>
      </c>
      <c r="O42" s="2">
        <f t="shared" si="3"/>
        <v>0.96698690597574166</v>
      </c>
      <c r="P42" s="2">
        <f t="shared" si="4"/>
        <v>0.26231701799032742</v>
      </c>
      <c r="Q42" s="2">
        <f t="shared" si="5"/>
        <v>3.4715946724155096</v>
      </c>
      <c r="R42" s="2">
        <f t="shared" si="6"/>
        <v>2.3071711013649114</v>
      </c>
      <c r="S42" s="2">
        <f t="shared" si="7"/>
        <v>7.6083623103827955</v>
      </c>
      <c r="T42" s="2">
        <f t="shared" si="8"/>
        <v>6.2850142308015036</v>
      </c>
      <c r="U42" s="2">
        <f t="shared" si="9"/>
        <v>25.511001624501681</v>
      </c>
    </row>
    <row r="43" spans="1:21" x14ac:dyDescent="0.55000000000000004">
      <c r="A43" s="53"/>
      <c r="B43" s="6" t="s">
        <v>81</v>
      </c>
      <c r="C43" s="9">
        <f>SUMIFS(Data!$Y$2:$Y$2000,Data!$E$2:$E$2000,WeightCal!B43)</f>
        <v>73187279.510772005</v>
      </c>
      <c r="D43" s="10">
        <f>SUMIFS(Data!AA$2:AA$2000,Data!$E$2:$E$2000,WeightCal!$B43)</f>
        <v>197415840.16770226</v>
      </c>
      <c r="E43" s="10">
        <f>SUMIFS(Data!AB$2:AB$2000,Data!$E$2:$E$2000,WeightCal!$B43)</f>
        <v>36164320.490932606</v>
      </c>
      <c r="F43" s="10">
        <f>SUMIFS(Data!AC$2:AC$2000,Data!$E$2:$E$2000,WeightCal!$B43)</f>
        <v>19156095.061331421</v>
      </c>
      <c r="G43" s="10">
        <f>SUMIFS(Data!AD$2:AD$2000,Data!$E$2:$E$2000,WeightCal!$B43)</f>
        <v>6436806.3536508</v>
      </c>
      <c r="H43" s="10">
        <f>SUMIFS(Data!AE$2:AE$2000,Data!$E$2:$E$2000,WeightCal!$B43)</f>
        <v>40271912.830065161</v>
      </c>
      <c r="I43" s="10">
        <f>SUMIFS(Data!AF$2:AF$2000,Data!$E$2:$E$2000,WeightCal!$B43)</f>
        <v>6931092.2984215394</v>
      </c>
      <c r="J43" s="10">
        <f>SUMIFS(Data!AG$2:AG$2000,Data!$E$2:$E$2000,WeightCal!$B43)</f>
        <v>292942434.40277898</v>
      </c>
      <c r="K43" s="10">
        <f>SUMIFS(Data!AH$2:AH$2000,Data!$E$2:$E$2000,WeightCal!$B43)</f>
        <v>2962000780.1916709</v>
      </c>
      <c r="L43" s="10">
        <f>SUMIFS(Data!AI$2:AI$2000,Data!$E$2:$E$2000,WeightCal!$B43)</f>
        <v>822535809.77652836</v>
      </c>
      <c r="M43" s="2">
        <f t="shared" si="1"/>
        <v>2.6974064548832666</v>
      </c>
      <c r="N43" s="2">
        <f t="shared" si="2"/>
        <v>0.49413396334276632</v>
      </c>
      <c r="O43" s="2">
        <f t="shared" si="3"/>
        <v>0.26174077229516296</v>
      </c>
      <c r="P43" s="2">
        <f t="shared" si="4"/>
        <v>8.7949796695249535E-2</v>
      </c>
      <c r="Q43" s="2">
        <f t="shared" si="5"/>
        <v>0.55025836592461097</v>
      </c>
      <c r="R43" s="2">
        <f t="shared" si="6"/>
        <v>9.4703510565676816E-2</v>
      </c>
      <c r="S43" s="2">
        <f t="shared" si="7"/>
        <v>4.0026413928893545</v>
      </c>
      <c r="T43" s="2">
        <f t="shared" si="8"/>
        <v>40.471524559889012</v>
      </c>
      <c r="U43" s="2">
        <f t="shared" si="9"/>
        <v>11.238781046034976</v>
      </c>
    </row>
    <row r="44" spans="1:21" x14ac:dyDescent="0.55000000000000004">
      <c r="A44" s="53"/>
      <c r="B44" s="6" t="s">
        <v>85</v>
      </c>
      <c r="C44" s="9">
        <f>SUMIFS(Data!$Y$2:$Y$2000,Data!$E$2:$E$2000,WeightCal!B44)</f>
        <v>678732689.33511996</v>
      </c>
      <c r="D44" s="10">
        <f>SUMIFS(Data!AA$2:AA$2000,Data!$E$2:$E$2000,WeightCal!$B44)</f>
        <v>17194965759.434921</v>
      </c>
      <c r="E44" s="10">
        <f>SUMIFS(Data!AB$2:AB$2000,Data!$E$2:$E$2000,WeightCal!$B44)</f>
        <v>1506399998.0339546</v>
      </c>
      <c r="F44" s="10">
        <f>SUMIFS(Data!AC$2:AC$2000,Data!$E$2:$E$2000,WeightCal!$B44)</f>
        <v>192136296.91029221</v>
      </c>
      <c r="G44" s="10">
        <f>SUMIFS(Data!AD$2:AD$2000,Data!$E$2:$E$2000,WeightCal!$B44)</f>
        <v>1994987616.7974236</v>
      </c>
      <c r="H44" s="10">
        <f>SUMIFS(Data!AE$2:AE$2000,Data!$E$2:$E$2000,WeightCal!$B44)</f>
        <v>2404813989.3611412</v>
      </c>
      <c r="I44" s="10">
        <f>SUMIFS(Data!AF$2:AF$2000,Data!$E$2:$E$2000,WeightCal!$B44)</f>
        <v>8089008776.5624838</v>
      </c>
      <c r="J44" s="10">
        <f>SUMIFS(Data!AG$2:AG$2000,Data!$E$2:$E$2000,WeightCal!$B44)</f>
        <v>6024197050.1418686</v>
      </c>
      <c r="K44" s="10">
        <f>SUMIFS(Data!AH$2:AH$2000,Data!$E$2:$E$2000,WeightCal!$B44)</f>
        <v>2062409620.2387314</v>
      </c>
      <c r="L44" s="10">
        <f>SUMIFS(Data!AI$2:AI$2000,Data!$E$2:$E$2000,WeightCal!$B44)</f>
        <v>12683000329.969189</v>
      </c>
      <c r="M44" s="2">
        <f t="shared" si="1"/>
        <v>25.333928996817502</v>
      </c>
      <c r="N44" s="2">
        <f t="shared" si="2"/>
        <v>2.2194304498721134</v>
      </c>
      <c r="O44" s="2">
        <f t="shared" si="3"/>
        <v>0.2830809535614191</v>
      </c>
      <c r="P44" s="2">
        <f t="shared" si="4"/>
        <v>2.9392832379293448</v>
      </c>
      <c r="Q44" s="2">
        <f t="shared" si="5"/>
        <v>3.543094398056581</v>
      </c>
      <c r="R44" s="2">
        <f t="shared" si="6"/>
        <v>11.917812275236662</v>
      </c>
      <c r="S44" s="2">
        <f t="shared" si="7"/>
        <v>8.8756547972414808</v>
      </c>
      <c r="T44" s="2">
        <f t="shared" si="8"/>
        <v>3.0386183731021532</v>
      </c>
      <c r="U44" s="2">
        <f t="shared" si="9"/>
        <v>18.686296577807877</v>
      </c>
    </row>
    <row r="45" spans="1:21" x14ac:dyDescent="0.55000000000000004">
      <c r="A45" s="53"/>
      <c r="B45" s="6" t="s">
        <v>79</v>
      </c>
      <c r="C45" s="9">
        <f>SUMIFS(Data!$Y$2:$Y$2000,Data!$E$2:$E$2000,WeightCal!B45)</f>
        <v>947232831.41096795</v>
      </c>
      <c r="D45" s="10">
        <f>SUMIFS(Data!AA$2:AA$2000,Data!$E$2:$E$2000,WeightCal!$B45)</f>
        <v>6204264664.0045862</v>
      </c>
      <c r="E45" s="10">
        <f>SUMIFS(Data!AB$2:AB$2000,Data!$E$2:$E$2000,WeightCal!$B45)</f>
        <v>2784413684.2942333</v>
      </c>
      <c r="F45" s="10">
        <f>SUMIFS(Data!AC$2:AC$2000,Data!$E$2:$E$2000,WeightCal!$B45)</f>
        <v>512517857.46425509</v>
      </c>
      <c r="G45" s="10">
        <f>SUMIFS(Data!AD$2:AD$2000,Data!$E$2:$E$2000,WeightCal!$B45)</f>
        <v>481699343.07797557</v>
      </c>
      <c r="H45" s="10">
        <f>SUMIFS(Data!AE$2:AE$2000,Data!$E$2:$E$2000,WeightCal!$B45)</f>
        <v>2984866742.2522001</v>
      </c>
      <c r="I45" s="10">
        <f>SUMIFS(Data!AF$2:AF$2000,Data!$E$2:$E$2000,WeightCal!$B45)</f>
        <v>4355504480.7579861</v>
      </c>
      <c r="J45" s="10">
        <f>SUMIFS(Data!AG$2:AG$2000,Data!$E$2:$E$2000,WeightCal!$B45)</f>
        <v>11537158443.470333</v>
      </c>
      <c r="K45" s="10">
        <f>SUMIFS(Data!AH$2:AH$2000,Data!$E$2:$E$2000,WeightCal!$B45)</f>
        <v>9359912609.8671036</v>
      </c>
      <c r="L45" s="10">
        <f>SUMIFS(Data!AI$2:AI$2000,Data!$E$2:$E$2000,WeightCal!$B45)</f>
        <v>24753942342.617195</v>
      </c>
      <c r="M45" s="2">
        <f t="shared" si="1"/>
        <v>6.5498834692658514</v>
      </c>
      <c r="N45" s="2">
        <f t="shared" si="2"/>
        <v>2.9395240451565208</v>
      </c>
      <c r="O45" s="2">
        <f t="shared" si="3"/>
        <v>0.5410685107914015</v>
      </c>
      <c r="P45" s="2">
        <f t="shared" si="4"/>
        <v>0.50853320018527182</v>
      </c>
      <c r="Q45" s="2">
        <f t="shared" si="5"/>
        <v>3.1511436716208805</v>
      </c>
      <c r="R45" s="2">
        <f t="shared" si="6"/>
        <v>4.5981350480326624</v>
      </c>
      <c r="S45" s="2">
        <f t="shared" si="7"/>
        <v>12.179854900389113</v>
      </c>
      <c r="T45" s="2">
        <f t="shared" si="8"/>
        <v>9.8813219933739784</v>
      </c>
      <c r="U45" s="2">
        <f t="shared" si="9"/>
        <v>26.132901565230281</v>
      </c>
    </row>
    <row r="46" spans="1:21" x14ac:dyDescent="0.55000000000000004">
      <c r="A46" s="53"/>
      <c r="B46" s="6" t="s">
        <v>87</v>
      </c>
      <c r="C46" s="9">
        <f>SUMIFS(Data!$Y$2:$Y$2000,Data!$E$2:$E$2000,WeightCal!B46)</f>
        <v>166205920.430738</v>
      </c>
      <c r="D46" s="10">
        <f>SUMIFS(Data!AA$2:AA$2000,Data!$E$2:$E$2000,WeightCal!$B46)</f>
        <v>50390716.943159044</v>
      </c>
      <c r="E46" s="10">
        <f>SUMIFS(Data!AB$2:AB$2000,Data!$E$2:$E$2000,WeightCal!$B46)</f>
        <v>12652176.128449444</v>
      </c>
      <c r="F46" s="10">
        <f>SUMIFS(Data!AC$2:AC$2000,Data!$E$2:$E$2000,WeightCal!$B46)</f>
        <v>15026570.509774601</v>
      </c>
      <c r="G46" s="10">
        <f>SUMIFS(Data!AD$2:AD$2000,Data!$E$2:$E$2000,WeightCal!$B46)</f>
        <v>6736331.5674673002</v>
      </c>
      <c r="H46" s="10">
        <f>SUMIFS(Data!AE$2:AE$2000,Data!$E$2:$E$2000,WeightCal!$B46)</f>
        <v>197967958.84460753</v>
      </c>
      <c r="I46" s="10">
        <f>SUMIFS(Data!AF$2:AF$2000,Data!$E$2:$E$2000,WeightCal!$B46)</f>
        <v>404797505.99122262</v>
      </c>
      <c r="J46" s="10">
        <f>SUMIFS(Data!AG$2:AG$2000,Data!$E$2:$E$2000,WeightCal!$B46)</f>
        <v>2086394377.9900253</v>
      </c>
      <c r="K46" s="10">
        <f>SUMIFS(Data!AH$2:AH$2000,Data!$E$2:$E$2000,WeightCal!$B46)</f>
        <v>2591801926.454576</v>
      </c>
      <c r="L46" s="10">
        <f>SUMIFS(Data!AI$2:AI$2000,Data!$E$2:$E$2000,WeightCal!$B46)</f>
        <v>6331095382.0009432</v>
      </c>
      <c r="M46" s="2">
        <f t="shared" si="1"/>
        <v>0.30318244267452593</v>
      </c>
      <c r="N46" s="2">
        <f t="shared" si="2"/>
        <v>7.6123498462991934E-2</v>
      </c>
      <c r="O46" s="2">
        <f t="shared" si="3"/>
        <v>9.0409357686127276E-2</v>
      </c>
      <c r="P46" s="2">
        <f t="shared" si="4"/>
        <v>4.0530033767807276E-2</v>
      </c>
      <c r="Q46" s="2">
        <f t="shared" si="5"/>
        <v>1.1911005235647159</v>
      </c>
      <c r="R46" s="2">
        <f t="shared" si="6"/>
        <v>2.4355179703716479</v>
      </c>
      <c r="S46" s="2">
        <f t="shared" si="7"/>
        <v>12.553068943530659</v>
      </c>
      <c r="T46" s="2">
        <f t="shared" si="8"/>
        <v>15.593920600046507</v>
      </c>
      <c r="U46" s="2">
        <f t="shared" si="9"/>
        <v>38.091876424096831</v>
      </c>
    </row>
    <row r="47" spans="1:21" x14ac:dyDescent="0.55000000000000004">
      <c r="A47" s="53"/>
      <c r="B47" s="6" t="s">
        <v>89</v>
      </c>
      <c r="C47" s="9">
        <f>SUMIFS(Data!$Y$2:$Y$2000,Data!$E$2:$E$2000,WeightCal!B47)</f>
        <v>130937236.780169</v>
      </c>
      <c r="D47" s="10">
        <f>SUMIFS(Data!AA$2:AA$2000,Data!$E$2:$E$2000,WeightCal!$B47)</f>
        <v>44637903.610069349</v>
      </c>
      <c r="E47" s="10">
        <f>SUMIFS(Data!AB$2:AB$2000,Data!$E$2:$E$2000,WeightCal!$B47)</f>
        <v>297496134.49399918</v>
      </c>
      <c r="F47" s="10">
        <f>SUMIFS(Data!AC$2:AC$2000,Data!$E$2:$E$2000,WeightCal!$B47)</f>
        <v>21231686.315408606</v>
      </c>
      <c r="G47" s="10">
        <f>SUMIFS(Data!AD$2:AD$2000,Data!$E$2:$E$2000,WeightCal!$B47)</f>
        <v>19353810.650607482</v>
      </c>
      <c r="H47" s="10">
        <f>SUMIFS(Data!AE$2:AE$2000,Data!$E$2:$E$2000,WeightCal!$B47)</f>
        <v>660902002.37433684</v>
      </c>
      <c r="I47" s="10">
        <f>SUMIFS(Data!AF$2:AF$2000,Data!$E$2:$E$2000,WeightCal!$B47)</f>
        <v>407984135.55538881</v>
      </c>
      <c r="J47" s="10">
        <f>SUMIFS(Data!AG$2:AG$2000,Data!$E$2:$E$2000,WeightCal!$B47)</f>
        <v>627350399.84465384</v>
      </c>
      <c r="K47" s="10">
        <f>SUMIFS(Data!AH$2:AH$2000,Data!$E$2:$E$2000,WeightCal!$B47)</f>
        <v>894843579.83488536</v>
      </c>
      <c r="L47" s="10">
        <f>SUMIFS(Data!AI$2:AI$2000,Data!$E$2:$E$2000,WeightCal!$B47)</f>
        <v>515714001.19540417</v>
      </c>
      <c r="M47" s="2">
        <f t="shared" si="1"/>
        <v>0.34091068902738558</v>
      </c>
      <c r="N47" s="2">
        <f t="shared" si="2"/>
        <v>2.2720514179894185</v>
      </c>
      <c r="O47" s="2">
        <f t="shared" si="3"/>
        <v>0.16215162957084975</v>
      </c>
      <c r="P47" s="2">
        <f t="shared" si="4"/>
        <v>0.14780982955292285</v>
      </c>
      <c r="Q47" s="2">
        <f t="shared" si="5"/>
        <v>5.0474717400973388</v>
      </c>
      <c r="R47" s="2">
        <f t="shared" si="6"/>
        <v>3.1158755567780529</v>
      </c>
      <c r="S47" s="2">
        <f t="shared" si="7"/>
        <v>4.7912298691465036</v>
      </c>
      <c r="T47" s="2">
        <f t="shared" si="8"/>
        <v>6.8341413171658836</v>
      </c>
      <c r="U47" s="2">
        <f t="shared" si="9"/>
        <v>3.9386351344899562</v>
      </c>
    </row>
    <row r="48" spans="1:21" x14ac:dyDescent="0.55000000000000004">
      <c r="A48" s="53"/>
      <c r="B48" s="6" t="s">
        <v>91</v>
      </c>
      <c r="C48" s="9">
        <f>SUMIFS(Data!$Y$2:$Y$2000,Data!$E$2:$E$2000,WeightCal!B48)</f>
        <v>219506247.07694998</v>
      </c>
      <c r="D48" s="10">
        <f>SUMIFS(Data!AA$2:AA$2000,Data!$E$2:$E$2000,WeightCal!$B48)</f>
        <v>898645779.47679615</v>
      </c>
      <c r="E48" s="10">
        <f>SUMIFS(Data!AB$2:AB$2000,Data!$E$2:$E$2000,WeightCal!$B48)</f>
        <v>183660348.90508628</v>
      </c>
      <c r="F48" s="10">
        <f>SUMIFS(Data!AC$2:AC$2000,Data!$E$2:$E$2000,WeightCal!$B48)</f>
        <v>46212554.571832396</v>
      </c>
      <c r="G48" s="10">
        <f>SUMIFS(Data!AD$2:AD$2000,Data!$E$2:$E$2000,WeightCal!$B48)</f>
        <v>276912433.36515367</v>
      </c>
      <c r="H48" s="10">
        <f>SUMIFS(Data!AE$2:AE$2000,Data!$E$2:$E$2000,WeightCal!$B48)</f>
        <v>5192317927.4399672</v>
      </c>
      <c r="I48" s="10">
        <f>SUMIFS(Data!AF$2:AF$2000,Data!$E$2:$E$2000,WeightCal!$B48)</f>
        <v>953485412.01715028</v>
      </c>
      <c r="J48" s="10">
        <f>SUMIFS(Data!AG$2:AG$2000,Data!$E$2:$E$2000,WeightCal!$B48)</f>
        <v>5408038707.2940397</v>
      </c>
      <c r="K48" s="10">
        <f>SUMIFS(Data!AH$2:AH$2000,Data!$E$2:$E$2000,WeightCal!$B48)</f>
        <v>1683790649.1093702</v>
      </c>
      <c r="L48" s="10">
        <f>SUMIFS(Data!AI$2:AI$2000,Data!$E$2:$E$2000,WeightCal!$B48)</f>
        <v>3439508222.7124801</v>
      </c>
      <c r="M48" s="2">
        <f t="shared" si="1"/>
        <v>4.093941705275328</v>
      </c>
      <c r="N48" s="2">
        <f t="shared" si="2"/>
        <v>0.83669759449125114</v>
      </c>
      <c r="O48" s="2">
        <f t="shared" si="3"/>
        <v>0.21052956436192974</v>
      </c>
      <c r="P48" s="2">
        <f t="shared" si="4"/>
        <v>1.2615241572968965</v>
      </c>
      <c r="Q48" s="2">
        <f t="shared" si="5"/>
        <v>23.654533739168485</v>
      </c>
      <c r="R48" s="2">
        <f t="shared" si="6"/>
        <v>4.3437734675628477</v>
      </c>
      <c r="S48" s="2">
        <f t="shared" si="7"/>
        <v>24.63728836563909</v>
      </c>
      <c r="T48" s="2">
        <f t="shared" si="8"/>
        <v>7.6708096991841037</v>
      </c>
      <c r="U48" s="2">
        <f t="shared" si="9"/>
        <v>15.669295377760834</v>
      </c>
    </row>
    <row r="49" spans="1:21" x14ac:dyDescent="0.55000000000000004">
      <c r="A49" s="53" t="s">
        <v>166</v>
      </c>
      <c r="B49" s="6" t="s">
        <v>149</v>
      </c>
      <c r="C49" s="9">
        <f>SUMIFS(Data!$Y$2:$Y$2000,Data!$E$2:$E$2000,WeightCal!B49)</f>
        <v>462674583.94058007</v>
      </c>
      <c r="D49" s="10">
        <f>SUMIFS(Data!AA$2:AA$2000,Data!$E$2:$E$2000,WeightCal!$B49)</f>
        <v>493094897.41372508</v>
      </c>
      <c r="E49" s="10">
        <f>SUMIFS(Data!AB$2:AB$2000,Data!$E$2:$E$2000,WeightCal!$B49)</f>
        <v>1206453735.6950138</v>
      </c>
      <c r="F49" s="10">
        <f>SUMIFS(Data!AC$2:AC$2000,Data!$E$2:$E$2000,WeightCal!$B49)</f>
        <v>74566059.826345608</v>
      </c>
      <c r="G49" s="10">
        <f>SUMIFS(Data!AD$2:AD$2000,Data!$E$2:$E$2000,WeightCal!$B49)</f>
        <v>914234471.22303522</v>
      </c>
      <c r="H49" s="10">
        <f>SUMIFS(Data!AE$2:AE$2000,Data!$E$2:$E$2000,WeightCal!$B49)</f>
        <v>67224251.490307212</v>
      </c>
      <c r="I49" s="10">
        <f>SUMIFS(Data!AF$2:AF$2000,Data!$E$2:$E$2000,WeightCal!$B49)</f>
        <v>7251843753.7906418</v>
      </c>
      <c r="J49" s="10">
        <f>SUMIFS(Data!AG$2:AG$2000,Data!$E$2:$E$2000,WeightCal!$B49)</f>
        <v>8011292256.2009048</v>
      </c>
      <c r="K49" s="10">
        <f>SUMIFS(Data!AH$2:AH$2000,Data!$E$2:$E$2000,WeightCal!$B49)</f>
        <v>262746441.92149201</v>
      </c>
      <c r="L49" s="10">
        <f>SUMIFS(Data!AI$2:AI$2000,Data!$E$2:$E$2000,WeightCal!$B49)</f>
        <v>8856089.1895960011</v>
      </c>
      <c r="M49" s="2">
        <f t="shared" si="1"/>
        <v>1.0657488319631834</v>
      </c>
      <c r="N49" s="2">
        <f t="shared" si="2"/>
        <v>2.6075643174943774</v>
      </c>
      <c r="O49" s="2">
        <f t="shared" si="3"/>
        <v>0.1611630774944878</v>
      </c>
      <c r="P49" s="2">
        <f t="shared" si="4"/>
        <v>1.9759772915048379</v>
      </c>
      <c r="Q49" s="2">
        <f t="shared" si="5"/>
        <v>0.14529488721373254</v>
      </c>
      <c r="R49" s="2">
        <f t="shared" si="6"/>
        <v>15.673745663803254</v>
      </c>
      <c r="S49" s="2">
        <f t="shared" si="7"/>
        <v>17.315176874357491</v>
      </c>
      <c r="T49" s="2">
        <f t="shared" si="8"/>
        <v>0.56788605002611459</v>
      </c>
      <c r="U49" s="2">
        <f t="shared" si="9"/>
        <v>1.9141075600412411E-2</v>
      </c>
    </row>
    <row r="50" spans="1:21" x14ac:dyDescent="0.55000000000000004">
      <c r="A50" s="53"/>
      <c r="B50" s="6" t="s">
        <v>139</v>
      </c>
      <c r="C50" s="9">
        <f>SUMIFS(Data!$Y$2:$Y$2000,Data!$E$2:$E$2000,WeightCal!B50)</f>
        <v>483753473.02861702</v>
      </c>
      <c r="D50" s="10">
        <f>SUMIFS(Data!AA$2:AA$2000,Data!$E$2:$E$2000,WeightCal!$B50)</f>
        <v>4897444833.5991182</v>
      </c>
      <c r="E50" s="10">
        <f>SUMIFS(Data!AB$2:AB$2000,Data!$E$2:$E$2000,WeightCal!$B50)</f>
        <v>5648261365.8579035</v>
      </c>
      <c r="F50" s="10">
        <f>SUMIFS(Data!AC$2:AC$2000,Data!$E$2:$E$2000,WeightCal!$B50)</f>
        <v>115945887.4756916</v>
      </c>
      <c r="G50" s="10">
        <f>SUMIFS(Data!AD$2:AD$2000,Data!$E$2:$E$2000,WeightCal!$B50)</f>
        <v>1456647463.4880645</v>
      </c>
      <c r="H50" s="10">
        <f>SUMIFS(Data!AE$2:AE$2000,Data!$E$2:$E$2000,WeightCal!$B50)</f>
        <v>801814771.80134726</v>
      </c>
      <c r="I50" s="10">
        <f>SUMIFS(Data!AF$2:AF$2000,Data!$E$2:$E$2000,WeightCal!$B50)</f>
        <v>3686007814.7292423</v>
      </c>
      <c r="J50" s="10">
        <f>SUMIFS(Data!AG$2:AG$2000,Data!$E$2:$E$2000,WeightCal!$B50)</f>
        <v>3093717923.3842449</v>
      </c>
      <c r="K50" s="10">
        <f>SUMIFS(Data!AH$2:AH$2000,Data!$E$2:$E$2000,WeightCal!$B50)</f>
        <v>47122302.238387518</v>
      </c>
      <c r="L50" s="10">
        <f>SUMIFS(Data!AI$2:AI$2000,Data!$E$2:$E$2000,WeightCal!$B50)</f>
        <v>548006186.67472887</v>
      </c>
      <c r="M50" s="2">
        <f t="shared" si="1"/>
        <v>10.123844285681033</v>
      </c>
      <c r="N50" s="2">
        <f t="shared" si="2"/>
        <v>11.675908661690938</v>
      </c>
      <c r="O50" s="2">
        <f t="shared" si="3"/>
        <v>0.23967970038497829</v>
      </c>
      <c r="P50" s="2">
        <f t="shared" si="4"/>
        <v>3.0111359291510342</v>
      </c>
      <c r="Q50" s="2">
        <f t="shared" si="5"/>
        <v>1.6574863365454637</v>
      </c>
      <c r="R50" s="2">
        <f t="shared" si="6"/>
        <v>7.6195996933156733</v>
      </c>
      <c r="S50" s="2">
        <f t="shared" si="7"/>
        <v>6.3952366150790034</v>
      </c>
      <c r="T50" s="2">
        <f t="shared" si="8"/>
        <v>9.74097445613583E-2</v>
      </c>
      <c r="U50" s="2">
        <f t="shared" si="9"/>
        <v>1.1328211934972732</v>
      </c>
    </row>
    <row r="51" spans="1:21" x14ac:dyDescent="0.55000000000000004">
      <c r="A51" s="53"/>
      <c r="B51" s="6" t="s">
        <v>151</v>
      </c>
      <c r="C51" s="9">
        <f>SUMIFS(Data!$Y$2:$Y$2000,Data!$E$2:$E$2000,WeightCal!B51)</f>
        <v>341137164.42087001</v>
      </c>
      <c r="D51" s="10">
        <f>SUMIFS(Data!AA$2:AA$2000,Data!$E$2:$E$2000,WeightCal!$B51)</f>
        <v>1235013.2340239999</v>
      </c>
      <c r="E51" s="10">
        <f>SUMIFS(Data!AB$2:AB$2000,Data!$E$2:$E$2000,WeightCal!$B51)</f>
        <v>4276902.1919876989</v>
      </c>
      <c r="F51" s="10">
        <f>SUMIFS(Data!AC$2:AC$2000,Data!$E$2:$E$2000,WeightCal!$B51)</f>
        <v>14528667.792444</v>
      </c>
      <c r="G51" s="10">
        <f>SUMIFS(Data!AD$2:AD$2000,Data!$E$2:$E$2000,WeightCal!$B51)</f>
        <v>14346640.183625001</v>
      </c>
      <c r="H51" s="10">
        <f>SUMIFS(Data!AE$2:AE$2000,Data!$E$2:$E$2000,WeightCal!$B51)</f>
        <v>517028785.90811354</v>
      </c>
      <c r="I51" s="10">
        <f>SUMIFS(Data!AF$2:AF$2000,Data!$E$2:$E$2000,WeightCal!$B51)</f>
        <v>5173149413.4399786</v>
      </c>
      <c r="J51" s="10">
        <f>SUMIFS(Data!AG$2:AG$2000,Data!$E$2:$E$2000,WeightCal!$B51)</f>
        <v>381173348.45165908</v>
      </c>
      <c r="K51" s="10">
        <f>SUMIFS(Data!AH$2:AH$2000,Data!$E$2:$E$2000,WeightCal!$B51)</f>
        <v>6956465.0987507002</v>
      </c>
      <c r="L51" s="10">
        <f>SUMIFS(Data!AI$2:AI$2000,Data!$E$2:$E$2000,WeightCal!$B51)</f>
        <v>91059458.561365992</v>
      </c>
      <c r="M51" s="2">
        <f t="shared" si="1"/>
        <v>3.620283460233993E-3</v>
      </c>
      <c r="N51" s="2">
        <f t="shared" si="2"/>
        <v>1.2537192185578382E-2</v>
      </c>
      <c r="O51" s="2">
        <f t="shared" si="3"/>
        <v>4.2588932862558465E-2</v>
      </c>
      <c r="P51" s="2">
        <f t="shared" si="4"/>
        <v>4.2055342190524772E-2</v>
      </c>
      <c r="Q51" s="2">
        <f t="shared" si="5"/>
        <v>1.5156038093528894</v>
      </c>
      <c r="R51" s="2">
        <f t="shared" si="6"/>
        <v>15.164426374423767</v>
      </c>
      <c r="S51" s="2">
        <f t="shared" si="7"/>
        <v>1.117360956841968</v>
      </c>
      <c r="T51" s="2">
        <f t="shared" si="8"/>
        <v>2.0391988397278005E-2</v>
      </c>
      <c r="U51" s="2">
        <f t="shared" si="9"/>
        <v>0.26692916532841759</v>
      </c>
    </row>
    <row r="52" spans="1:21" x14ac:dyDescent="0.55000000000000004">
      <c r="A52" s="53"/>
      <c r="B52" s="6" t="s">
        <v>141</v>
      </c>
      <c r="C52" s="9">
        <f>SUMIFS(Data!$Y$2:$Y$2000,Data!$E$2:$E$2000,WeightCal!B52)</f>
        <v>969657395.15825796</v>
      </c>
      <c r="D52" s="10">
        <f>SUMIFS(Data!AA$2:AA$2000,Data!$E$2:$E$2000,WeightCal!$B52)</f>
        <v>537081097.46352589</v>
      </c>
      <c r="E52" s="10">
        <f>SUMIFS(Data!AB$2:AB$2000,Data!$E$2:$E$2000,WeightCal!$B52)</f>
        <v>278250164.73324406</v>
      </c>
      <c r="F52" s="10">
        <f>SUMIFS(Data!AC$2:AC$2000,Data!$E$2:$E$2000,WeightCal!$B52)</f>
        <v>536663406.30299193</v>
      </c>
      <c r="G52" s="10">
        <f>SUMIFS(Data!AD$2:AD$2000,Data!$E$2:$E$2000,WeightCal!$B52)</f>
        <v>84916200.349238098</v>
      </c>
      <c r="H52" s="10">
        <f>SUMIFS(Data!AE$2:AE$2000,Data!$E$2:$E$2000,WeightCal!$B52)</f>
        <v>4705424668.2003698</v>
      </c>
      <c r="I52" s="10">
        <f>SUMIFS(Data!AF$2:AF$2000,Data!$E$2:$E$2000,WeightCal!$B52)</f>
        <v>15451794463.412626</v>
      </c>
      <c r="J52" s="10">
        <f>SUMIFS(Data!AG$2:AG$2000,Data!$E$2:$E$2000,WeightCal!$B52)</f>
        <v>4561508019.1799221</v>
      </c>
      <c r="K52" s="10">
        <f>SUMIFS(Data!AH$2:AH$2000,Data!$E$2:$E$2000,WeightCal!$B52)</f>
        <v>101288775.67235579</v>
      </c>
      <c r="L52" s="10">
        <f>SUMIFS(Data!AI$2:AI$2000,Data!$E$2:$E$2000,WeightCal!$B52)</f>
        <v>441360851.49135602</v>
      </c>
      <c r="M52" s="2">
        <f t="shared" si="1"/>
        <v>0.55388748659609699</v>
      </c>
      <c r="N52" s="2">
        <f t="shared" si="2"/>
        <v>0.28695719346092419</v>
      </c>
      <c r="O52" s="2">
        <f t="shared" si="3"/>
        <v>0.55345672500688037</v>
      </c>
      <c r="P52" s="2">
        <f t="shared" si="4"/>
        <v>8.7573405589691719E-2</v>
      </c>
      <c r="Q52" s="2">
        <f t="shared" si="5"/>
        <v>4.852667232463479</v>
      </c>
      <c r="R52" s="2">
        <f t="shared" si="6"/>
        <v>15.935313380341658</v>
      </c>
      <c r="S52" s="2">
        <f t="shared" si="7"/>
        <v>4.7042471309523064</v>
      </c>
      <c r="T52" s="2">
        <f t="shared" si="8"/>
        <v>0.1044583129857164</v>
      </c>
      <c r="U52" s="2">
        <f t="shared" si="9"/>
        <v>0.45517195423371304</v>
      </c>
    </row>
    <row r="53" spans="1:21" x14ac:dyDescent="0.55000000000000004">
      <c r="A53" s="53"/>
      <c r="B53" s="6" t="s">
        <v>137</v>
      </c>
      <c r="C53" s="9">
        <f>SUMIFS(Data!$Y$2:$Y$2000,Data!$E$2:$E$2000,WeightCal!B53)</f>
        <v>1387987607.2896268</v>
      </c>
      <c r="D53" s="10">
        <f>SUMIFS(Data!AA$2:AA$2000,Data!$E$2:$E$2000,WeightCal!$B53)</f>
        <v>1830039969.5340226</v>
      </c>
      <c r="E53" s="10">
        <f>SUMIFS(Data!AB$2:AB$2000,Data!$E$2:$E$2000,WeightCal!$B53)</f>
        <v>3467237276.6063561</v>
      </c>
      <c r="F53" s="10">
        <f>SUMIFS(Data!AC$2:AC$2000,Data!$E$2:$E$2000,WeightCal!$B53)</f>
        <v>332553528.01287699</v>
      </c>
      <c r="G53" s="10">
        <f>SUMIFS(Data!AD$2:AD$2000,Data!$E$2:$E$2000,WeightCal!$B53)</f>
        <v>728458628.96965551</v>
      </c>
      <c r="H53" s="10">
        <f>SUMIFS(Data!AE$2:AE$2000,Data!$E$2:$E$2000,WeightCal!$B53)</f>
        <v>997765020.61653531</v>
      </c>
      <c r="I53" s="10">
        <f>SUMIFS(Data!AF$2:AF$2000,Data!$E$2:$E$2000,WeightCal!$B53)</f>
        <v>22305309957.513996</v>
      </c>
      <c r="J53" s="10">
        <f>SUMIFS(Data!AG$2:AG$2000,Data!$E$2:$E$2000,WeightCal!$B53)</f>
        <v>10253150024.845737</v>
      </c>
      <c r="K53" s="10">
        <f>SUMIFS(Data!AH$2:AH$2000,Data!$E$2:$E$2000,WeightCal!$B53)</f>
        <v>1021245908.079865</v>
      </c>
      <c r="L53" s="10">
        <f>SUMIFS(Data!AI$2:AI$2000,Data!$E$2:$E$2000,WeightCal!$B53)</f>
        <v>2721782.1300597</v>
      </c>
      <c r="M53" s="2">
        <f t="shared" si="1"/>
        <v>1.3184843725713138</v>
      </c>
      <c r="N53" s="2">
        <f t="shared" si="2"/>
        <v>2.4980318688701799</v>
      </c>
      <c r="O53" s="2">
        <f t="shared" si="3"/>
        <v>0.23959401817878345</v>
      </c>
      <c r="P53" s="2">
        <f t="shared" si="4"/>
        <v>0.52483078749682988</v>
      </c>
      <c r="Q53" s="2">
        <f t="shared" si="5"/>
        <v>0.71885729769944184</v>
      </c>
      <c r="R53" s="2">
        <f t="shared" si="6"/>
        <v>16.070251521244035</v>
      </c>
      <c r="S53" s="2">
        <f t="shared" si="7"/>
        <v>7.3870616502602866</v>
      </c>
      <c r="T53" s="2">
        <f t="shared" si="8"/>
        <v>0.73577451464000354</v>
      </c>
      <c r="U53" s="2">
        <f t="shared" si="9"/>
        <v>1.9609556423739413E-3</v>
      </c>
    </row>
    <row r="54" spans="1:21" x14ac:dyDescent="0.55000000000000004">
      <c r="A54" s="53"/>
      <c r="B54" s="6" t="s">
        <v>143</v>
      </c>
      <c r="C54" s="9">
        <f>SUMIFS(Data!$Y$2:$Y$2000,Data!$E$2:$E$2000,WeightCal!B54)</f>
        <v>431909614.59093499</v>
      </c>
      <c r="D54" s="10">
        <f>SUMIFS(Data!AA$2:AA$2000,Data!$E$2:$E$2000,WeightCal!$B54)</f>
        <v>1502959191.5400038</v>
      </c>
      <c r="E54" s="10">
        <f>SUMIFS(Data!AB$2:AB$2000,Data!$E$2:$E$2000,WeightCal!$B54)</f>
        <v>631716794.55848897</v>
      </c>
      <c r="F54" s="10">
        <f>SUMIFS(Data!AC$2:AC$2000,Data!$E$2:$E$2000,WeightCal!$B54)</f>
        <v>219927600.42518565</v>
      </c>
      <c r="G54" s="10">
        <f>SUMIFS(Data!AD$2:AD$2000,Data!$E$2:$E$2000,WeightCal!$B54)</f>
        <v>418319744.90145266</v>
      </c>
      <c r="H54" s="10">
        <f>SUMIFS(Data!AE$2:AE$2000,Data!$E$2:$E$2000,WeightCal!$B54)</f>
        <v>56391872.988734096</v>
      </c>
      <c r="I54" s="10">
        <f>SUMIFS(Data!AF$2:AF$2000,Data!$E$2:$E$2000,WeightCal!$B54)</f>
        <v>1966408419.5298641</v>
      </c>
      <c r="J54" s="10">
        <f>SUMIFS(Data!AG$2:AG$2000,Data!$E$2:$E$2000,WeightCal!$B54)</f>
        <v>8362280563.1044683</v>
      </c>
      <c r="K54" s="10">
        <f>SUMIFS(Data!AH$2:AH$2000,Data!$E$2:$E$2000,WeightCal!$B54)</f>
        <v>93234158.722510993</v>
      </c>
      <c r="L54" s="10">
        <f>SUMIFS(Data!AI$2:AI$2000,Data!$E$2:$E$2000,WeightCal!$B54)</f>
        <v>61758965.741474397</v>
      </c>
      <c r="M54" s="2">
        <f t="shared" si="1"/>
        <v>3.4798002655334921</v>
      </c>
      <c r="N54" s="2">
        <f t="shared" si="2"/>
        <v>1.4626134108100208</v>
      </c>
      <c r="O54" s="2">
        <f t="shared" si="3"/>
        <v>0.50919820489173606</v>
      </c>
      <c r="P54" s="2">
        <f t="shared" si="4"/>
        <v>0.96853538511210635</v>
      </c>
      <c r="Q54" s="2">
        <f t="shared" si="5"/>
        <v>0.13056406035819157</v>
      </c>
      <c r="R54" s="2">
        <f t="shared" si="6"/>
        <v>4.5528239082898514</v>
      </c>
      <c r="S54" s="2">
        <f t="shared" si="7"/>
        <v>19.361181785741099</v>
      </c>
      <c r="T54" s="2">
        <f t="shared" si="8"/>
        <v>0.21586497631180032</v>
      </c>
      <c r="U54" s="2">
        <f t="shared" si="9"/>
        <v>0.14299048609965953</v>
      </c>
    </row>
    <row r="55" spans="1:21" x14ac:dyDescent="0.55000000000000004">
      <c r="A55" s="53"/>
      <c r="B55" s="6" t="s">
        <v>153</v>
      </c>
      <c r="C55" s="9">
        <f>SUMIFS(Data!$Y$2:$Y$2000,Data!$E$2:$E$2000,WeightCal!B55)</f>
        <v>540949957.10971105</v>
      </c>
      <c r="D55" s="10">
        <f>SUMIFS(Data!AA$2:AA$2000,Data!$E$2:$E$2000,WeightCal!$B55)</f>
        <v>9367839756.3153172</v>
      </c>
      <c r="E55" s="10">
        <f>SUMIFS(Data!AB$2:AB$2000,Data!$E$2:$E$2000,WeightCal!$B55)</f>
        <v>2465288994.4965944</v>
      </c>
      <c r="F55" s="10">
        <f>SUMIFS(Data!AC$2:AC$2000,Data!$E$2:$E$2000,WeightCal!$B55)</f>
        <v>2651047013.6037006</v>
      </c>
      <c r="G55" s="10">
        <f>SUMIFS(Data!AD$2:AD$2000,Data!$E$2:$E$2000,WeightCal!$B55)</f>
        <v>2406505860.2390738</v>
      </c>
      <c r="H55" s="10">
        <f>SUMIFS(Data!AE$2:AE$2000,Data!$E$2:$E$2000,WeightCal!$B55)</f>
        <v>2635765732.7377667</v>
      </c>
      <c r="I55" s="10">
        <f>SUMIFS(Data!AF$2:AF$2000,Data!$E$2:$E$2000,WeightCal!$B55)</f>
        <v>6785021100.2538528</v>
      </c>
      <c r="J55" s="10">
        <f>SUMIFS(Data!AG$2:AG$2000,Data!$E$2:$E$2000,WeightCal!$B55)</f>
        <v>18519695825.792637</v>
      </c>
      <c r="K55" s="10">
        <f>SUMIFS(Data!AH$2:AH$2000,Data!$E$2:$E$2000,WeightCal!$B55)</f>
        <v>87351691.130068868</v>
      </c>
      <c r="L55" s="10">
        <f>SUMIFS(Data!AI$2:AI$2000,Data!$E$2:$E$2000,WeightCal!$B55)</f>
        <v>186085039.9187603</v>
      </c>
      <c r="M55" s="2">
        <f t="shared" si="1"/>
        <v>17.317387002612161</v>
      </c>
      <c r="N55" s="2">
        <f t="shared" si="2"/>
        <v>4.5573328218170186</v>
      </c>
      <c r="O55" s="2">
        <f t="shared" si="3"/>
        <v>4.9007250647882703</v>
      </c>
      <c r="P55" s="2">
        <f t="shared" si="4"/>
        <v>4.4486663296860307</v>
      </c>
      <c r="Q55" s="2">
        <f t="shared" si="5"/>
        <v>4.8724760915420537</v>
      </c>
      <c r="R55" s="2">
        <f t="shared" si="6"/>
        <v>12.542788868135117</v>
      </c>
      <c r="S55" s="2">
        <f t="shared" si="7"/>
        <v>34.235506597954355</v>
      </c>
      <c r="T55" s="2">
        <f t="shared" si="8"/>
        <v>0.16147832157486042</v>
      </c>
      <c r="U55" s="2">
        <f t="shared" si="9"/>
        <v>0.3439967735888369</v>
      </c>
    </row>
    <row r="56" spans="1:21" x14ac:dyDescent="0.55000000000000004">
      <c r="A56" s="53"/>
      <c r="B56" s="6" t="s">
        <v>145</v>
      </c>
      <c r="C56" s="9">
        <f>SUMIFS(Data!$Y$2:$Y$2000,Data!$E$2:$E$2000,WeightCal!B56)</f>
        <v>1511442891.4871502</v>
      </c>
      <c r="D56" s="10">
        <f>SUMIFS(Data!AA$2:AA$2000,Data!$E$2:$E$2000,WeightCal!$B56)</f>
        <v>1507086043.33443</v>
      </c>
      <c r="E56" s="10">
        <f>SUMIFS(Data!AB$2:AB$2000,Data!$E$2:$E$2000,WeightCal!$B56)</f>
        <v>2238095953.9281626</v>
      </c>
      <c r="F56" s="10">
        <f>SUMIFS(Data!AC$2:AC$2000,Data!$E$2:$E$2000,WeightCal!$B56)</f>
        <v>1887164290.6246996</v>
      </c>
      <c r="G56" s="10">
        <f>SUMIFS(Data!AD$2:AD$2000,Data!$E$2:$E$2000,WeightCal!$B56)</f>
        <v>1189971457.0410628</v>
      </c>
      <c r="H56" s="10">
        <f>SUMIFS(Data!AE$2:AE$2000,Data!$E$2:$E$2000,WeightCal!$B56)</f>
        <v>3719550763.6338716</v>
      </c>
      <c r="I56" s="10">
        <f>SUMIFS(Data!AF$2:AF$2000,Data!$E$2:$E$2000,WeightCal!$B56)</f>
        <v>30118031532.329624</v>
      </c>
      <c r="J56" s="10">
        <f>SUMIFS(Data!AG$2:AG$2000,Data!$E$2:$E$2000,WeightCal!$B56)</f>
        <v>5734713068.3525143</v>
      </c>
      <c r="K56" s="10">
        <f>SUMIFS(Data!AH$2:AH$2000,Data!$E$2:$E$2000,WeightCal!$B56)</f>
        <v>187030154.07638362</v>
      </c>
      <c r="L56" s="10">
        <f>SUMIFS(Data!AI$2:AI$2000,Data!$E$2:$E$2000,WeightCal!$B56)</f>
        <v>9008378.6659964006</v>
      </c>
      <c r="M56" s="2">
        <f t="shared" si="1"/>
        <v>0.99711742456346908</v>
      </c>
      <c r="N56" s="2">
        <f t="shared" si="2"/>
        <v>1.4807677925072236</v>
      </c>
      <c r="O56" s="2">
        <f t="shared" si="3"/>
        <v>1.2485845818282071</v>
      </c>
      <c r="P56" s="2">
        <f t="shared" si="4"/>
        <v>0.7873082494504422</v>
      </c>
      <c r="Q56" s="2">
        <f t="shared" si="5"/>
        <v>2.4609270946215527</v>
      </c>
      <c r="R56" s="2">
        <f t="shared" si="6"/>
        <v>19.926675167128323</v>
      </c>
      <c r="S56" s="2">
        <f t="shared" si="7"/>
        <v>3.7941976509016313</v>
      </c>
      <c r="T56" s="2">
        <f t="shared" si="8"/>
        <v>0.12374278587023524</v>
      </c>
      <c r="U56" s="2">
        <f t="shared" si="9"/>
        <v>5.9601184515366036E-3</v>
      </c>
    </row>
    <row r="57" spans="1:21" x14ac:dyDescent="0.55000000000000004">
      <c r="A57" s="53"/>
      <c r="B57" s="6" t="s">
        <v>147</v>
      </c>
      <c r="C57" s="9">
        <f>SUMIFS(Data!$Y$2:$Y$2000,Data!$E$2:$E$2000,WeightCal!B57)</f>
        <v>735043283.33206117</v>
      </c>
      <c r="D57" s="10">
        <f>SUMIFS(Data!AA$2:AA$2000,Data!$E$2:$E$2000,WeightCal!$B57)</f>
        <v>84965081.175056726</v>
      </c>
      <c r="E57" s="10">
        <f>SUMIFS(Data!AB$2:AB$2000,Data!$E$2:$E$2000,WeightCal!$B57)</f>
        <v>571381268.27085316</v>
      </c>
      <c r="F57" s="10">
        <f>SUMIFS(Data!AC$2:AC$2000,Data!$E$2:$E$2000,WeightCal!$B57)</f>
        <v>158159957.93646085</v>
      </c>
      <c r="G57" s="10">
        <f>SUMIFS(Data!AD$2:AD$2000,Data!$E$2:$E$2000,WeightCal!$B57)</f>
        <v>551083015.97100341</v>
      </c>
      <c r="H57" s="10">
        <f>SUMIFS(Data!AE$2:AE$2000,Data!$E$2:$E$2000,WeightCal!$B57)</f>
        <v>3324033468.4298306</v>
      </c>
      <c r="I57" s="10">
        <f>SUMIFS(Data!AF$2:AF$2000,Data!$E$2:$E$2000,WeightCal!$B57)</f>
        <v>14121271646.930305</v>
      </c>
      <c r="J57" s="10">
        <f>SUMIFS(Data!AG$2:AG$2000,Data!$E$2:$E$2000,WeightCal!$B57)</f>
        <v>1748485440.4316361</v>
      </c>
      <c r="K57" s="10">
        <f>SUMIFS(Data!AH$2:AH$2000,Data!$E$2:$E$2000,WeightCal!$B57)</f>
        <v>212594234.41707259</v>
      </c>
      <c r="L57" s="10">
        <f>SUMIFS(Data!AI$2:AI$2000,Data!$E$2:$E$2000,WeightCal!$B57)</f>
        <v>110390232.36025615</v>
      </c>
      <c r="M57" s="2">
        <f t="shared" si="1"/>
        <v>0.11559194281715943</v>
      </c>
      <c r="N57" s="2">
        <f t="shared" si="2"/>
        <v>0.77734370373496431</v>
      </c>
      <c r="O57" s="2">
        <f t="shared" si="3"/>
        <v>0.21517094506257931</v>
      </c>
      <c r="P57" s="2">
        <f t="shared" si="4"/>
        <v>0.74972866015843542</v>
      </c>
      <c r="Q57" s="2">
        <f t="shared" si="5"/>
        <v>4.5222282058839989</v>
      </c>
      <c r="R57" s="2">
        <f t="shared" si="6"/>
        <v>19.211483142756531</v>
      </c>
      <c r="S57" s="2">
        <f t="shared" si="7"/>
        <v>2.378751673650414</v>
      </c>
      <c r="T57" s="2">
        <f t="shared" si="8"/>
        <v>0.2892268241039509</v>
      </c>
      <c r="U57" s="2">
        <f t="shared" si="9"/>
        <v>0.15018194827907375</v>
      </c>
    </row>
    <row r="58" spans="1:21" x14ac:dyDescent="0.55000000000000004">
      <c r="A58" s="55" t="s">
        <v>164</v>
      </c>
      <c r="B58" s="6" t="s">
        <v>117</v>
      </c>
      <c r="C58" s="9">
        <f>SUMIFS(Data!$Y$2:$Y$2000,Data!$E$2:$E$2000,WeightCal!B58)</f>
        <v>1407856934.8881898</v>
      </c>
      <c r="D58" s="10">
        <f>SUMIFS(Data!AA$2:AA$2000,Data!$E$2:$E$2000,WeightCal!$B58)</f>
        <v>3146787220.6784511</v>
      </c>
      <c r="E58" s="10">
        <f>SUMIFS(Data!AB$2:AB$2000,Data!$E$2:$E$2000,WeightCal!$B58)</f>
        <v>4094106191.5721698</v>
      </c>
      <c r="F58" s="10">
        <f>SUMIFS(Data!AC$2:AC$2000,Data!$E$2:$E$2000,WeightCal!$B58)</f>
        <v>1126942180.2424932</v>
      </c>
      <c r="G58" s="10">
        <f>SUMIFS(Data!AD$2:AD$2000,Data!$E$2:$E$2000,WeightCal!$B58)</f>
        <v>1661595487.348861</v>
      </c>
      <c r="H58" s="10">
        <f>SUMIFS(Data!AE$2:AE$2000,Data!$E$2:$E$2000,WeightCal!$B58)</f>
        <v>2880243202.1677141</v>
      </c>
      <c r="I58" s="10">
        <f>SUMIFS(Data!AF$2:AF$2000,Data!$E$2:$E$2000,WeightCal!$B58)</f>
        <v>12190770016.23881</v>
      </c>
      <c r="J58" s="10">
        <f>SUMIFS(Data!AG$2:AG$2000,Data!$E$2:$E$2000,WeightCal!$B58)</f>
        <v>20742867447.891991</v>
      </c>
      <c r="K58" s="10">
        <f>SUMIFS(Data!AH$2:AH$2000,Data!$E$2:$E$2000,WeightCal!$B58)</f>
        <v>1477536257.4687493</v>
      </c>
      <c r="L58" s="10">
        <f>SUMIFS(Data!AI$2:AI$2000,Data!$E$2:$E$2000,WeightCal!$B58)</f>
        <v>0</v>
      </c>
      <c r="M58" s="2">
        <f t="shared" si="1"/>
        <v>2.2351612175198503</v>
      </c>
      <c r="N58" s="2">
        <f t="shared" si="2"/>
        <v>2.9080413571264745</v>
      </c>
      <c r="O58" s="2">
        <f t="shared" si="3"/>
        <v>0.80046640558118465</v>
      </c>
      <c r="P58" s="2">
        <f t="shared" si="4"/>
        <v>1.1802303530797487</v>
      </c>
      <c r="Q58" s="2">
        <f t="shared" si="5"/>
        <v>2.0458351490071394</v>
      </c>
      <c r="R58" s="2">
        <f t="shared" si="6"/>
        <v>8.6590971810690309</v>
      </c>
      <c r="S58" s="2">
        <f t="shared" si="7"/>
        <v>14.733647243453301</v>
      </c>
      <c r="T58" s="2">
        <f t="shared" si="8"/>
        <v>1.0494931841821651</v>
      </c>
      <c r="U58" s="2">
        <f t="shared" si="9"/>
        <v>0</v>
      </c>
    </row>
    <row r="59" spans="1:21" x14ac:dyDescent="0.55000000000000004">
      <c r="A59" s="56"/>
      <c r="B59" s="6" t="s">
        <v>119</v>
      </c>
      <c r="C59" s="9">
        <f>SUMIFS(Data!$Y$2:$Y$2000,Data!$E$2:$E$2000,WeightCal!B59)</f>
        <v>1203934664.4031317</v>
      </c>
      <c r="D59" s="10">
        <f>SUMIFS(Data!AA$2:AA$2000,Data!$E$2:$E$2000,WeightCal!$B59)</f>
        <v>913739674.57489896</v>
      </c>
      <c r="E59" s="10">
        <f>SUMIFS(Data!AB$2:AB$2000,Data!$E$2:$E$2000,WeightCal!$B59)</f>
        <v>1385957622.154911</v>
      </c>
      <c r="F59" s="10">
        <f>SUMIFS(Data!AC$2:AC$2000,Data!$E$2:$E$2000,WeightCal!$B59)</f>
        <v>227740153.61784622</v>
      </c>
      <c r="G59" s="10">
        <f>SUMIFS(Data!AD$2:AD$2000,Data!$E$2:$E$2000,WeightCal!$B59)</f>
        <v>333273181.49834031</v>
      </c>
      <c r="H59" s="10">
        <f>SUMIFS(Data!AE$2:AE$2000,Data!$E$2:$E$2000,WeightCal!$B59)</f>
        <v>1057622687.4853245</v>
      </c>
      <c r="I59" s="10">
        <f>SUMIFS(Data!AF$2:AF$2000,Data!$E$2:$E$2000,WeightCal!$B59)</f>
        <v>39009706388.213791</v>
      </c>
      <c r="J59" s="10">
        <f>SUMIFS(Data!AG$2:AG$2000,Data!$E$2:$E$2000,WeightCal!$B59)</f>
        <v>6116703255.9660759</v>
      </c>
      <c r="K59" s="10">
        <f>SUMIFS(Data!AH$2:AH$2000,Data!$E$2:$E$2000,WeightCal!$B59)</f>
        <v>190801687.92478091</v>
      </c>
      <c r="L59" s="10">
        <f>SUMIFS(Data!AI$2:AI$2000,Data!$E$2:$E$2000,WeightCal!$B59)</f>
        <v>2353906.1058860002</v>
      </c>
      <c r="M59" s="2">
        <f t="shared" si="1"/>
        <v>0.75896118086100528</v>
      </c>
      <c r="N59" s="2">
        <f t="shared" si="2"/>
        <v>1.1511900629940079</v>
      </c>
      <c r="O59" s="2">
        <f t="shared" si="3"/>
        <v>0.18916321653613299</v>
      </c>
      <c r="P59" s="2">
        <f t="shared" si="4"/>
        <v>0.27681998978205796</v>
      </c>
      <c r="Q59" s="2">
        <f t="shared" si="5"/>
        <v>0.87847182970652027</v>
      </c>
      <c r="R59" s="2">
        <f t="shared" si="6"/>
        <v>32.401846662961091</v>
      </c>
      <c r="S59" s="2">
        <f t="shared" si="7"/>
        <v>5.0805940196086317</v>
      </c>
      <c r="T59" s="2">
        <f t="shared" si="8"/>
        <v>0.15848176281174994</v>
      </c>
      <c r="U59" s="2">
        <f t="shared" si="9"/>
        <v>1.9551776151017163E-3</v>
      </c>
    </row>
    <row r="60" spans="1:21" x14ac:dyDescent="0.55000000000000004">
      <c r="A60" s="56"/>
      <c r="B60" s="6" t="s">
        <v>121</v>
      </c>
      <c r="C60" s="9">
        <f>SUMIFS(Data!$Y$2:$Y$2000,Data!$E$2:$E$2000,WeightCal!B60)</f>
        <v>373423713.16544902</v>
      </c>
      <c r="D60" s="10">
        <f>SUMIFS(Data!AA$2:AA$2000,Data!$E$2:$E$2000,WeightCal!$B60)</f>
        <v>1996719665.6726904</v>
      </c>
      <c r="E60" s="10">
        <f>SUMIFS(Data!AB$2:AB$2000,Data!$E$2:$E$2000,WeightCal!$B60)</f>
        <v>622515855.37586522</v>
      </c>
      <c r="F60" s="10">
        <f>SUMIFS(Data!AC$2:AC$2000,Data!$E$2:$E$2000,WeightCal!$B60)</f>
        <v>6179523777.791913</v>
      </c>
      <c r="G60" s="10">
        <f>SUMIFS(Data!AD$2:AD$2000,Data!$E$2:$E$2000,WeightCal!$B60)</f>
        <v>369153293.25840455</v>
      </c>
      <c r="H60" s="10">
        <f>SUMIFS(Data!AE$2:AE$2000,Data!$E$2:$E$2000,WeightCal!$B60)</f>
        <v>1020641849.6077119</v>
      </c>
      <c r="I60" s="10">
        <f>SUMIFS(Data!AF$2:AF$2000,Data!$E$2:$E$2000,WeightCal!$B60)</f>
        <v>3322011726.5918374</v>
      </c>
      <c r="J60" s="10">
        <f>SUMIFS(Data!AG$2:AG$2000,Data!$E$2:$E$2000,WeightCal!$B60)</f>
        <v>7131243255.2418289</v>
      </c>
      <c r="K60" s="10">
        <f>SUMIFS(Data!AH$2:AH$2000,Data!$E$2:$E$2000,WeightCal!$B60)</f>
        <v>355700.22702600004</v>
      </c>
      <c r="L60" s="10">
        <f>SUMIFS(Data!AI$2:AI$2000,Data!$E$2:$E$2000,WeightCal!$B60)</f>
        <v>177850.11351300002</v>
      </c>
      <c r="M60" s="2">
        <f t="shared" si="1"/>
        <v>5.3470617833742775</v>
      </c>
      <c r="N60" s="2">
        <f t="shared" si="2"/>
        <v>1.6670496099428305</v>
      </c>
      <c r="O60" s="2">
        <f t="shared" si="3"/>
        <v>16.548289677185053</v>
      </c>
      <c r="P60" s="2">
        <f t="shared" si="4"/>
        <v>0.98856414374211843</v>
      </c>
      <c r="Q60" s="2">
        <f t="shared" si="5"/>
        <v>2.7332004198552506</v>
      </c>
      <c r="R60" s="2">
        <f t="shared" si="6"/>
        <v>8.8960920516581865</v>
      </c>
      <c r="S60" s="2">
        <f t="shared" si="7"/>
        <v>19.096921282238608</v>
      </c>
      <c r="T60" s="2">
        <f t="shared" si="8"/>
        <v>9.5253786646485293E-4</v>
      </c>
      <c r="U60" s="2">
        <f t="shared" si="9"/>
        <v>4.7626893323242646E-4</v>
      </c>
    </row>
    <row r="61" spans="1:21" x14ac:dyDescent="0.55000000000000004">
      <c r="A61" s="56"/>
      <c r="B61" s="6" t="s">
        <v>123</v>
      </c>
      <c r="C61" s="9">
        <f>SUMIFS(Data!$Y$2:$Y$2000,Data!$E$2:$E$2000,WeightCal!B61)</f>
        <v>947267622.59181798</v>
      </c>
      <c r="D61" s="10">
        <f>SUMIFS(Data!AA$2:AA$2000,Data!$E$2:$E$2000,WeightCal!$B61)</f>
        <v>11082417308.243679</v>
      </c>
      <c r="E61" s="10">
        <f>SUMIFS(Data!AB$2:AB$2000,Data!$E$2:$E$2000,WeightCal!$B61)</f>
        <v>2791123964.9267282</v>
      </c>
      <c r="F61" s="10">
        <f>SUMIFS(Data!AC$2:AC$2000,Data!$E$2:$E$2000,WeightCal!$B61)</f>
        <v>465217747.19034684</v>
      </c>
      <c r="G61" s="10">
        <f>SUMIFS(Data!AD$2:AD$2000,Data!$E$2:$E$2000,WeightCal!$B61)</f>
        <v>814079825.84470451</v>
      </c>
      <c r="H61" s="10">
        <f>SUMIFS(Data!AE$2:AE$2000,Data!$E$2:$E$2000,WeightCal!$B61)</f>
        <v>10719041082.305801</v>
      </c>
      <c r="I61" s="10">
        <f>SUMIFS(Data!AF$2:AF$2000,Data!$E$2:$E$2000,WeightCal!$B61)</f>
        <v>30788356754.80275</v>
      </c>
      <c r="J61" s="10">
        <f>SUMIFS(Data!AG$2:AG$2000,Data!$E$2:$E$2000,WeightCal!$B61)</f>
        <v>8211562359.2175741</v>
      </c>
      <c r="K61" s="10">
        <f>SUMIFS(Data!AH$2:AH$2000,Data!$E$2:$E$2000,WeightCal!$B61)</f>
        <v>232610534.44826901</v>
      </c>
      <c r="L61" s="10">
        <f>SUMIFS(Data!AI$2:AI$2000,Data!$E$2:$E$2000,WeightCal!$B61)</f>
        <v>0</v>
      </c>
      <c r="M61" s="2">
        <f t="shared" si="1"/>
        <v>11.69935195074132</v>
      </c>
      <c r="N61" s="2">
        <f t="shared" si="2"/>
        <v>2.9464999102259366</v>
      </c>
      <c r="O61" s="2">
        <f t="shared" si="3"/>
        <v>0.49111543147380571</v>
      </c>
      <c r="P61" s="2">
        <f t="shared" si="4"/>
        <v>0.85939792137865068</v>
      </c>
      <c r="Q61" s="2">
        <f t="shared" si="5"/>
        <v>11.315747341788631</v>
      </c>
      <c r="R61" s="2">
        <f t="shared" si="6"/>
        <v>32.502279208659914</v>
      </c>
      <c r="S61" s="2">
        <f t="shared" si="7"/>
        <v>8.6686826018078467</v>
      </c>
      <c r="T61" s="2">
        <f t="shared" si="8"/>
        <v>0.24555946904616413</v>
      </c>
      <c r="U61" s="2">
        <f t="shared" si="9"/>
        <v>0</v>
      </c>
    </row>
    <row r="62" spans="1:21" x14ac:dyDescent="0.55000000000000004">
      <c r="A62" s="56"/>
      <c r="B62" s="6" t="s">
        <v>115</v>
      </c>
      <c r="C62" s="9">
        <f>SUMIFS(Data!$Y$2:$Y$2000,Data!$E$2:$E$2000,WeightCal!B62)</f>
        <v>474121429.02157003</v>
      </c>
      <c r="D62" s="10">
        <f>SUMIFS(Data!AA$2:AA$2000,Data!$E$2:$E$2000,WeightCal!$B62)</f>
        <v>2213056583.3883157</v>
      </c>
      <c r="E62" s="10">
        <f>SUMIFS(Data!AB$2:AB$2000,Data!$E$2:$E$2000,WeightCal!$B62)</f>
        <v>390792582.3627032</v>
      </c>
      <c r="F62" s="10">
        <f>SUMIFS(Data!AC$2:AC$2000,Data!$E$2:$E$2000,WeightCal!$B62)</f>
        <v>726558838.6681757</v>
      </c>
      <c r="G62" s="10">
        <f>SUMIFS(Data!AD$2:AD$2000,Data!$E$2:$E$2000,WeightCal!$B62)</f>
        <v>387391089.42985731</v>
      </c>
      <c r="H62" s="10">
        <f>SUMIFS(Data!AE$2:AE$2000,Data!$E$2:$E$2000,WeightCal!$B62)</f>
        <v>1405488830.7803295</v>
      </c>
      <c r="I62" s="10">
        <f>SUMIFS(Data!AF$2:AF$2000,Data!$E$2:$E$2000,WeightCal!$B62)</f>
        <v>8884319677.2548065</v>
      </c>
      <c r="J62" s="10">
        <f>SUMIFS(Data!AG$2:AG$2000,Data!$E$2:$E$2000,WeightCal!$B62)</f>
        <v>13098589891.357237</v>
      </c>
      <c r="K62" s="10">
        <f>SUMIFS(Data!AH$2:AH$2000,Data!$E$2:$E$2000,WeightCal!$B62)</f>
        <v>4894961.3922281992</v>
      </c>
      <c r="L62" s="10">
        <f>SUMIFS(Data!AI$2:AI$2000,Data!$E$2:$E$2000,WeightCal!$B62)</f>
        <v>0</v>
      </c>
      <c r="M62" s="2">
        <f t="shared" si="1"/>
        <v>4.6676999771036147</v>
      </c>
      <c r="N62" s="2">
        <f t="shared" si="2"/>
        <v>0.82424577005340161</v>
      </c>
      <c r="O62" s="2">
        <f t="shared" si="3"/>
        <v>1.5324319766932979</v>
      </c>
      <c r="P62" s="2">
        <f t="shared" si="4"/>
        <v>0.81707146253503982</v>
      </c>
      <c r="Q62" s="2">
        <f t="shared" si="5"/>
        <v>2.9644068897725084</v>
      </c>
      <c r="R62" s="2">
        <f t="shared" si="6"/>
        <v>18.7384900437618</v>
      </c>
      <c r="S62" s="2">
        <f t="shared" si="7"/>
        <v>27.627078401388435</v>
      </c>
      <c r="T62" s="2">
        <f t="shared" si="8"/>
        <v>1.0324277901401297E-2</v>
      </c>
      <c r="U62" s="2">
        <f t="shared" si="9"/>
        <v>0</v>
      </c>
    </row>
    <row r="63" spans="1:21" x14ac:dyDescent="0.55000000000000004">
      <c r="A63" s="56"/>
      <c r="B63" s="6" t="s">
        <v>125</v>
      </c>
      <c r="C63" s="9">
        <f>SUMIFS(Data!$Y$2:$Y$2000,Data!$E$2:$E$2000,WeightCal!B63)</f>
        <v>484281038.14472991</v>
      </c>
      <c r="D63" s="10">
        <f>SUMIFS(Data!AA$2:AA$2000,Data!$E$2:$E$2000,WeightCal!$B63)</f>
        <v>821193004.13213503</v>
      </c>
      <c r="E63" s="10">
        <f>SUMIFS(Data!AB$2:AB$2000,Data!$E$2:$E$2000,WeightCal!$B63)</f>
        <v>2585614622.066247</v>
      </c>
      <c r="F63" s="10">
        <f>SUMIFS(Data!AC$2:AC$2000,Data!$E$2:$E$2000,WeightCal!$B63)</f>
        <v>1241869625.8393667</v>
      </c>
      <c r="G63" s="10">
        <f>SUMIFS(Data!AD$2:AD$2000,Data!$E$2:$E$2000,WeightCal!$B63)</f>
        <v>1804252364.480443</v>
      </c>
      <c r="H63" s="10">
        <f>SUMIFS(Data!AE$2:AE$2000,Data!$E$2:$E$2000,WeightCal!$B63)</f>
        <v>1930908525.6170888</v>
      </c>
      <c r="I63" s="10">
        <f>SUMIFS(Data!AF$2:AF$2000,Data!$E$2:$E$2000,WeightCal!$B63)</f>
        <v>1776017361.3435731</v>
      </c>
      <c r="J63" s="10">
        <f>SUMIFS(Data!AG$2:AG$2000,Data!$E$2:$E$2000,WeightCal!$B63)</f>
        <v>12042313570.051777</v>
      </c>
      <c r="K63" s="10">
        <f>SUMIFS(Data!AH$2:AH$2000,Data!$E$2:$E$2000,WeightCal!$B63)</f>
        <v>2788650896.5634036</v>
      </c>
      <c r="L63" s="10">
        <f>SUMIFS(Data!AI$2:AI$2000,Data!$E$2:$E$2000,WeightCal!$B63)</f>
        <v>0</v>
      </c>
      <c r="M63" s="2">
        <f t="shared" si="1"/>
        <v>1.6956951427999483</v>
      </c>
      <c r="N63" s="2">
        <f t="shared" si="2"/>
        <v>5.3390787960058894</v>
      </c>
      <c r="O63" s="2">
        <f t="shared" si="3"/>
        <v>2.5643573215192199</v>
      </c>
      <c r="P63" s="2">
        <f t="shared" si="4"/>
        <v>3.725630826663159</v>
      </c>
      <c r="Q63" s="2">
        <f t="shared" si="5"/>
        <v>3.9871652481260824</v>
      </c>
      <c r="R63" s="2">
        <f t="shared" si="6"/>
        <v>3.6673278973454275</v>
      </c>
      <c r="S63" s="2">
        <f t="shared" si="7"/>
        <v>24.866374318898831</v>
      </c>
      <c r="T63" s="2">
        <f t="shared" si="8"/>
        <v>5.7583317885966885</v>
      </c>
      <c r="U63" s="2">
        <f t="shared" si="9"/>
        <v>0</v>
      </c>
    </row>
    <row r="64" spans="1:21" x14ac:dyDescent="0.55000000000000004">
      <c r="A64" s="57"/>
      <c r="B64" s="6" t="s">
        <v>127</v>
      </c>
      <c r="C64" s="9">
        <f>SUMIFS(Data!$Y$2:$Y$2000,Data!$E$2:$E$2000,WeightCal!B64)</f>
        <v>141341368.48712</v>
      </c>
      <c r="D64" s="10">
        <f>SUMIFS(Data!AA$2:AA$2000,Data!$E$2:$E$2000,WeightCal!$B64)</f>
        <v>234026260.25916782</v>
      </c>
      <c r="E64" s="10">
        <f>SUMIFS(Data!AB$2:AB$2000,Data!$E$2:$E$2000,WeightCal!$B64)</f>
        <v>1337570320.9744897</v>
      </c>
      <c r="F64" s="10">
        <f>SUMIFS(Data!AC$2:AC$2000,Data!$E$2:$E$2000,WeightCal!$B64)</f>
        <v>1099562433.4751632</v>
      </c>
      <c r="G64" s="10">
        <f>SUMIFS(Data!AD$2:AD$2000,Data!$E$2:$E$2000,WeightCal!$B64)</f>
        <v>612063481.11723721</v>
      </c>
      <c r="H64" s="10">
        <f>SUMIFS(Data!AE$2:AE$2000,Data!$E$2:$E$2000,WeightCal!$B64)</f>
        <v>1068158136.5585445</v>
      </c>
      <c r="I64" s="10">
        <f>SUMIFS(Data!AF$2:AF$2000,Data!$E$2:$E$2000,WeightCal!$B64)</f>
        <v>837688331.56106007</v>
      </c>
      <c r="J64" s="10">
        <f>SUMIFS(Data!AG$2:AG$2000,Data!$E$2:$E$2000,WeightCal!$B64)</f>
        <v>3954152569.8978267</v>
      </c>
      <c r="K64" s="10">
        <f>SUMIFS(Data!AH$2:AH$2000,Data!$E$2:$E$2000,WeightCal!$B64)</f>
        <v>441178289.04172021</v>
      </c>
      <c r="L64" s="10">
        <f>SUMIFS(Data!AI$2:AI$2000,Data!$E$2:$E$2000,WeightCal!$B64)</f>
        <v>138257.36434200002</v>
      </c>
      <c r="M64" s="2">
        <f t="shared" si="1"/>
        <v>1.6557520474304301</v>
      </c>
      <c r="N64" s="2">
        <f t="shared" si="2"/>
        <v>9.4634029321456463</v>
      </c>
      <c r="O64" s="2">
        <f t="shared" si="3"/>
        <v>7.7794805954164996</v>
      </c>
      <c r="P64" s="2">
        <f t="shared" si="4"/>
        <v>4.3303916444888015</v>
      </c>
      <c r="Q64" s="2">
        <f t="shared" si="5"/>
        <v>7.5572930133040455</v>
      </c>
      <c r="R64" s="2">
        <f t="shared" si="6"/>
        <v>5.9267031338910234</v>
      </c>
      <c r="S64" s="2">
        <f t="shared" si="7"/>
        <v>27.975904098156203</v>
      </c>
      <c r="T64" s="2">
        <f t="shared" si="8"/>
        <v>3.1213670404070228</v>
      </c>
      <c r="U64" s="2">
        <f t="shared" si="9"/>
        <v>9.7818045645000945E-4</v>
      </c>
    </row>
    <row r="65" spans="1:21" x14ac:dyDescent="0.55000000000000004">
      <c r="A65" s="55" t="s">
        <v>165</v>
      </c>
      <c r="B65" s="6" t="s">
        <v>133</v>
      </c>
      <c r="C65" s="9">
        <f>SUMIFS(Data!$Y$2:$Y$2000,Data!$E$2:$E$2000,WeightCal!B65)</f>
        <v>361699805.53244096</v>
      </c>
      <c r="D65" s="10">
        <f>SUMIFS(Data!AA$2:AA$2000,Data!$E$2:$E$2000,WeightCal!$B65)</f>
        <v>1986585623.8607757</v>
      </c>
      <c r="E65" s="10">
        <f>SUMIFS(Data!AB$2:AB$2000,Data!$E$2:$E$2000,WeightCal!$B65)</f>
        <v>1625232.1005999302</v>
      </c>
      <c r="F65" s="10">
        <f>SUMIFS(Data!AC$2:AC$2000,Data!$E$2:$E$2000,WeightCal!$B65)</f>
        <v>145948112.16389221</v>
      </c>
      <c r="G65" s="10">
        <f>SUMIFS(Data!AD$2:AD$2000,Data!$E$2:$E$2000,WeightCal!$B65)</f>
        <v>273894462.37079579</v>
      </c>
      <c r="H65" s="10">
        <f>SUMIFS(Data!AE$2:AE$2000,Data!$E$2:$E$2000,WeightCal!$B65)</f>
        <v>476781613.19881445</v>
      </c>
      <c r="I65" s="10">
        <f>SUMIFS(Data!AF$2:AF$2000,Data!$E$2:$E$2000,WeightCal!$B65)</f>
        <v>2725981597.1831713</v>
      </c>
      <c r="J65" s="10">
        <f>SUMIFS(Data!AG$2:AG$2000,Data!$E$2:$E$2000,WeightCal!$B65)</f>
        <v>10042946752.584877</v>
      </c>
      <c r="K65" s="10">
        <f>SUMIFS(Data!AH$2:AH$2000,Data!$E$2:$E$2000,WeightCal!$B65)</f>
        <v>160696598.47159001</v>
      </c>
      <c r="L65" s="10">
        <f>SUMIFS(Data!AI$2:AI$2000,Data!$E$2:$E$2000,WeightCal!$B65)</f>
        <v>281159671.18178296</v>
      </c>
      <c r="M65" s="2">
        <f t="shared" si="1"/>
        <v>5.4923602210303049</v>
      </c>
      <c r="N65" s="2">
        <f t="shared" si="2"/>
        <v>4.4933175958098842E-3</v>
      </c>
      <c r="O65" s="2">
        <f t="shared" si="3"/>
        <v>0.40350619472700294</v>
      </c>
      <c r="P65" s="2">
        <f t="shared" si="4"/>
        <v>0.75724249275613753</v>
      </c>
      <c r="Q65" s="2">
        <f t="shared" si="5"/>
        <v>1.3181693932540746</v>
      </c>
      <c r="R65" s="2">
        <f t="shared" si="6"/>
        <v>7.5365857417876807</v>
      </c>
      <c r="S65" s="2">
        <f t="shared" si="7"/>
        <v>27.765972220530049</v>
      </c>
      <c r="T65" s="2">
        <f t="shared" si="8"/>
        <v>0.44428168335627455</v>
      </c>
      <c r="U65" s="2">
        <f t="shared" si="9"/>
        <v>0.77732878724637766</v>
      </c>
    </row>
    <row r="66" spans="1:21" x14ac:dyDescent="0.55000000000000004">
      <c r="A66" s="56"/>
      <c r="B66" s="6" t="s">
        <v>131</v>
      </c>
      <c r="C66" s="9">
        <f>SUMIFS(Data!$Y$2:$Y$2000,Data!$E$2:$E$2000,WeightCal!B66)</f>
        <v>440393080.77830505</v>
      </c>
      <c r="D66" s="10">
        <f>SUMIFS(Data!AA$2:AA$2000,Data!$E$2:$E$2000,WeightCal!$B66)</f>
        <v>1625904756.4223356</v>
      </c>
      <c r="E66" s="10">
        <f>SUMIFS(Data!AB$2:AB$2000,Data!$E$2:$E$2000,WeightCal!$B66)</f>
        <v>733353745.49387562</v>
      </c>
      <c r="F66" s="10">
        <f>SUMIFS(Data!AC$2:AC$2000,Data!$E$2:$E$2000,WeightCal!$B66)</f>
        <v>1116671362.533617</v>
      </c>
      <c r="G66" s="10">
        <f>SUMIFS(Data!AD$2:AD$2000,Data!$E$2:$E$2000,WeightCal!$B66)</f>
        <v>953378235.20941412</v>
      </c>
      <c r="H66" s="10">
        <f>SUMIFS(Data!AE$2:AE$2000,Data!$E$2:$E$2000,WeightCal!$B66)</f>
        <v>597639544.71332955</v>
      </c>
      <c r="I66" s="10">
        <f>SUMIFS(Data!AF$2:AF$2000,Data!$E$2:$E$2000,WeightCal!$B66)</f>
        <v>18626173481.575882</v>
      </c>
      <c r="J66" s="10">
        <f>SUMIFS(Data!AG$2:AG$2000,Data!$E$2:$E$2000,WeightCal!$B66)</f>
        <v>16158939265.16729</v>
      </c>
      <c r="K66" s="10">
        <f>SUMIFS(Data!AH$2:AH$2000,Data!$E$2:$E$2000,WeightCal!$B66)</f>
        <v>62609302.693001598</v>
      </c>
      <c r="L66" s="10">
        <f>SUMIFS(Data!AI$2:AI$2000,Data!$E$2:$E$2000,WeightCal!$B66)</f>
        <v>844496.39347649994</v>
      </c>
      <c r="M66" s="2">
        <f t="shared" si="1"/>
        <v>3.6919398314543912</v>
      </c>
      <c r="N66" s="2">
        <f t="shared" si="2"/>
        <v>1.6652254031735065</v>
      </c>
      <c r="O66" s="2">
        <f t="shared" si="3"/>
        <v>2.5356242213436411</v>
      </c>
      <c r="P66" s="2">
        <f t="shared" si="4"/>
        <v>2.1648347279310389</v>
      </c>
      <c r="Q66" s="2">
        <f t="shared" si="5"/>
        <v>1.3570593426607054</v>
      </c>
      <c r="R66" s="2">
        <f t="shared" si="6"/>
        <v>42.29442807924665</v>
      </c>
      <c r="S66" s="2">
        <f t="shared" si="7"/>
        <v>36.692082529111623</v>
      </c>
      <c r="T66" s="2">
        <f t="shared" si="8"/>
        <v>0.14216686279982513</v>
      </c>
      <c r="U66" s="2">
        <f t="shared" si="9"/>
        <v>1.9175968704685927E-3</v>
      </c>
    </row>
    <row r="67" spans="1:21" x14ac:dyDescent="0.55000000000000004">
      <c r="A67" s="56"/>
      <c r="B67" s="6" t="s">
        <v>129</v>
      </c>
      <c r="C67" s="9">
        <f>SUMIFS(Data!$Y$2:$Y$2000,Data!$E$2:$E$2000,WeightCal!B67)</f>
        <v>817124594.9123311</v>
      </c>
      <c r="D67" s="10">
        <f>SUMIFS(Data!AA$2:AA$2000,Data!$E$2:$E$2000,WeightCal!$B67)</f>
        <v>6285605248.2703629</v>
      </c>
      <c r="E67" s="10">
        <f>SUMIFS(Data!AB$2:AB$2000,Data!$E$2:$E$2000,WeightCal!$B67)</f>
        <v>3118820136.7664628</v>
      </c>
      <c r="F67" s="10">
        <f>SUMIFS(Data!AC$2:AC$2000,Data!$E$2:$E$2000,WeightCal!$B67)</f>
        <v>1976835045.4469543</v>
      </c>
      <c r="G67" s="10">
        <f>SUMIFS(Data!AD$2:AD$2000,Data!$E$2:$E$2000,WeightCal!$B67)</f>
        <v>1011496062.4584731</v>
      </c>
      <c r="H67" s="10">
        <f>SUMIFS(Data!AE$2:AE$2000,Data!$E$2:$E$2000,WeightCal!$B67)</f>
        <v>1869930027.3229446</v>
      </c>
      <c r="I67" s="10">
        <f>SUMIFS(Data!AF$2:AF$2000,Data!$E$2:$E$2000,WeightCal!$B67)</f>
        <v>27077022176.546021</v>
      </c>
      <c r="J67" s="10">
        <f>SUMIFS(Data!AG$2:AG$2000,Data!$E$2:$E$2000,WeightCal!$B67)</f>
        <v>27747447002.203331</v>
      </c>
      <c r="K67" s="10">
        <f>SUMIFS(Data!AH$2:AH$2000,Data!$E$2:$E$2000,WeightCal!$B67)</f>
        <v>243852775.66611743</v>
      </c>
      <c r="L67" s="10">
        <f>SUMIFS(Data!AI$2:AI$2000,Data!$E$2:$E$2000,WeightCal!$B67)</f>
        <v>18630204.400225598</v>
      </c>
      <c r="M67" s="2">
        <f t="shared" si="1"/>
        <v>7.6923461702248019</v>
      </c>
      <c r="N67" s="2">
        <f t="shared" si="2"/>
        <v>3.8168232313470867</v>
      </c>
      <c r="O67" s="2">
        <f t="shared" si="3"/>
        <v>2.4192577946562088</v>
      </c>
      <c r="P67" s="2">
        <f t="shared" si="4"/>
        <v>1.2378724967481807</v>
      </c>
      <c r="Q67" s="2">
        <f t="shared" si="5"/>
        <v>2.2884270513526381</v>
      </c>
      <c r="R67" s="2">
        <f t="shared" si="6"/>
        <v>33.136956524299826</v>
      </c>
      <c r="S67" s="2">
        <f t="shared" si="7"/>
        <v>33.957424822318977</v>
      </c>
      <c r="T67" s="2">
        <f t="shared" si="8"/>
        <v>0.29842789849237161</v>
      </c>
      <c r="U67" s="2">
        <f t="shared" si="9"/>
        <v>2.2799710737166617E-2</v>
      </c>
    </row>
    <row r="68" spans="1:21" x14ac:dyDescent="0.55000000000000004">
      <c r="A68" s="57"/>
      <c r="B68" s="6" t="s">
        <v>135</v>
      </c>
      <c r="C68" s="9">
        <f>SUMIFS(Data!$Y$2:$Y$2000,Data!$E$2:$E$2000,WeightCal!B68)</f>
        <v>522073971.5744049</v>
      </c>
      <c r="D68" s="10">
        <f>SUMIFS(Data!AA$2:AA$2000,Data!$E$2:$E$2000,WeightCal!$B68)</f>
        <v>677153350.04320681</v>
      </c>
      <c r="E68" s="10">
        <f>SUMIFS(Data!AB$2:AB$2000,Data!$E$2:$E$2000,WeightCal!$B68)</f>
        <v>102149327.23576076</v>
      </c>
      <c r="F68" s="10">
        <f>SUMIFS(Data!AC$2:AC$2000,Data!$E$2:$E$2000,WeightCal!$B68)</f>
        <v>2053175323.1888373</v>
      </c>
      <c r="G68" s="10">
        <f>SUMIFS(Data!AD$2:AD$2000,Data!$E$2:$E$2000,WeightCal!$B68)</f>
        <v>930242187.19080663</v>
      </c>
      <c r="H68" s="10">
        <f>SUMIFS(Data!AE$2:AE$2000,Data!$E$2:$E$2000,WeightCal!$B68)</f>
        <v>484914636.5127579</v>
      </c>
      <c r="I68" s="10">
        <f>SUMIFS(Data!AF$2:AF$2000,Data!$E$2:$E$2000,WeightCal!$B68)</f>
        <v>7853823133.2237396</v>
      </c>
      <c r="J68" s="10">
        <f>SUMIFS(Data!AG$2:AG$2000,Data!$E$2:$E$2000,WeightCal!$B68)</f>
        <v>11410022054.977091</v>
      </c>
      <c r="K68" s="10">
        <f>SUMIFS(Data!AH$2:AH$2000,Data!$E$2:$E$2000,WeightCal!$B68)</f>
        <v>19767427.046157651</v>
      </c>
      <c r="L68" s="10">
        <f>SUMIFS(Data!AI$2:AI$2000,Data!$E$2:$E$2000,WeightCal!$B68)</f>
        <v>5179813.8633120004</v>
      </c>
      <c r="M68" s="2">
        <f t="shared" ref="M68" si="10">+D68/$C68</f>
        <v>1.297044838303532</v>
      </c>
      <c r="N68" s="2">
        <f t="shared" ref="N68" si="11">+E68/$C68</f>
        <v>0.19566063967470299</v>
      </c>
      <c r="O68" s="2">
        <f t="shared" ref="O68" si="12">+F68/$C68</f>
        <v>3.9327287606335362</v>
      </c>
      <c r="P68" s="2">
        <f t="shared" ref="P68" si="13">+G68/$C68</f>
        <v>1.7818206573016837</v>
      </c>
      <c r="Q68" s="2">
        <f t="shared" ref="Q68" si="14">+H68/$C68</f>
        <v>0.92882362062681167</v>
      </c>
      <c r="R68" s="2">
        <f t="shared" ref="R68" si="15">+I68/$C68</f>
        <v>15.043506401093257</v>
      </c>
      <c r="S68" s="2">
        <f t="shared" ref="S68" si="16">+J68/$C68</f>
        <v>21.855182744637094</v>
      </c>
      <c r="T68" s="2">
        <f t="shared" ref="T68" si="17">+K68/$C68</f>
        <v>3.7863268660081897E-2</v>
      </c>
      <c r="U68" s="2">
        <f t="shared" ref="U68" si="18">+L68/$C68</f>
        <v>9.9216090924651359E-3</v>
      </c>
    </row>
    <row r="69" spans="1:21" x14ac:dyDescent="0.55000000000000004">
      <c r="A69" s="52" t="s">
        <v>170</v>
      </c>
      <c r="B69" s="52"/>
      <c r="D69" s="10"/>
      <c r="E69" s="10"/>
      <c r="F69" s="10"/>
      <c r="G69" s="10"/>
      <c r="H69" s="10"/>
      <c r="I69" s="10"/>
      <c r="J69" s="10"/>
      <c r="K69" s="10"/>
      <c r="L69" s="10"/>
      <c r="M69" s="2"/>
      <c r="N69" s="2"/>
      <c r="O69" s="2"/>
      <c r="P69" s="2"/>
      <c r="Q69" s="2"/>
      <c r="R69" s="2"/>
      <c r="S69" s="2"/>
      <c r="T69" s="2"/>
      <c r="U69" s="2"/>
    </row>
  </sheetData>
  <mergeCells count="11">
    <mergeCell ref="M1:U1"/>
    <mergeCell ref="A42:A48"/>
    <mergeCell ref="A65:A68"/>
    <mergeCell ref="A58:A64"/>
    <mergeCell ref="A24:A31"/>
    <mergeCell ref="A49:A57"/>
    <mergeCell ref="A69:B69"/>
    <mergeCell ref="A32:A41"/>
    <mergeCell ref="A3:A13"/>
    <mergeCell ref="A14:A23"/>
    <mergeCell ref="D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D3F5-6248-466B-A473-F4C780EAA04E}">
  <sheetPr>
    <tabColor rgb="FFFFFF00"/>
  </sheetPr>
  <dimension ref="A1:N74"/>
  <sheetViews>
    <sheetView topLeftCell="A52" workbookViewId="0">
      <selection activeCell="F77" sqref="F77"/>
    </sheetView>
  </sheetViews>
  <sheetFormatPr defaultRowHeight="24" x14ac:dyDescent="0.55000000000000004"/>
  <cols>
    <col min="1" max="1" width="11.625" bestFit="1" customWidth="1"/>
    <col min="2" max="2" width="15.5" bestFit="1" customWidth="1"/>
    <col min="3" max="3" width="15.5" hidden="1" customWidth="1"/>
    <col min="4" max="5" width="10.125" bestFit="1" customWidth="1"/>
    <col min="6" max="6" width="10.25" bestFit="1" customWidth="1"/>
    <col min="7" max="8" width="10.125" bestFit="1" customWidth="1"/>
    <col min="9" max="9" width="9.125" bestFit="1" customWidth="1"/>
    <col min="10" max="12" width="9.25" bestFit="1" customWidth="1"/>
  </cols>
  <sheetData>
    <row r="1" spans="1:14" ht="38.25" customHeight="1" x14ac:dyDescent="0.7">
      <c r="A1" s="58" t="s">
        <v>229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4" x14ac:dyDescent="0.55000000000000004">
      <c r="A2" s="53" t="s">
        <v>168</v>
      </c>
      <c r="B2" s="53" t="s">
        <v>169</v>
      </c>
      <c r="C2" s="53" t="s">
        <v>169</v>
      </c>
      <c r="D2" s="59" t="s">
        <v>177</v>
      </c>
      <c r="E2" s="59"/>
      <c r="F2" s="59"/>
      <c r="G2" s="59"/>
      <c r="H2" s="59"/>
      <c r="I2" s="59"/>
      <c r="J2" s="59"/>
      <c r="K2" s="59"/>
      <c r="L2" s="59"/>
    </row>
    <row r="3" spans="1:14" x14ac:dyDescent="0.55000000000000004">
      <c r="A3" s="53"/>
      <c r="B3" s="53"/>
      <c r="C3" s="53"/>
      <c r="D3" s="5" t="s">
        <v>178</v>
      </c>
      <c r="E3" s="5" t="s">
        <v>179</v>
      </c>
      <c r="F3" s="5" t="s">
        <v>180</v>
      </c>
      <c r="G3" s="5" t="s">
        <v>181</v>
      </c>
      <c r="H3" s="5" t="s">
        <v>182</v>
      </c>
      <c r="I3" s="5" t="s">
        <v>183</v>
      </c>
      <c r="J3" s="5" t="s">
        <v>184</v>
      </c>
      <c r="K3" s="5" t="s">
        <v>185</v>
      </c>
      <c r="L3" s="5" t="s">
        <v>186</v>
      </c>
    </row>
    <row r="4" spans="1:14" x14ac:dyDescent="0.55000000000000004">
      <c r="A4" s="53"/>
      <c r="B4" s="53"/>
      <c r="C4" s="53"/>
      <c r="D4" s="51">
        <v>45562</v>
      </c>
      <c r="E4" s="51">
        <f>+D4+1</f>
        <v>45563</v>
      </c>
      <c r="F4" s="51">
        <f t="shared" ref="F4:L4" si="0">+E4+1</f>
        <v>45564</v>
      </c>
      <c r="G4" s="51">
        <f t="shared" si="0"/>
        <v>45565</v>
      </c>
      <c r="H4" s="51">
        <f t="shared" si="0"/>
        <v>45566</v>
      </c>
      <c r="I4" s="51">
        <f t="shared" si="0"/>
        <v>45567</v>
      </c>
      <c r="J4" s="51">
        <f t="shared" si="0"/>
        <v>45568</v>
      </c>
      <c r="K4" s="51">
        <f t="shared" si="0"/>
        <v>45569</v>
      </c>
      <c r="L4" s="51">
        <f t="shared" si="0"/>
        <v>45570</v>
      </c>
      <c r="M4" s="11"/>
      <c r="N4" s="11"/>
    </row>
    <row r="5" spans="1:14" x14ac:dyDescent="0.55000000000000004">
      <c r="A5" s="57" t="s">
        <v>163</v>
      </c>
      <c r="B5" s="12" t="s">
        <v>113</v>
      </c>
      <c r="C5" s="12" t="s">
        <v>113</v>
      </c>
      <c r="D5" s="4">
        <f>+WeightCal!M3</f>
        <v>59.706233067385966</v>
      </c>
      <c r="E5" s="4">
        <f>+WeightCal!N3</f>
        <v>2.1021633353553155</v>
      </c>
      <c r="F5" s="4">
        <f>+WeightCal!O3</f>
        <v>7.8959769582063641</v>
      </c>
      <c r="G5" s="4">
        <f>+WeightCal!P3</f>
        <v>0.14258574519914263</v>
      </c>
      <c r="H5" s="4">
        <f>+WeightCal!Q3</f>
        <v>1.299598292486702</v>
      </c>
      <c r="I5" s="4">
        <f>+WeightCal!R3</f>
        <v>12.111040021240822</v>
      </c>
      <c r="J5" s="4">
        <f>+WeightCal!S3</f>
        <v>30.504500002221004</v>
      </c>
      <c r="K5" s="4">
        <f>+WeightCal!T3</f>
        <v>4.1380457114359465E-3</v>
      </c>
      <c r="L5" s="4">
        <f>+WeightCal!U3</f>
        <v>0</v>
      </c>
    </row>
    <row r="6" spans="1:14" x14ac:dyDescent="0.55000000000000004">
      <c r="A6" s="53"/>
      <c r="B6" s="6" t="s">
        <v>111</v>
      </c>
      <c r="C6" s="6" t="s">
        <v>111</v>
      </c>
      <c r="D6" s="4">
        <f>+WeightCal!M4</f>
        <v>10.352767981262124</v>
      </c>
      <c r="E6" s="4">
        <f>+WeightCal!N4</f>
        <v>4.0059375091011997</v>
      </c>
      <c r="F6" s="4">
        <f>+WeightCal!O4</f>
        <v>2.2455870705511485</v>
      </c>
      <c r="G6" s="4">
        <f>+WeightCal!P4</f>
        <v>0.53955482744696748</v>
      </c>
      <c r="H6" s="4">
        <f>+WeightCal!Q4</f>
        <v>7.0213853378140785</v>
      </c>
      <c r="I6" s="4">
        <f>+WeightCal!R4</f>
        <v>10.351372362708929</v>
      </c>
      <c r="J6" s="4">
        <f>+WeightCal!S4</f>
        <v>23.687620922858411</v>
      </c>
      <c r="K6" s="4">
        <f>+WeightCal!T4</f>
        <v>0.67261403206105685</v>
      </c>
      <c r="L6" s="4">
        <f>+WeightCal!U4</f>
        <v>1.3431858896717995E-2</v>
      </c>
    </row>
    <row r="7" spans="1:14" x14ac:dyDescent="0.55000000000000004">
      <c r="A7" s="53"/>
      <c r="B7" s="6" t="s">
        <v>95</v>
      </c>
      <c r="C7" s="6" t="s">
        <v>95</v>
      </c>
      <c r="D7" s="4">
        <f>+WeightCal!M5</f>
        <v>44.954346301473343</v>
      </c>
      <c r="E7" s="4">
        <f>+WeightCal!N5</f>
        <v>1.6329144117110657</v>
      </c>
      <c r="F7" s="4">
        <f>+WeightCal!O5</f>
        <v>8.370350325497272</v>
      </c>
      <c r="G7" s="4">
        <f>+WeightCal!P5</f>
        <v>7.1943865623016343E-2</v>
      </c>
      <c r="H7" s="4">
        <f>+WeightCal!Q5</f>
        <v>1.5365470358623401</v>
      </c>
      <c r="I7" s="4">
        <f>+WeightCal!R5</f>
        <v>14.782891683173652</v>
      </c>
      <c r="J7" s="4">
        <f>+WeightCal!S5</f>
        <v>22.965436155552606</v>
      </c>
      <c r="K7" s="4">
        <f>+WeightCal!T5</f>
        <v>0.21137803778847561</v>
      </c>
      <c r="L7" s="4">
        <f>+WeightCal!U5</f>
        <v>0</v>
      </c>
    </row>
    <row r="8" spans="1:14" x14ac:dyDescent="0.55000000000000004">
      <c r="A8" s="53"/>
      <c r="B8" s="6" t="s">
        <v>97</v>
      </c>
      <c r="C8" s="6" t="s">
        <v>97</v>
      </c>
      <c r="D8" s="4">
        <f>+WeightCal!M6</f>
        <v>13.801366802444567</v>
      </c>
      <c r="E8" s="4">
        <f>+WeightCal!N6</f>
        <v>0.12393173680151162</v>
      </c>
      <c r="F8" s="4">
        <f>+WeightCal!O6</f>
        <v>29.777502736815901</v>
      </c>
      <c r="G8" s="4">
        <f>+WeightCal!P6</f>
        <v>0.79250131294251736</v>
      </c>
      <c r="H8" s="4">
        <f>+WeightCal!Q6</f>
        <v>0.53349997679203776</v>
      </c>
      <c r="I8" s="4">
        <f>+WeightCal!R6</f>
        <v>13.202341608045838</v>
      </c>
      <c r="J8" s="4">
        <f>+WeightCal!S6</f>
        <v>6.2498233051453687</v>
      </c>
      <c r="K8" s="4">
        <f>+WeightCal!T6</f>
        <v>0</v>
      </c>
      <c r="L8" s="4">
        <f>+WeightCal!U6</f>
        <v>0</v>
      </c>
    </row>
    <row r="9" spans="1:14" x14ac:dyDescent="0.55000000000000004">
      <c r="A9" s="53"/>
      <c r="B9" s="6" t="s">
        <v>99</v>
      </c>
      <c r="C9" s="6" t="s">
        <v>99</v>
      </c>
      <c r="D9" s="4">
        <f>+WeightCal!M7</f>
        <v>5.0347279788326631</v>
      </c>
      <c r="E9" s="4">
        <f>+WeightCal!N7</f>
        <v>5.3014892558874722</v>
      </c>
      <c r="F9" s="4">
        <f>+WeightCal!O7</f>
        <v>1.9575286470729059</v>
      </c>
      <c r="G9" s="4">
        <f>+WeightCal!P7</f>
        <v>10.770970636613098</v>
      </c>
      <c r="H9" s="4">
        <f>+WeightCal!Q7</f>
        <v>3.038750429154025</v>
      </c>
      <c r="I9" s="4">
        <f>+WeightCal!R7</f>
        <v>18.800385530042973</v>
      </c>
      <c r="J9" s="4">
        <f>+WeightCal!S7</f>
        <v>9.2480215305498206</v>
      </c>
      <c r="K9" s="4">
        <f>+WeightCal!T7</f>
        <v>0.17540667493921686</v>
      </c>
      <c r="L9" s="4">
        <f>+WeightCal!U7</f>
        <v>0</v>
      </c>
    </row>
    <row r="10" spans="1:14" x14ac:dyDescent="0.55000000000000004">
      <c r="A10" s="53"/>
      <c r="B10" s="6" t="s">
        <v>101</v>
      </c>
      <c r="C10" s="6" t="s">
        <v>101</v>
      </c>
      <c r="D10" s="4">
        <f>+WeightCal!M8</f>
        <v>12.983451646750362</v>
      </c>
      <c r="E10" s="4">
        <f>+WeightCal!N8</f>
        <v>0.96974464687674566</v>
      </c>
      <c r="F10" s="4">
        <f>+WeightCal!O8</f>
        <v>1.6695988153818233</v>
      </c>
      <c r="G10" s="4">
        <f>+WeightCal!P8</f>
        <v>4.3060818719287042</v>
      </c>
      <c r="H10" s="4">
        <f>+WeightCal!Q8</f>
        <v>1.3064574650285778</v>
      </c>
      <c r="I10" s="4">
        <f>+WeightCal!R8</f>
        <v>10.55619483584236</v>
      </c>
      <c r="J10" s="4">
        <f>+WeightCal!S8</f>
        <v>16.953442541312477</v>
      </c>
      <c r="K10" s="4">
        <f>+WeightCal!T8</f>
        <v>0.14963773346645703</v>
      </c>
      <c r="L10" s="4">
        <f>+WeightCal!U8</f>
        <v>7.1072950103302703E-4</v>
      </c>
    </row>
    <row r="11" spans="1:14" x14ac:dyDescent="0.55000000000000004">
      <c r="A11" s="53"/>
      <c r="B11" s="6" t="s">
        <v>109</v>
      </c>
      <c r="C11" s="6" t="s">
        <v>109</v>
      </c>
      <c r="D11" s="4">
        <f>+WeightCal!M9</f>
        <v>39.864448724890465</v>
      </c>
      <c r="E11" s="4">
        <f>+WeightCal!N9</f>
        <v>2.7956980736182797</v>
      </c>
      <c r="F11" s="4">
        <f>+WeightCal!O9</f>
        <v>0.59393463167010119</v>
      </c>
      <c r="G11" s="4">
        <f>+WeightCal!P9</f>
        <v>2.4299900171346889</v>
      </c>
      <c r="H11" s="4">
        <f>+WeightCal!Q9</f>
        <v>1.889396723223004</v>
      </c>
      <c r="I11" s="4">
        <f>+WeightCal!R9</f>
        <v>13.194534243828064</v>
      </c>
      <c r="J11" s="4">
        <f>+WeightCal!S9</f>
        <v>20.056460007869585</v>
      </c>
      <c r="K11" s="4">
        <f>+WeightCal!T9</f>
        <v>0.22786993777607573</v>
      </c>
      <c r="L11" s="4">
        <f>+WeightCal!U9</f>
        <v>1.6271892157766532E-2</v>
      </c>
    </row>
    <row r="12" spans="1:14" x14ac:dyDescent="0.55000000000000004">
      <c r="A12" s="53"/>
      <c r="B12" s="6" t="s">
        <v>103</v>
      </c>
      <c r="C12" s="6" t="s">
        <v>103</v>
      </c>
      <c r="D12" s="4">
        <f>+WeightCal!M10</f>
        <v>15.875250527001718</v>
      </c>
      <c r="E12" s="4">
        <f>+WeightCal!N10</f>
        <v>3.9874040482323485</v>
      </c>
      <c r="F12" s="4">
        <f>+WeightCal!O10</f>
        <v>6.8265637254925942</v>
      </c>
      <c r="G12" s="4">
        <f>+WeightCal!P10</f>
        <v>5.2350736863526963</v>
      </c>
      <c r="H12" s="4">
        <f>+WeightCal!Q10</f>
        <v>1.1245810356470138</v>
      </c>
      <c r="I12" s="4">
        <f>+WeightCal!R10</f>
        <v>11.21092228688639</v>
      </c>
      <c r="J12" s="4">
        <f>+WeightCal!S10</f>
        <v>9.4449733237289344</v>
      </c>
      <c r="K12" s="4">
        <f>+WeightCal!T10</f>
        <v>6.4530557581352088</v>
      </c>
      <c r="L12" s="4">
        <f>+WeightCal!U10</f>
        <v>4.6248460341975314E-2</v>
      </c>
    </row>
    <row r="13" spans="1:14" x14ac:dyDescent="0.55000000000000004">
      <c r="A13" s="53"/>
      <c r="B13" s="6" t="s">
        <v>93</v>
      </c>
      <c r="C13" s="6" t="s">
        <v>93</v>
      </c>
      <c r="D13" s="4">
        <f>+WeightCal!M11</f>
        <v>15.297487021243782</v>
      </c>
      <c r="E13" s="4">
        <f>+WeightCal!N11</f>
        <v>0.90099159141865859</v>
      </c>
      <c r="F13" s="4">
        <f>+WeightCal!O11</f>
        <v>11.62557259408487</v>
      </c>
      <c r="G13" s="4">
        <f>+WeightCal!P11</f>
        <v>1.8549630299243509</v>
      </c>
      <c r="H13" s="4">
        <f>+WeightCal!Q11</f>
        <v>1.7285107737224044</v>
      </c>
      <c r="I13" s="4">
        <f>+WeightCal!R11</f>
        <v>15.220366679774912</v>
      </c>
      <c r="J13" s="4">
        <f>+WeightCal!S11</f>
        <v>19.184928003384083</v>
      </c>
      <c r="K13" s="4">
        <f>+WeightCal!T11</f>
        <v>0.10119915679295777</v>
      </c>
      <c r="L13" s="4">
        <f>+WeightCal!U11</f>
        <v>0</v>
      </c>
    </row>
    <row r="14" spans="1:14" x14ac:dyDescent="0.55000000000000004">
      <c r="A14" s="53"/>
      <c r="B14" s="6" t="s">
        <v>105</v>
      </c>
      <c r="C14" s="6" t="s">
        <v>105</v>
      </c>
      <c r="D14" s="4">
        <f>+WeightCal!M12</f>
        <v>31.896397196240777</v>
      </c>
      <c r="E14" s="4">
        <f>+WeightCal!N12</f>
        <v>3.9405063878586786</v>
      </c>
      <c r="F14" s="4">
        <f>+WeightCal!O12</f>
        <v>9.7985949685838047</v>
      </c>
      <c r="G14" s="4">
        <f>+WeightCal!P12</f>
        <v>4.9577412125369105E-2</v>
      </c>
      <c r="H14" s="4">
        <f>+WeightCal!Q12</f>
        <v>0.61360233681603249</v>
      </c>
      <c r="I14" s="4">
        <f>+WeightCal!R12</f>
        <v>9.5067889621365858</v>
      </c>
      <c r="J14" s="4">
        <f>+WeightCal!S12</f>
        <v>18.460776081936903</v>
      </c>
      <c r="K14" s="4">
        <f>+WeightCal!T12</f>
        <v>0.43232046332848617</v>
      </c>
      <c r="L14" s="4">
        <f>+WeightCal!U12</f>
        <v>2.4503701547016667E-3</v>
      </c>
    </row>
    <row r="15" spans="1:14" x14ac:dyDescent="0.55000000000000004">
      <c r="A15" s="53"/>
      <c r="B15" s="6" t="s">
        <v>107</v>
      </c>
      <c r="C15" s="6" t="s">
        <v>107</v>
      </c>
      <c r="D15" s="4">
        <f>+WeightCal!M13</f>
        <v>4.9969129414722522</v>
      </c>
      <c r="E15" s="4">
        <f>+WeightCal!N13</f>
        <v>7.942980856804442</v>
      </c>
      <c r="F15" s="4">
        <f>+WeightCal!O13</f>
        <v>1.6962704874048526</v>
      </c>
      <c r="G15" s="4">
        <f>+WeightCal!P13</f>
        <v>0.39946742628360826</v>
      </c>
      <c r="H15" s="4">
        <f>+WeightCal!Q13</f>
        <v>0.92618451893216003</v>
      </c>
      <c r="I15" s="4">
        <f>+WeightCal!R13</f>
        <v>8.1110960566619266</v>
      </c>
      <c r="J15" s="4">
        <f>+WeightCal!S13</f>
        <v>14.916259262161367</v>
      </c>
      <c r="K15" s="4">
        <f>+WeightCal!T13</f>
        <v>0.59298271880530962</v>
      </c>
      <c r="L15" s="4">
        <f>+WeightCal!U13</f>
        <v>8.8709602996469863E-2</v>
      </c>
    </row>
    <row r="16" spans="1:14" x14ac:dyDescent="0.55000000000000004">
      <c r="A16" s="53" t="s">
        <v>159</v>
      </c>
      <c r="B16" s="6" t="s">
        <v>41</v>
      </c>
      <c r="C16" s="6" t="s">
        <v>41</v>
      </c>
      <c r="D16" s="4">
        <f>+WeightCal!M14</f>
        <v>12.996689067049507</v>
      </c>
      <c r="E16" s="4">
        <f>+WeightCal!N14</f>
        <v>4.4824720969804763E-2</v>
      </c>
      <c r="F16" s="4">
        <f>+WeightCal!O14</f>
        <v>0.74273465209411882</v>
      </c>
      <c r="G16" s="4">
        <f>+WeightCal!P14</f>
        <v>1.4868634847717341</v>
      </c>
      <c r="H16" s="4">
        <f>+WeightCal!Q14</f>
        <v>0.69756569802292545</v>
      </c>
      <c r="I16" s="4">
        <f>+WeightCal!R14</f>
        <v>11.678830540700888</v>
      </c>
      <c r="J16" s="4">
        <f>+WeightCal!S14</f>
        <v>8.5287443822171856</v>
      </c>
      <c r="K16" s="4">
        <f>+WeightCal!T14</f>
        <v>5.5813941093240949E-3</v>
      </c>
      <c r="L16" s="4">
        <f>+WeightCal!U14</f>
        <v>0</v>
      </c>
    </row>
    <row r="17" spans="1:12" x14ac:dyDescent="0.55000000000000004">
      <c r="A17" s="53"/>
      <c r="B17" s="6" t="s">
        <v>39</v>
      </c>
      <c r="C17" s="6" t="s">
        <v>39</v>
      </c>
      <c r="D17" s="4">
        <f>+WeightCal!M15</f>
        <v>2.4160874754749422</v>
      </c>
      <c r="E17" s="4">
        <f>+WeightCal!N15</f>
        <v>0.30221256401946461</v>
      </c>
      <c r="F17" s="4">
        <f>+WeightCal!O15</f>
        <v>1.6811438203950815</v>
      </c>
      <c r="G17" s="4">
        <f>+WeightCal!P15</f>
        <v>3.2528140605425802</v>
      </c>
      <c r="H17" s="4">
        <f>+WeightCal!Q15</f>
        <v>5.8190239688681142</v>
      </c>
      <c r="I17" s="4">
        <f>+WeightCal!R15</f>
        <v>21.934792774972227</v>
      </c>
      <c r="J17" s="4">
        <f>+WeightCal!S15</f>
        <v>10.908794865636958</v>
      </c>
      <c r="K17" s="4">
        <f>+WeightCal!T15</f>
        <v>3.9564146495683445</v>
      </c>
      <c r="L17" s="4">
        <f>+WeightCal!U15</f>
        <v>7.9840790353066668E-2</v>
      </c>
    </row>
    <row r="18" spans="1:12" x14ac:dyDescent="0.55000000000000004">
      <c r="A18" s="53"/>
      <c r="B18" s="6" t="s">
        <v>27</v>
      </c>
      <c r="C18" s="6" t="s">
        <v>27</v>
      </c>
      <c r="D18" s="4">
        <f>+WeightCal!M16</f>
        <v>0.75345514160302263</v>
      </c>
      <c r="E18" s="4">
        <f>+WeightCal!N16</f>
        <v>2.8632447189044323</v>
      </c>
      <c r="F18" s="4">
        <f>+WeightCal!O16</f>
        <v>1.9378893906912547</v>
      </c>
      <c r="G18" s="4">
        <f>+WeightCal!P16</f>
        <v>0.22487522550387642</v>
      </c>
      <c r="H18" s="4">
        <f>+WeightCal!Q16</f>
        <v>3.5251466213058791</v>
      </c>
      <c r="I18" s="4">
        <f>+WeightCal!R16</f>
        <v>27.285629988085475</v>
      </c>
      <c r="J18" s="4">
        <f>+WeightCal!S16</f>
        <v>8.6305919338649471</v>
      </c>
      <c r="K18" s="4">
        <f>+WeightCal!T16</f>
        <v>25.474662595763572</v>
      </c>
      <c r="L18" s="4">
        <f>+WeightCal!U16</f>
        <v>3.4961526786328041</v>
      </c>
    </row>
    <row r="19" spans="1:12" x14ac:dyDescent="0.55000000000000004">
      <c r="A19" s="53"/>
      <c r="B19" s="6" t="s">
        <v>23</v>
      </c>
      <c r="C19" s="6" t="s">
        <v>23</v>
      </c>
      <c r="D19" s="4">
        <f>+WeightCal!M17</f>
        <v>0.84487019725571244</v>
      </c>
      <c r="E19" s="4">
        <f>+WeightCal!N17</f>
        <v>6.155884938757219</v>
      </c>
      <c r="F19" s="4">
        <f>+WeightCal!O17</f>
        <v>7.2198679817421016</v>
      </c>
      <c r="G19" s="4">
        <f>+WeightCal!P17</f>
        <v>6.7451708944357867</v>
      </c>
      <c r="H19" s="4">
        <f>+WeightCal!Q17</f>
        <v>0.27343026805194398</v>
      </c>
      <c r="I19" s="4">
        <f>+WeightCal!R17</f>
        <v>54.972985726693139</v>
      </c>
      <c r="J19" s="4">
        <f>+WeightCal!S17</f>
        <v>4.3073337158624136</v>
      </c>
      <c r="K19" s="4">
        <f>+WeightCal!T17</f>
        <v>1.5691077793576051</v>
      </c>
      <c r="L19" s="4">
        <f>+WeightCal!U17</f>
        <v>0</v>
      </c>
    </row>
    <row r="20" spans="1:12" x14ac:dyDescent="0.55000000000000004">
      <c r="A20" s="53"/>
      <c r="B20" s="6" t="s">
        <v>31</v>
      </c>
      <c r="C20" s="6" t="s">
        <v>31</v>
      </c>
      <c r="D20" s="4">
        <f>+WeightCal!M18</f>
        <v>8.3452558687373291</v>
      </c>
      <c r="E20" s="4">
        <f>+WeightCal!N18</f>
        <v>3.9639028262148392</v>
      </c>
      <c r="F20" s="4">
        <f>+WeightCal!O18</f>
        <v>2.1165557889895226</v>
      </c>
      <c r="G20" s="4">
        <f>+WeightCal!P18</f>
        <v>9.1960875089165945</v>
      </c>
      <c r="H20" s="4">
        <f>+WeightCal!Q18</f>
        <v>0.62126250056297605</v>
      </c>
      <c r="I20" s="4">
        <f>+WeightCal!R18</f>
        <v>19.226554001702919</v>
      </c>
      <c r="J20" s="4">
        <f>+WeightCal!S18</f>
        <v>3.6528843656357521</v>
      </c>
      <c r="K20" s="4">
        <f>+WeightCal!T18</f>
        <v>6.6887528562787789E-3</v>
      </c>
      <c r="L20" s="4">
        <f>+WeightCal!U18</f>
        <v>8.336605336382478E-5</v>
      </c>
    </row>
    <row r="21" spans="1:12" x14ac:dyDescent="0.55000000000000004">
      <c r="A21" s="53"/>
      <c r="B21" s="6" t="s">
        <v>29</v>
      </c>
      <c r="C21" s="6" t="s">
        <v>29</v>
      </c>
      <c r="D21" s="4">
        <f>+WeightCal!M19</f>
        <v>2.0854046784093443</v>
      </c>
      <c r="E21" s="4">
        <f>+WeightCal!N19</f>
        <v>28.077011570241606</v>
      </c>
      <c r="F21" s="4">
        <f>+WeightCal!O19</f>
        <v>10.580298929586606</v>
      </c>
      <c r="G21" s="4">
        <f>+WeightCal!P19</f>
        <v>3.1643289869599438</v>
      </c>
      <c r="H21" s="4">
        <f>+WeightCal!Q19</f>
        <v>0.26304141026382988</v>
      </c>
      <c r="I21" s="4">
        <f>+WeightCal!R19</f>
        <v>53.593599653287072</v>
      </c>
      <c r="J21" s="4">
        <f>+WeightCal!S19</f>
        <v>2.3516156304105076</v>
      </c>
      <c r="K21" s="4">
        <f>+WeightCal!T19</f>
        <v>2.2727034838801823E-4</v>
      </c>
      <c r="L21" s="4">
        <f>+WeightCal!U19</f>
        <v>0</v>
      </c>
    </row>
    <row r="22" spans="1:12" x14ac:dyDescent="0.55000000000000004">
      <c r="A22" s="53"/>
      <c r="B22" s="6" t="s">
        <v>21</v>
      </c>
      <c r="C22" s="6" t="s">
        <v>21</v>
      </c>
      <c r="D22" s="4">
        <f>+WeightCal!M20</f>
        <v>1.5419595301093934</v>
      </c>
      <c r="E22" s="4">
        <f>+WeightCal!N20</f>
        <v>14.055566825126684</v>
      </c>
      <c r="F22" s="4">
        <f>+WeightCal!O20</f>
        <v>6.0162060010531135</v>
      </c>
      <c r="G22" s="4">
        <f>+WeightCal!P20</f>
        <v>2.8339935043048849</v>
      </c>
      <c r="H22" s="4">
        <f>+WeightCal!Q20</f>
        <v>1.1614247502024382</v>
      </c>
      <c r="I22" s="4">
        <f>+WeightCal!R20</f>
        <v>35.600895149286664</v>
      </c>
      <c r="J22" s="4">
        <f>+WeightCal!S20</f>
        <v>3.9218711337755412</v>
      </c>
      <c r="K22" s="4">
        <f>+WeightCal!T20</f>
        <v>0.37137598451816239</v>
      </c>
      <c r="L22" s="4">
        <f>+WeightCal!U20</f>
        <v>1.5609756855564285E-2</v>
      </c>
    </row>
    <row r="23" spans="1:12" x14ac:dyDescent="0.55000000000000004">
      <c r="A23" s="53"/>
      <c r="B23" s="6" t="s">
        <v>33</v>
      </c>
      <c r="C23" s="6" t="s">
        <v>33</v>
      </c>
      <c r="D23" s="4">
        <f>+WeightCal!M21</f>
        <v>2.5812827618200358</v>
      </c>
      <c r="E23" s="4">
        <f>+WeightCal!N21</f>
        <v>2.0694171796417931</v>
      </c>
      <c r="F23" s="4">
        <f>+WeightCal!O21</f>
        <v>9.4431278314721592</v>
      </c>
      <c r="G23" s="4">
        <f>+WeightCal!P21</f>
        <v>3.5086831972136321</v>
      </c>
      <c r="H23" s="4">
        <f>+WeightCal!Q21</f>
        <v>0.47673925145762819</v>
      </c>
      <c r="I23" s="4">
        <f>+WeightCal!R21</f>
        <v>45.415393982547286</v>
      </c>
      <c r="J23" s="4">
        <f>+WeightCal!S21</f>
        <v>4.0542695181155901</v>
      </c>
      <c r="K23" s="4">
        <f>+WeightCal!T21</f>
        <v>6.1813860476340023</v>
      </c>
      <c r="L23" s="4">
        <f>+WeightCal!U21</f>
        <v>0.18128681741991484</v>
      </c>
    </row>
    <row r="24" spans="1:12" x14ac:dyDescent="0.55000000000000004">
      <c r="A24" s="53"/>
      <c r="B24" s="6" t="s">
        <v>37</v>
      </c>
      <c r="C24" s="6" t="s">
        <v>37</v>
      </c>
      <c r="D24" s="4">
        <f>+WeightCal!M22</f>
        <v>1.6763693552046979</v>
      </c>
      <c r="E24" s="4">
        <f>+WeightCal!N22</f>
        <v>1.6773275809785262</v>
      </c>
      <c r="F24" s="4">
        <f>+WeightCal!O22</f>
        <v>0.64799916563377913</v>
      </c>
      <c r="G24" s="4">
        <f>+WeightCal!P22</f>
        <v>1.0166551503499204</v>
      </c>
      <c r="H24" s="4">
        <f>+WeightCal!Q22</f>
        <v>1.7386195174796479</v>
      </c>
      <c r="I24" s="4">
        <f>+WeightCal!R22</f>
        <v>23.056687317433887</v>
      </c>
      <c r="J24" s="4">
        <f>+WeightCal!S22</f>
        <v>11.001874882609787</v>
      </c>
      <c r="K24" s="4">
        <f>+WeightCal!T22</f>
        <v>8.2808153566081337</v>
      </c>
      <c r="L24" s="4">
        <f>+WeightCal!U22</f>
        <v>6.5532007080483652</v>
      </c>
    </row>
    <row r="25" spans="1:12" x14ac:dyDescent="0.55000000000000004">
      <c r="A25" s="53"/>
      <c r="B25" s="6" t="s">
        <v>25</v>
      </c>
      <c r="C25" s="6" t="s">
        <v>25</v>
      </c>
      <c r="D25" s="4">
        <f>+WeightCal!M23</f>
        <v>0.97850473124992521</v>
      </c>
      <c r="E25" s="4">
        <f>+WeightCal!N23</f>
        <v>1.4104572252330581</v>
      </c>
      <c r="F25" s="4">
        <f>+WeightCal!O23</f>
        <v>0.84131421605081713</v>
      </c>
      <c r="G25" s="4">
        <f>+WeightCal!P23</f>
        <v>1.4842602006244721</v>
      </c>
      <c r="H25" s="4">
        <f>+WeightCal!Q23</f>
        <v>6.0665381104557872</v>
      </c>
      <c r="I25" s="4">
        <f>+WeightCal!R23</f>
        <v>27.152390263954238</v>
      </c>
      <c r="J25" s="4">
        <f>+WeightCal!S23</f>
        <v>6.1589574051617673</v>
      </c>
      <c r="K25" s="4">
        <f>+WeightCal!T23</f>
        <v>6.1553521551375363</v>
      </c>
      <c r="L25" s="4">
        <f>+WeightCal!U23</f>
        <v>6.2834039025209898E-2</v>
      </c>
    </row>
    <row r="26" spans="1:12" x14ac:dyDescent="0.55000000000000004">
      <c r="A26" s="53" t="s">
        <v>160</v>
      </c>
      <c r="B26" s="6" t="s">
        <v>47</v>
      </c>
      <c r="C26" s="6" t="s">
        <v>47</v>
      </c>
      <c r="D26" s="4">
        <f>+WeightCal!M24</f>
        <v>1.7386326978141196</v>
      </c>
      <c r="E26" s="4">
        <f>+WeightCal!N24</f>
        <v>0.11107487397536493</v>
      </c>
      <c r="F26" s="4">
        <f>+WeightCal!O24</f>
        <v>1.7941489378195601</v>
      </c>
      <c r="G26" s="4">
        <f>+WeightCal!P24</f>
        <v>11.07476499385937</v>
      </c>
      <c r="H26" s="4">
        <f>+WeightCal!Q24</f>
        <v>1.7077785195322137</v>
      </c>
      <c r="I26" s="4">
        <f>+WeightCal!R24</f>
        <v>9.9417330316030768</v>
      </c>
      <c r="J26" s="4">
        <f>+WeightCal!S24</f>
        <v>9.5535215900380521</v>
      </c>
      <c r="K26" s="4">
        <f>+WeightCal!T24</f>
        <v>18.408666256176968</v>
      </c>
      <c r="L26" s="4">
        <f>+WeightCal!U24</f>
        <v>5.3669106416958021</v>
      </c>
    </row>
    <row r="27" spans="1:12" x14ac:dyDescent="0.55000000000000004">
      <c r="A27" s="53"/>
      <c r="B27" s="6" t="s">
        <v>55</v>
      </c>
      <c r="C27" s="6" t="s">
        <v>55</v>
      </c>
      <c r="D27" s="4">
        <f>+WeightCal!M25</f>
        <v>14.060224263091616</v>
      </c>
      <c r="E27" s="4">
        <f>+WeightCal!N25</f>
        <v>7.3463224329668009E-2</v>
      </c>
      <c r="F27" s="4">
        <f>+WeightCal!O25</f>
        <v>0.25584376241582502</v>
      </c>
      <c r="G27" s="4">
        <f>+WeightCal!P25</f>
        <v>3.6734709796188407</v>
      </c>
      <c r="H27" s="4">
        <f>+WeightCal!Q25</f>
        <v>19.608153482321487</v>
      </c>
      <c r="I27" s="4">
        <f>+WeightCal!R25</f>
        <v>7.1995515063182136</v>
      </c>
      <c r="J27" s="4">
        <f>+WeightCal!S25</f>
        <v>10.670713735926984</v>
      </c>
      <c r="K27" s="4">
        <f>+WeightCal!T25</f>
        <v>3.9043477794153278</v>
      </c>
      <c r="L27" s="4">
        <f>+WeightCal!U25</f>
        <v>0.23055639332614239</v>
      </c>
    </row>
    <row r="28" spans="1:12" x14ac:dyDescent="0.55000000000000004">
      <c r="A28" s="53"/>
      <c r="B28" s="6" t="s">
        <v>57</v>
      </c>
      <c r="C28" s="6" t="s">
        <v>57</v>
      </c>
      <c r="D28" s="4">
        <f>+WeightCal!M26</f>
        <v>3.5092555310291255E-2</v>
      </c>
      <c r="E28" s="4">
        <f>+WeightCal!N26</f>
        <v>0.28812339561409051</v>
      </c>
      <c r="F28" s="4">
        <f>+WeightCal!O26</f>
        <v>0.20997634928309411</v>
      </c>
      <c r="G28" s="4">
        <f>+WeightCal!P26</f>
        <v>0.90138213945939105</v>
      </c>
      <c r="H28" s="4">
        <f>+WeightCal!Q26</f>
        <v>16.549694268558245</v>
      </c>
      <c r="I28" s="4">
        <f>+WeightCal!R26</f>
        <v>25.097592058393968</v>
      </c>
      <c r="J28" s="4">
        <f>+WeightCal!S26</f>
        <v>21.114114058210561</v>
      </c>
      <c r="K28" s="4">
        <f>+WeightCal!T26</f>
        <v>18.325974661352642</v>
      </c>
      <c r="L28" s="4">
        <f>+WeightCal!U26</f>
        <v>2.3092461808762863</v>
      </c>
    </row>
    <row r="29" spans="1:12" x14ac:dyDescent="0.55000000000000004">
      <c r="A29" s="53"/>
      <c r="B29" s="6" t="s">
        <v>51</v>
      </c>
      <c r="C29" s="6" t="s">
        <v>51</v>
      </c>
      <c r="D29" s="4">
        <f>+WeightCal!M27</f>
        <v>7.1610992509037761</v>
      </c>
      <c r="E29" s="4">
        <f>+WeightCal!N27</f>
        <v>4.706880185768755</v>
      </c>
      <c r="F29" s="4">
        <f>+WeightCal!O27</f>
        <v>2.8137971247477425</v>
      </c>
      <c r="G29" s="4">
        <f>+WeightCal!P27</f>
        <v>4.4593350153217566</v>
      </c>
      <c r="H29" s="4">
        <f>+WeightCal!Q27</f>
        <v>7.9654371211013544</v>
      </c>
      <c r="I29" s="4">
        <f>+WeightCal!R27</f>
        <v>19.412867187514856</v>
      </c>
      <c r="J29" s="4">
        <f>+WeightCal!S27</f>
        <v>12.135958243897342</v>
      </c>
      <c r="K29" s="4">
        <f>+WeightCal!T27</f>
        <v>21.992372791136265</v>
      </c>
      <c r="L29" s="4">
        <f>+WeightCal!U27</f>
        <v>2.7857736682627716</v>
      </c>
    </row>
    <row r="30" spans="1:12" x14ac:dyDescent="0.55000000000000004">
      <c r="A30" s="53"/>
      <c r="B30" s="6" t="s">
        <v>45</v>
      </c>
      <c r="C30" s="6" t="s">
        <v>45</v>
      </c>
      <c r="D30" s="4">
        <f>+WeightCal!M28</f>
        <v>0.17289533074959781</v>
      </c>
      <c r="E30" s="4">
        <f>+WeightCal!N28</f>
        <v>3.6347326720433553</v>
      </c>
      <c r="F30" s="4">
        <f>+WeightCal!O28</f>
        <v>0.11702072989757095</v>
      </c>
      <c r="G30" s="4">
        <f>+WeightCal!P28</f>
        <v>1.4150592259252448</v>
      </c>
      <c r="H30" s="4">
        <f>+WeightCal!Q28</f>
        <v>7.0982301445222866</v>
      </c>
      <c r="I30" s="4">
        <f>+WeightCal!R28</f>
        <v>30.396151330059521</v>
      </c>
      <c r="J30" s="4">
        <f>+WeightCal!S28</f>
        <v>9.3323381184357039</v>
      </c>
      <c r="K30" s="4">
        <f>+WeightCal!T28</f>
        <v>17.725288217168238</v>
      </c>
      <c r="L30" s="4">
        <f>+WeightCal!U28</f>
        <v>4.9845554348410346</v>
      </c>
    </row>
    <row r="31" spans="1:12" x14ac:dyDescent="0.55000000000000004">
      <c r="A31" s="53"/>
      <c r="B31" s="6" t="s">
        <v>53</v>
      </c>
      <c r="C31" s="6" t="s">
        <v>53</v>
      </c>
      <c r="D31" s="4">
        <f>+WeightCal!M29</f>
        <v>3.9332860301170727</v>
      </c>
      <c r="E31" s="4">
        <f>+WeightCal!N29</f>
        <v>1.3774103837067797</v>
      </c>
      <c r="F31" s="4">
        <f>+WeightCal!O29</f>
        <v>0.35773414015011018</v>
      </c>
      <c r="G31" s="4">
        <f>+WeightCal!P29</f>
        <v>0.85943580382117257</v>
      </c>
      <c r="H31" s="4">
        <f>+WeightCal!Q29</f>
        <v>8.247828420446611</v>
      </c>
      <c r="I31" s="4">
        <f>+WeightCal!R29</f>
        <v>48.000488798581962</v>
      </c>
      <c r="J31" s="4">
        <f>+WeightCal!S29</f>
        <v>11.34011778901543</v>
      </c>
      <c r="K31" s="4">
        <f>+WeightCal!T29</f>
        <v>11.901653075348268</v>
      </c>
      <c r="L31" s="4">
        <f>+WeightCal!U29</f>
        <v>0.74390209803141705</v>
      </c>
    </row>
    <row r="32" spans="1:12" x14ac:dyDescent="0.55000000000000004">
      <c r="A32" s="53"/>
      <c r="B32" s="6" t="s">
        <v>43</v>
      </c>
      <c r="C32" s="6" t="s">
        <v>43</v>
      </c>
      <c r="D32" s="4">
        <f>+WeightCal!M30</f>
        <v>0.40775770764444885</v>
      </c>
      <c r="E32" s="4">
        <f>+WeightCal!N30</f>
        <v>1.3479295483308211</v>
      </c>
      <c r="F32" s="4">
        <f>+WeightCal!O30</f>
        <v>0.44361927231105225</v>
      </c>
      <c r="G32" s="4">
        <f>+WeightCal!P30</f>
        <v>4.5046569561535543</v>
      </c>
      <c r="H32" s="4">
        <f>+WeightCal!Q30</f>
        <v>22.213525730440001</v>
      </c>
      <c r="I32" s="4">
        <f>+WeightCal!R30</f>
        <v>14.146759940511453</v>
      </c>
      <c r="J32" s="4">
        <f>+WeightCal!S30</f>
        <v>13.680965168603272</v>
      </c>
      <c r="K32" s="4">
        <f>+WeightCal!T30</f>
        <v>35.13014028684907</v>
      </c>
      <c r="L32" s="4">
        <f>+WeightCal!U30</f>
        <v>14.208924012135791</v>
      </c>
    </row>
    <row r="33" spans="1:12" x14ac:dyDescent="0.55000000000000004">
      <c r="A33" s="53"/>
      <c r="B33" s="6" t="s">
        <v>49</v>
      </c>
      <c r="C33" s="6" t="s">
        <v>49</v>
      </c>
      <c r="D33" s="4">
        <f>+WeightCal!M31</f>
        <v>5.9087500928513741</v>
      </c>
      <c r="E33" s="4">
        <f>+WeightCal!N31</f>
        <v>0.16127283661842129</v>
      </c>
      <c r="F33" s="4">
        <f>+WeightCal!O31</f>
        <v>1.5838021318377857</v>
      </c>
      <c r="G33" s="4">
        <f>+WeightCal!P31</f>
        <v>5.2261521402193365</v>
      </c>
      <c r="H33" s="4">
        <f>+WeightCal!Q31</f>
        <v>10.823106142967728</v>
      </c>
      <c r="I33" s="4">
        <f>+WeightCal!R31</f>
        <v>6.2425222728846324</v>
      </c>
      <c r="J33" s="4">
        <f>+WeightCal!S31</f>
        <v>17.581909220017398</v>
      </c>
      <c r="K33" s="4">
        <f>+WeightCal!T31</f>
        <v>4.9834152389925377</v>
      </c>
      <c r="L33" s="4">
        <f>+WeightCal!U31</f>
        <v>0.38866606610275628</v>
      </c>
    </row>
    <row r="34" spans="1:12" x14ac:dyDescent="0.55000000000000004">
      <c r="A34" s="53" t="s">
        <v>161</v>
      </c>
      <c r="B34" s="6" t="s">
        <v>73</v>
      </c>
      <c r="C34" s="6" t="s">
        <v>73</v>
      </c>
      <c r="D34" s="4">
        <f>+WeightCal!M32</f>
        <v>20.107044669626564</v>
      </c>
      <c r="E34" s="4">
        <f>+WeightCal!N32</f>
        <v>0.27227341321938936</v>
      </c>
      <c r="F34" s="4">
        <f>+WeightCal!O32</f>
        <v>0.80720287854326744</v>
      </c>
      <c r="G34" s="4">
        <f>+WeightCal!P32</f>
        <v>2.6295410358044164</v>
      </c>
      <c r="H34" s="4">
        <f>+WeightCal!Q32</f>
        <v>25.630373127472748</v>
      </c>
      <c r="I34" s="4">
        <f>+WeightCal!R32</f>
        <v>13.890920200307205</v>
      </c>
      <c r="J34" s="4">
        <f>+WeightCal!S32</f>
        <v>11.959478868371457</v>
      </c>
      <c r="K34" s="4">
        <f>+WeightCal!T32</f>
        <v>2.3744538000849356</v>
      </c>
      <c r="L34" s="4">
        <f>+WeightCal!U32</f>
        <v>0.59256249537050276</v>
      </c>
    </row>
    <row r="35" spans="1:12" x14ac:dyDescent="0.55000000000000004">
      <c r="A35" s="53"/>
      <c r="B35" s="6" t="s">
        <v>61</v>
      </c>
      <c r="C35" s="6" t="s">
        <v>61</v>
      </c>
      <c r="D35" s="4">
        <f>+WeightCal!M33</f>
        <v>7.3424420858812027</v>
      </c>
      <c r="E35" s="4">
        <f>+WeightCal!N33</f>
        <v>0.12906872290163748</v>
      </c>
      <c r="F35" s="4">
        <f>+WeightCal!O33</f>
        <v>1.0446078224488198</v>
      </c>
      <c r="G35" s="4">
        <f>+WeightCal!P33</f>
        <v>1.9780890432354192</v>
      </c>
      <c r="H35" s="4">
        <f>+WeightCal!Q33</f>
        <v>4.8065960115242925</v>
      </c>
      <c r="I35" s="4">
        <f>+WeightCal!R33</f>
        <v>6.3829770266689376</v>
      </c>
      <c r="J35" s="4">
        <f>+WeightCal!S33</f>
        <v>10.437509133614483</v>
      </c>
      <c r="K35" s="4">
        <f>+WeightCal!T33</f>
        <v>5.5500305797041696</v>
      </c>
      <c r="L35" s="4">
        <f>+WeightCal!U33</f>
        <v>16.642334045518719</v>
      </c>
    </row>
    <row r="36" spans="1:12" x14ac:dyDescent="0.55000000000000004">
      <c r="A36" s="53"/>
      <c r="B36" s="6" t="s">
        <v>77</v>
      </c>
      <c r="C36" s="6" t="s">
        <v>77</v>
      </c>
      <c r="D36" s="4">
        <f>+WeightCal!M34</f>
        <v>26.949777416371315</v>
      </c>
      <c r="E36" s="4">
        <f>+WeightCal!N34</f>
        <v>0.39447355830804892</v>
      </c>
      <c r="F36" s="4">
        <f>+WeightCal!O34</f>
        <v>0.34556886152398936</v>
      </c>
      <c r="G36" s="4">
        <f>+WeightCal!P34</f>
        <v>4.2186015661395224</v>
      </c>
      <c r="H36" s="4">
        <f>+WeightCal!Q34</f>
        <v>12.481802508618721</v>
      </c>
      <c r="I36" s="4">
        <f>+WeightCal!R34</f>
        <v>25.601466299193664</v>
      </c>
      <c r="J36" s="4">
        <f>+WeightCal!S34</f>
        <v>15.364227312784312</v>
      </c>
      <c r="K36" s="4">
        <f>+WeightCal!T34</f>
        <v>3.5447409580670932</v>
      </c>
      <c r="L36" s="4">
        <f>+WeightCal!U34</f>
        <v>2.2233539147232282</v>
      </c>
    </row>
    <row r="37" spans="1:12" x14ac:dyDescent="0.55000000000000004">
      <c r="A37" s="53"/>
      <c r="B37" s="6" t="s">
        <v>63</v>
      </c>
      <c r="C37" s="6" t="s">
        <v>63</v>
      </c>
      <c r="D37" s="4">
        <f>+WeightCal!M35</f>
        <v>5.4948320953209029</v>
      </c>
      <c r="E37" s="4">
        <f>+WeightCal!N35</f>
        <v>0.20357405053107849</v>
      </c>
      <c r="F37" s="4">
        <f>+WeightCal!O35</f>
        <v>0.32362871414189853</v>
      </c>
      <c r="G37" s="4">
        <f>+WeightCal!P35</f>
        <v>3.8819986251161902</v>
      </c>
      <c r="H37" s="4">
        <f>+WeightCal!Q35</f>
        <v>4.1552588530582666</v>
      </c>
      <c r="I37" s="4">
        <f>+WeightCal!R35</f>
        <v>7.657877495890987</v>
      </c>
      <c r="J37" s="4">
        <f>+WeightCal!S35</f>
        <v>23.978525394603754</v>
      </c>
      <c r="K37" s="4">
        <f>+WeightCal!T35</f>
        <v>9.8264536173355097</v>
      </c>
      <c r="L37" s="4">
        <f>+WeightCal!U35</f>
        <v>5.8327906565047591</v>
      </c>
    </row>
    <row r="38" spans="1:12" x14ac:dyDescent="0.55000000000000004">
      <c r="A38" s="53"/>
      <c r="B38" s="6" t="s">
        <v>75</v>
      </c>
      <c r="C38" s="6" t="s">
        <v>75</v>
      </c>
      <c r="D38" s="4">
        <f>+WeightCal!M36</f>
        <v>2.7119970856384517</v>
      </c>
      <c r="E38" s="4">
        <f>+WeightCal!N36</f>
        <v>0.15625174145426973</v>
      </c>
      <c r="F38" s="4">
        <f>+WeightCal!O36</f>
        <v>2.6837977659029213</v>
      </c>
      <c r="G38" s="4">
        <f>+WeightCal!P36</f>
        <v>2.3218364211491642</v>
      </c>
      <c r="H38" s="4">
        <f>+WeightCal!Q36</f>
        <v>2.6576552160850966</v>
      </c>
      <c r="I38" s="4">
        <f>+WeightCal!R36</f>
        <v>6.8842454664051402</v>
      </c>
      <c r="J38" s="4">
        <f>+WeightCal!S36</f>
        <v>32.325030725920286</v>
      </c>
      <c r="K38" s="4">
        <f>+WeightCal!T36</f>
        <v>4.8723188887392483</v>
      </c>
      <c r="L38" s="4">
        <f>+WeightCal!U36</f>
        <v>6.9111112487803759</v>
      </c>
    </row>
    <row r="39" spans="1:12" x14ac:dyDescent="0.55000000000000004">
      <c r="A39" s="53"/>
      <c r="B39" s="6" t="s">
        <v>65</v>
      </c>
      <c r="C39" s="6" t="s">
        <v>65</v>
      </c>
      <c r="D39" s="4">
        <f>+WeightCal!M37</f>
        <v>9.0246887423696727</v>
      </c>
      <c r="E39" s="4">
        <f>+WeightCal!N37</f>
        <v>1.732133006598447</v>
      </c>
      <c r="F39" s="4">
        <f>+WeightCal!O37</f>
        <v>0.220654812817735</v>
      </c>
      <c r="G39" s="4">
        <f>+WeightCal!P37</f>
        <v>1.7549482964295857</v>
      </c>
      <c r="H39" s="4">
        <f>+WeightCal!Q37</f>
        <v>27.447247776002989</v>
      </c>
      <c r="I39" s="4">
        <f>+WeightCal!R37</f>
        <v>17.352688808367748</v>
      </c>
      <c r="J39" s="4">
        <f>+WeightCal!S37</f>
        <v>14.363682116354379</v>
      </c>
      <c r="K39" s="4">
        <f>+WeightCal!T37</f>
        <v>3.9584287210565701</v>
      </c>
      <c r="L39" s="4">
        <f>+WeightCal!U37</f>
        <v>1.2616359918629663</v>
      </c>
    </row>
    <row r="40" spans="1:12" x14ac:dyDescent="0.55000000000000004">
      <c r="A40" s="53"/>
      <c r="B40" s="6" t="s">
        <v>67</v>
      </c>
      <c r="C40" s="6" t="s">
        <v>67</v>
      </c>
      <c r="D40" s="4">
        <f>+WeightCal!M38</f>
        <v>12.137641331843719</v>
      </c>
      <c r="E40" s="4">
        <f>+WeightCal!N38</f>
        <v>2.3065262463707334</v>
      </c>
      <c r="F40" s="4">
        <f>+WeightCal!O38</f>
        <v>2.5635814090226936</v>
      </c>
      <c r="G40" s="4">
        <f>+WeightCal!P38</f>
        <v>2.0021369396021047</v>
      </c>
      <c r="H40" s="4">
        <f>+WeightCal!Q38</f>
        <v>14.058224391403108</v>
      </c>
      <c r="I40" s="4">
        <f>+WeightCal!R38</f>
        <v>12.998082643515291</v>
      </c>
      <c r="J40" s="4">
        <f>+WeightCal!S38</f>
        <v>7.29964399021957</v>
      </c>
      <c r="K40" s="4">
        <f>+WeightCal!T38</f>
        <v>2.0368919022255354</v>
      </c>
      <c r="L40" s="4">
        <f>+WeightCal!U38</f>
        <v>3.2296727503326239</v>
      </c>
    </row>
    <row r="41" spans="1:12" x14ac:dyDescent="0.55000000000000004">
      <c r="A41" s="53"/>
      <c r="B41" s="6" t="s">
        <v>59</v>
      </c>
      <c r="C41" s="6" t="s">
        <v>59</v>
      </c>
      <c r="D41" s="4">
        <f>+WeightCal!M39</f>
        <v>4.3580471714077742</v>
      </c>
      <c r="E41" s="4">
        <f>+WeightCal!N39</f>
        <v>0.93070969475956566</v>
      </c>
      <c r="F41" s="4">
        <f>+WeightCal!O39</f>
        <v>8.7366938677793146E-2</v>
      </c>
      <c r="G41" s="4">
        <f>+WeightCal!P39</f>
        <v>3.6514822712329575</v>
      </c>
      <c r="H41" s="4">
        <f>+WeightCal!Q39</f>
        <v>3.8334314205436075</v>
      </c>
      <c r="I41" s="4">
        <f>+WeightCal!R39</f>
        <v>6.1398417250481154</v>
      </c>
      <c r="J41" s="4">
        <f>+WeightCal!S39</f>
        <v>17.558352784003333</v>
      </c>
      <c r="K41" s="4">
        <f>+WeightCal!T39</f>
        <v>9.1229638166733569</v>
      </c>
      <c r="L41" s="4">
        <f>+WeightCal!U39</f>
        <v>9.362990591003534</v>
      </c>
    </row>
    <row r="42" spans="1:12" x14ac:dyDescent="0.55000000000000004">
      <c r="A42" s="53"/>
      <c r="B42" s="6" t="s">
        <v>71</v>
      </c>
      <c r="C42" s="6" t="s">
        <v>71</v>
      </c>
      <c r="D42" s="4">
        <f>+WeightCal!M40</f>
        <v>13.587094338565608</v>
      </c>
      <c r="E42" s="4">
        <f>+WeightCal!N40</f>
        <v>6.5692418980511524</v>
      </c>
      <c r="F42" s="4">
        <f>+WeightCal!O40</f>
        <v>0.60102533638570221</v>
      </c>
      <c r="G42" s="4">
        <f>+WeightCal!P40</f>
        <v>3.5156887748822707</v>
      </c>
      <c r="H42" s="4">
        <f>+WeightCal!Q40</f>
        <v>25.316953123589368</v>
      </c>
      <c r="I42" s="4">
        <f>+WeightCal!R40</f>
        <v>15.37894785581935</v>
      </c>
      <c r="J42" s="4">
        <f>+WeightCal!S40</f>
        <v>19.20588109853059</v>
      </c>
      <c r="K42" s="4">
        <f>+WeightCal!T40</f>
        <v>13.235743122085863</v>
      </c>
      <c r="L42" s="4">
        <f>+WeightCal!U40</f>
        <v>0.55020414494881087</v>
      </c>
    </row>
    <row r="43" spans="1:12" x14ac:dyDescent="0.55000000000000004">
      <c r="A43" s="53"/>
      <c r="B43" s="6" t="s">
        <v>69</v>
      </c>
      <c r="C43" s="6" t="s">
        <v>69</v>
      </c>
      <c r="D43" s="4">
        <f>+WeightCal!M41</f>
        <v>0.8725825849662241</v>
      </c>
      <c r="E43" s="4">
        <f>+WeightCal!N41</f>
        <v>0.1235537687974843</v>
      </c>
      <c r="F43" s="4">
        <f>+WeightCal!O41</f>
        <v>9.6220610588004282E-2</v>
      </c>
      <c r="G43" s="4">
        <f>+WeightCal!P41</f>
        <v>0.85455355858424931</v>
      </c>
      <c r="H43" s="4">
        <f>+WeightCal!Q41</f>
        <v>18.322419231651992</v>
      </c>
      <c r="I43" s="4">
        <f>+WeightCal!R41</f>
        <v>2.6756454648920598</v>
      </c>
      <c r="J43" s="4">
        <f>+WeightCal!S41</f>
        <v>15.353658240321007</v>
      </c>
      <c r="K43" s="4">
        <f>+WeightCal!T41</f>
        <v>4.8898669384627498</v>
      </c>
      <c r="L43" s="4">
        <f>+WeightCal!U41</f>
        <v>8.8073291724529597</v>
      </c>
    </row>
    <row r="44" spans="1:12" x14ac:dyDescent="0.55000000000000004">
      <c r="A44" s="53" t="s">
        <v>162</v>
      </c>
      <c r="B44" s="6" t="s">
        <v>83</v>
      </c>
      <c r="C44" s="6" t="s">
        <v>83</v>
      </c>
      <c r="D44" s="4">
        <f>+WeightCal!M42</f>
        <v>8.5282956856946495</v>
      </c>
      <c r="E44" s="4">
        <f>+WeightCal!N42</f>
        <v>0.52888612630898002</v>
      </c>
      <c r="F44" s="4">
        <f>+WeightCal!O42</f>
        <v>0.96698690597574166</v>
      </c>
      <c r="G44" s="4">
        <f>+WeightCal!P42</f>
        <v>0.26231701799032742</v>
      </c>
      <c r="H44" s="4">
        <f>+WeightCal!Q42</f>
        <v>3.4715946724155096</v>
      </c>
      <c r="I44" s="4">
        <f>+WeightCal!R42</f>
        <v>2.3071711013649114</v>
      </c>
      <c r="J44" s="4">
        <f>+WeightCal!S42</f>
        <v>7.6083623103827955</v>
      </c>
      <c r="K44" s="4">
        <f>+WeightCal!T42</f>
        <v>6.2850142308015036</v>
      </c>
      <c r="L44" s="4">
        <f>+WeightCal!U42</f>
        <v>25.511001624501681</v>
      </c>
    </row>
    <row r="45" spans="1:12" x14ac:dyDescent="0.55000000000000004">
      <c r="A45" s="53"/>
      <c r="B45" s="6" t="s">
        <v>81</v>
      </c>
      <c r="C45" s="6" t="s">
        <v>81</v>
      </c>
      <c r="D45" s="4">
        <f>+WeightCal!M43</f>
        <v>2.6974064548832666</v>
      </c>
      <c r="E45" s="4">
        <f>+WeightCal!N43</f>
        <v>0.49413396334276632</v>
      </c>
      <c r="F45" s="4">
        <f>+WeightCal!O43</f>
        <v>0.26174077229516296</v>
      </c>
      <c r="G45" s="4">
        <f>+WeightCal!P43</f>
        <v>8.7949796695249535E-2</v>
      </c>
      <c r="H45" s="4">
        <f>+WeightCal!Q43</f>
        <v>0.55025836592461097</v>
      </c>
      <c r="I45" s="4">
        <f>+WeightCal!R43</f>
        <v>9.4703510565676816E-2</v>
      </c>
      <c r="J45" s="4">
        <f>+WeightCal!S43</f>
        <v>4.0026413928893545</v>
      </c>
      <c r="K45" s="4">
        <f>+WeightCal!T43</f>
        <v>40.471524559889012</v>
      </c>
      <c r="L45" s="4">
        <f>+WeightCal!U43</f>
        <v>11.238781046034976</v>
      </c>
    </row>
    <row r="46" spans="1:12" x14ac:dyDescent="0.55000000000000004">
      <c r="A46" s="53"/>
      <c r="B46" s="6" t="s">
        <v>85</v>
      </c>
      <c r="C46" s="6" t="s">
        <v>85</v>
      </c>
      <c r="D46" s="4">
        <f>+WeightCal!M44</f>
        <v>25.333928996817502</v>
      </c>
      <c r="E46" s="4">
        <f>+WeightCal!N44</f>
        <v>2.2194304498721134</v>
      </c>
      <c r="F46" s="4">
        <f>+WeightCal!O44</f>
        <v>0.2830809535614191</v>
      </c>
      <c r="G46" s="4">
        <f>+WeightCal!P44</f>
        <v>2.9392832379293448</v>
      </c>
      <c r="H46" s="4">
        <f>+WeightCal!Q44</f>
        <v>3.543094398056581</v>
      </c>
      <c r="I46" s="4">
        <f>+WeightCal!R44</f>
        <v>11.917812275236662</v>
      </c>
      <c r="J46" s="4">
        <f>+WeightCal!S44</f>
        <v>8.8756547972414808</v>
      </c>
      <c r="K46" s="4">
        <f>+WeightCal!T44</f>
        <v>3.0386183731021532</v>
      </c>
      <c r="L46" s="4">
        <f>+WeightCal!U44</f>
        <v>18.686296577807877</v>
      </c>
    </row>
    <row r="47" spans="1:12" x14ac:dyDescent="0.55000000000000004">
      <c r="A47" s="53"/>
      <c r="B47" s="6" t="s">
        <v>79</v>
      </c>
      <c r="C47" s="6" t="s">
        <v>79</v>
      </c>
      <c r="D47" s="4">
        <f>+WeightCal!M45</f>
        <v>6.5498834692658514</v>
      </c>
      <c r="E47" s="4">
        <f>+WeightCal!N45</f>
        <v>2.9395240451565208</v>
      </c>
      <c r="F47" s="4">
        <f>+WeightCal!O45</f>
        <v>0.5410685107914015</v>
      </c>
      <c r="G47" s="4">
        <f>+WeightCal!P45</f>
        <v>0.50853320018527182</v>
      </c>
      <c r="H47" s="4">
        <f>+WeightCal!Q45</f>
        <v>3.1511436716208805</v>
      </c>
      <c r="I47" s="4">
        <f>+WeightCal!R45</f>
        <v>4.5981350480326624</v>
      </c>
      <c r="J47" s="4">
        <f>+WeightCal!S45</f>
        <v>12.179854900389113</v>
      </c>
      <c r="K47" s="4">
        <f>+WeightCal!T45</f>
        <v>9.8813219933739784</v>
      </c>
      <c r="L47" s="4">
        <f>+WeightCal!U45</f>
        <v>26.132901565230281</v>
      </c>
    </row>
    <row r="48" spans="1:12" x14ac:dyDescent="0.55000000000000004">
      <c r="A48" s="53"/>
      <c r="B48" s="6" t="s">
        <v>87</v>
      </c>
      <c r="C48" s="6" t="s">
        <v>87</v>
      </c>
      <c r="D48" s="4">
        <f>+WeightCal!M46</f>
        <v>0.30318244267452593</v>
      </c>
      <c r="E48" s="4">
        <f>+WeightCal!N46</f>
        <v>7.6123498462991934E-2</v>
      </c>
      <c r="F48" s="4">
        <f>+WeightCal!O46</f>
        <v>9.0409357686127276E-2</v>
      </c>
      <c r="G48" s="4">
        <f>+WeightCal!P46</f>
        <v>4.0530033767807276E-2</v>
      </c>
      <c r="H48" s="4">
        <f>+WeightCal!Q46</f>
        <v>1.1911005235647159</v>
      </c>
      <c r="I48" s="4">
        <f>+WeightCal!R46</f>
        <v>2.4355179703716479</v>
      </c>
      <c r="J48" s="4">
        <f>+WeightCal!S46</f>
        <v>12.553068943530659</v>
      </c>
      <c r="K48" s="4">
        <f>+WeightCal!T46</f>
        <v>15.593920600046507</v>
      </c>
      <c r="L48" s="4">
        <f>+WeightCal!U46</f>
        <v>38.091876424096831</v>
      </c>
    </row>
    <row r="49" spans="1:12" x14ac:dyDescent="0.55000000000000004">
      <c r="A49" s="53"/>
      <c r="B49" s="6" t="s">
        <v>227</v>
      </c>
      <c r="C49" s="6" t="s">
        <v>89</v>
      </c>
      <c r="D49" s="4">
        <f>+WeightCal!M47</f>
        <v>0.34091068902738558</v>
      </c>
      <c r="E49" s="4">
        <f>+WeightCal!N47</f>
        <v>2.2720514179894185</v>
      </c>
      <c r="F49" s="4">
        <f>+WeightCal!O47</f>
        <v>0.16215162957084975</v>
      </c>
      <c r="G49" s="4">
        <f>+WeightCal!P47</f>
        <v>0.14780982955292285</v>
      </c>
      <c r="H49" s="4">
        <f>+WeightCal!Q47</f>
        <v>5.0474717400973388</v>
      </c>
      <c r="I49" s="4">
        <f>+WeightCal!R47</f>
        <v>3.1158755567780529</v>
      </c>
      <c r="J49" s="4">
        <f>+WeightCal!S47</f>
        <v>4.7912298691465036</v>
      </c>
      <c r="K49" s="4">
        <f>+WeightCal!T47</f>
        <v>6.8341413171658836</v>
      </c>
      <c r="L49" s="4">
        <f>+WeightCal!U47</f>
        <v>3.9386351344899562</v>
      </c>
    </row>
    <row r="50" spans="1:12" x14ac:dyDescent="0.55000000000000004">
      <c r="A50" s="53"/>
      <c r="B50" s="6" t="s">
        <v>228</v>
      </c>
      <c r="C50" s="6" t="s">
        <v>91</v>
      </c>
      <c r="D50" s="4">
        <f>+WeightCal!M48</f>
        <v>4.093941705275328</v>
      </c>
      <c r="E50" s="4">
        <f>+WeightCal!N48</f>
        <v>0.83669759449125114</v>
      </c>
      <c r="F50" s="4">
        <f>+WeightCal!O48</f>
        <v>0.21052956436192974</v>
      </c>
      <c r="G50" s="4">
        <f>+WeightCal!P48</f>
        <v>1.2615241572968965</v>
      </c>
      <c r="H50" s="4">
        <f>+WeightCal!Q48</f>
        <v>23.654533739168485</v>
      </c>
      <c r="I50" s="4">
        <f>+WeightCal!R48</f>
        <v>4.3437734675628477</v>
      </c>
      <c r="J50" s="4">
        <f>+WeightCal!S48</f>
        <v>24.63728836563909</v>
      </c>
      <c r="K50" s="4">
        <f>+WeightCal!T48</f>
        <v>7.6708096991841037</v>
      </c>
      <c r="L50" s="4">
        <f>+WeightCal!U48</f>
        <v>15.669295377760834</v>
      </c>
    </row>
    <row r="51" spans="1:12" x14ac:dyDescent="0.55000000000000004">
      <c r="A51" s="53" t="s">
        <v>166</v>
      </c>
      <c r="B51" s="6" t="s">
        <v>149</v>
      </c>
      <c r="C51" s="6" t="s">
        <v>149</v>
      </c>
      <c r="D51" s="4">
        <f>+WeightCal!M49</f>
        <v>1.0657488319631834</v>
      </c>
      <c r="E51" s="4">
        <f>+WeightCal!N49</f>
        <v>2.6075643174943774</v>
      </c>
      <c r="F51" s="4">
        <f>+WeightCal!O49</f>
        <v>0.1611630774944878</v>
      </c>
      <c r="G51" s="4">
        <f>+WeightCal!P49</f>
        <v>1.9759772915048379</v>
      </c>
      <c r="H51" s="4">
        <f>+WeightCal!Q49</f>
        <v>0.14529488721373254</v>
      </c>
      <c r="I51" s="4">
        <f>+WeightCal!R49</f>
        <v>15.673745663803254</v>
      </c>
      <c r="J51" s="4">
        <f>+WeightCal!S49</f>
        <v>17.315176874357491</v>
      </c>
      <c r="K51" s="4">
        <f>+WeightCal!T49</f>
        <v>0.56788605002611459</v>
      </c>
      <c r="L51" s="4">
        <f>+WeightCal!U49</f>
        <v>1.9141075600412411E-2</v>
      </c>
    </row>
    <row r="52" spans="1:12" x14ac:dyDescent="0.55000000000000004">
      <c r="A52" s="53"/>
      <c r="B52" s="6" t="s">
        <v>139</v>
      </c>
      <c r="C52" s="6" t="s">
        <v>139</v>
      </c>
      <c r="D52" s="4">
        <f>+WeightCal!M50</f>
        <v>10.123844285681033</v>
      </c>
      <c r="E52" s="4">
        <f>+WeightCal!N50</f>
        <v>11.675908661690938</v>
      </c>
      <c r="F52" s="4">
        <f>+WeightCal!O50</f>
        <v>0.23967970038497829</v>
      </c>
      <c r="G52" s="4">
        <f>+WeightCal!P50</f>
        <v>3.0111359291510342</v>
      </c>
      <c r="H52" s="4">
        <f>+WeightCal!Q50</f>
        <v>1.6574863365454637</v>
      </c>
      <c r="I52" s="4">
        <f>+WeightCal!R50</f>
        <v>7.6195996933156733</v>
      </c>
      <c r="J52" s="4">
        <f>+WeightCal!S50</f>
        <v>6.3952366150790034</v>
      </c>
      <c r="K52" s="4">
        <f>+WeightCal!T50</f>
        <v>9.74097445613583E-2</v>
      </c>
      <c r="L52" s="4">
        <f>+WeightCal!U50</f>
        <v>1.1328211934972732</v>
      </c>
    </row>
    <row r="53" spans="1:12" x14ac:dyDescent="0.55000000000000004">
      <c r="A53" s="53"/>
      <c r="B53" s="6" t="s">
        <v>151</v>
      </c>
      <c r="C53" s="6" t="s">
        <v>151</v>
      </c>
      <c r="D53" s="4">
        <f>+WeightCal!M51</f>
        <v>3.620283460233993E-3</v>
      </c>
      <c r="E53" s="4">
        <f>+WeightCal!N51</f>
        <v>1.2537192185578382E-2</v>
      </c>
      <c r="F53" s="4">
        <f>+WeightCal!O51</f>
        <v>4.2588932862558465E-2</v>
      </c>
      <c r="G53" s="4">
        <f>+WeightCal!P51</f>
        <v>4.2055342190524772E-2</v>
      </c>
      <c r="H53" s="4">
        <f>+WeightCal!Q51</f>
        <v>1.5156038093528894</v>
      </c>
      <c r="I53" s="4">
        <f>+WeightCal!R51</f>
        <v>15.164426374423767</v>
      </c>
      <c r="J53" s="4">
        <f>+WeightCal!S51</f>
        <v>1.117360956841968</v>
      </c>
      <c r="K53" s="4">
        <f>+WeightCal!T51</f>
        <v>2.0391988397278005E-2</v>
      </c>
      <c r="L53" s="4">
        <f>+WeightCal!U51</f>
        <v>0.26692916532841759</v>
      </c>
    </row>
    <row r="54" spans="1:12" x14ac:dyDescent="0.55000000000000004">
      <c r="A54" s="53"/>
      <c r="B54" s="6" t="s">
        <v>141</v>
      </c>
      <c r="C54" s="6" t="s">
        <v>141</v>
      </c>
      <c r="D54" s="4">
        <f>+WeightCal!M52</f>
        <v>0.55388748659609699</v>
      </c>
      <c r="E54" s="4">
        <f>+WeightCal!N52</f>
        <v>0.28695719346092419</v>
      </c>
      <c r="F54" s="4">
        <f>+WeightCal!O52</f>
        <v>0.55345672500688037</v>
      </c>
      <c r="G54" s="4">
        <f>+WeightCal!P52</f>
        <v>8.7573405589691719E-2</v>
      </c>
      <c r="H54" s="4">
        <f>+WeightCal!Q52</f>
        <v>4.852667232463479</v>
      </c>
      <c r="I54" s="4">
        <f>+WeightCal!R52</f>
        <v>15.935313380341658</v>
      </c>
      <c r="J54" s="4">
        <f>+WeightCal!S52</f>
        <v>4.7042471309523064</v>
      </c>
      <c r="K54" s="4">
        <f>+WeightCal!T52</f>
        <v>0.1044583129857164</v>
      </c>
      <c r="L54" s="4">
        <f>+WeightCal!U52</f>
        <v>0.45517195423371304</v>
      </c>
    </row>
    <row r="55" spans="1:12" x14ac:dyDescent="0.55000000000000004">
      <c r="A55" s="53"/>
      <c r="B55" s="6" t="s">
        <v>137</v>
      </c>
      <c r="C55" s="6" t="s">
        <v>137</v>
      </c>
      <c r="D55" s="4">
        <f>+WeightCal!M53</f>
        <v>1.3184843725713138</v>
      </c>
      <c r="E55" s="4">
        <f>+WeightCal!N53</f>
        <v>2.4980318688701799</v>
      </c>
      <c r="F55" s="4">
        <f>+WeightCal!O53</f>
        <v>0.23959401817878345</v>
      </c>
      <c r="G55" s="4">
        <f>+WeightCal!P53</f>
        <v>0.52483078749682988</v>
      </c>
      <c r="H55" s="4">
        <f>+WeightCal!Q53</f>
        <v>0.71885729769944184</v>
      </c>
      <c r="I55" s="4">
        <f>+WeightCal!R53</f>
        <v>16.070251521244035</v>
      </c>
      <c r="J55" s="4">
        <f>+WeightCal!S53</f>
        <v>7.3870616502602866</v>
      </c>
      <c r="K55" s="4">
        <f>+WeightCal!T53</f>
        <v>0.73577451464000354</v>
      </c>
      <c r="L55" s="4">
        <f>+WeightCal!U53</f>
        <v>1.9609556423739413E-3</v>
      </c>
    </row>
    <row r="56" spans="1:12" x14ac:dyDescent="0.55000000000000004">
      <c r="A56" s="53"/>
      <c r="B56" s="6" t="s">
        <v>143</v>
      </c>
      <c r="C56" s="6" t="s">
        <v>143</v>
      </c>
      <c r="D56" s="4">
        <f>+WeightCal!M54</f>
        <v>3.4798002655334921</v>
      </c>
      <c r="E56" s="4">
        <f>+WeightCal!N54</f>
        <v>1.4626134108100208</v>
      </c>
      <c r="F56" s="4">
        <f>+WeightCal!O54</f>
        <v>0.50919820489173606</v>
      </c>
      <c r="G56" s="4">
        <f>+WeightCal!P54</f>
        <v>0.96853538511210635</v>
      </c>
      <c r="H56" s="4">
        <f>+WeightCal!Q54</f>
        <v>0.13056406035819157</v>
      </c>
      <c r="I56" s="4">
        <f>+WeightCal!R54</f>
        <v>4.5528239082898514</v>
      </c>
      <c r="J56" s="4">
        <f>+WeightCal!S54</f>
        <v>19.361181785741099</v>
      </c>
      <c r="K56" s="4">
        <f>+WeightCal!T54</f>
        <v>0.21586497631180032</v>
      </c>
      <c r="L56" s="4">
        <f>+WeightCal!U54</f>
        <v>0.14299048609965953</v>
      </c>
    </row>
    <row r="57" spans="1:12" x14ac:dyDescent="0.55000000000000004">
      <c r="A57" s="53"/>
      <c r="B57" s="6" t="s">
        <v>153</v>
      </c>
      <c r="C57" s="6" t="s">
        <v>153</v>
      </c>
      <c r="D57" s="4">
        <f>+WeightCal!M55</f>
        <v>17.317387002612161</v>
      </c>
      <c r="E57" s="4">
        <f>+WeightCal!N55</f>
        <v>4.5573328218170186</v>
      </c>
      <c r="F57" s="4">
        <f>+WeightCal!O55</f>
        <v>4.9007250647882703</v>
      </c>
      <c r="G57" s="4">
        <f>+WeightCal!P55</f>
        <v>4.4486663296860307</v>
      </c>
      <c r="H57" s="4">
        <f>+WeightCal!Q55</f>
        <v>4.8724760915420537</v>
      </c>
      <c r="I57" s="4">
        <f>+WeightCal!R55</f>
        <v>12.542788868135117</v>
      </c>
      <c r="J57" s="4">
        <f>+WeightCal!S55</f>
        <v>34.235506597954355</v>
      </c>
      <c r="K57" s="4">
        <f>+WeightCal!T55</f>
        <v>0.16147832157486042</v>
      </c>
      <c r="L57" s="4">
        <f>+WeightCal!U55</f>
        <v>0.3439967735888369</v>
      </c>
    </row>
    <row r="58" spans="1:12" x14ac:dyDescent="0.55000000000000004">
      <c r="A58" s="53"/>
      <c r="B58" s="6" t="s">
        <v>145</v>
      </c>
      <c r="C58" s="6" t="s">
        <v>145</v>
      </c>
      <c r="D58" s="4">
        <f>+WeightCal!M56</f>
        <v>0.99711742456346908</v>
      </c>
      <c r="E58" s="4">
        <f>+WeightCal!N56</f>
        <v>1.4807677925072236</v>
      </c>
      <c r="F58" s="4">
        <f>+WeightCal!O56</f>
        <v>1.2485845818282071</v>
      </c>
      <c r="G58" s="4">
        <f>+WeightCal!P56</f>
        <v>0.7873082494504422</v>
      </c>
      <c r="H58" s="4">
        <f>+WeightCal!Q56</f>
        <v>2.4609270946215527</v>
      </c>
      <c r="I58" s="4">
        <f>+WeightCal!R56</f>
        <v>19.926675167128323</v>
      </c>
      <c r="J58" s="4">
        <f>+WeightCal!S56</f>
        <v>3.7941976509016313</v>
      </c>
      <c r="K58" s="4">
        <f>+WeightCal!T56</f>
        <v>0.12374278587023524</v>
      </c>
      <c r="L58" s="4">
        <f>+WeightCal!U56</f>
        <v>5.9601184515366036E-3</v>
      </c>
    </row>
    <row r="59" spans="1:12" x14ac:dyDescent="0.55000000000000004">
      <c r="A59" s="53"/>
      <c r="B59" s="6" t="s">
        <v>147</v>
      </c>
      <c r="C59" s="6" t="s">
        <v>147</v>
      </c>
      <c r="D59" s="4">
        <f>+WeightCal!M57</f>
        <v>0.11559194281715943</v>
      </c>
      <c r="E59" s="4">
        <f>+WeightCal!N57</f>
        <v>0.77734370373496431</v>
      </c>
      <c r="F59" s="4">
        <f>+WeightCal!O57</f>
        <v>0.21517094506257931</v>
      </c>
      <c r="G59" s="4">
        <f>+WeightCal!P57</f>
        <v>0.74972866015843542</v>
      </c>
      <c r="H59" s="4">
        <f>+WeightCal!Q57</f>
        <v>4.5222282058839989</v>
      </c>
      <c r="I59" s="4">
        <f>+WeightCal!R57</f>
        <v>19.211483142756531</v>
      </c>
      <c r="J59" s="4">
        <f>+WeightCal!S57</f>
        <v>2.378751673650414</v>
      </c>
      <c r="K59" s="4">
        <f>+WeightCal!T57</f>
        <v>0.2892268241039509</v>
      </c>
      <c r="L59" s="4">
        <f>+WeightCal!U57</f>
        <v>0.15018194827907375</v>
      </c>
    </row>
    <row r="60" spans="1:12" x14ac:dyDescent="0.55000000000000004">
      <c r="A60" s="55" t="s">
        <v>164</v>
      </c>
      <c r="B60" s="6" t="s">
        <v>117</v>
      </c>
      <c r="C60" s="6" t="s">
        <v>117</v>
      </c>
      <c r="D60" s="4">
        <f>+WeightCal!M58</f>
        <v>2.2351612175198503</v>
      </c>
      <c r="E60" s="4">
        <f>+WeightCal!N58</f>
        <v>2.9080413571264745</v>
      </c>
      <c r="F60" s="4">
        <f>+WeightCal!O58</f>
        <v>0.80046640558118465</v>
      </c>
      <c r="G60" s="4">
        <f>+WeightCal!P58</f>
        <v>1.1802303530797487</v>
      </c>
      <c r="H60" s="4">
        <f>+WeightCal!Q58</f>
        <v>2.0458351490071394</v>
      </c>
      <c r="I60" s="4">
        <f>+WeightCal!R58</f>
        <v>8.6590971810690309</v>
      </c>
      <c r="J60" s="4">
        <f>+WeightCal!S58</f>
        <v>14.733647243453301</v>
      </c>
      <c r="K60" s="4">
        <f>+WeightCal!T58</f>
        <v>1.0494931841821651</v>
      </c>
      <c r="L60" s="4">
        <f>+WeightCal!U58</f>
        <v>0</v>
      </c>
    </row>
    <row r="61" spans="1:12" x14ac:dyDescent="0.55000000000000004">
      <c r="A61" s="56"/>
      <c r="B61" s="6" t="s">
        <v>119</v>
      </c>
      <c r="C61" s="6" t="s">
        <v>119</v>
      </c>
      <c r="D61" s="4">
        <f>+WeightCal!M59</f>
        <v>0.75896118086100528</v>
      </c>
      <c r="E61" s="4">
        <f>+WeightCal!N59</f>
        <v>1.1511900629940079</v>
      </c>
      <c r="F61" s="4">
        <f>+WeightCal!O59</f>
        <v>0.18916321653613299</v>
      </c>
      <c r="G61" s="4">
        <f>+WeightCal!P59</f>
        <v>0.27681998978205796</v>
      </c>
      <c r="H61" s="4">
        <f>+WeightCal!Q59</f>
        <v>0.87847182970652027</v>
      </c>
      <c r="I61" s="4">
        <f>+WeightCal!R59</f>
        <v>32.401846662961091</v>
      </c>
      <c r="J61" s="4">
        <f>+WeightCal!S59</f>
        <v>5.0805940196086317</v>
      </c>
      <c r="K61" s="4">
        <f>+WeightCal!T59</f>
        <v>0.15848176281174994</v>
      </c>
      <c r="L61" s="4">
        <f>+WeightCal!U59</f>
        <v>1.9551776151017163E-3</v>
      </c>
    </row>
    <row r="62" spans="1:12" x14ac:dyDescent="0.55000000000000004">
      <c r="A62" s="56"/>
      <c r="B62" s="6" t="s">
        <v>121</v>
      </c>
      <c r="C62" s="6" t="s">
        <v>121</v>
      </c>
      <c r="D62" s="4">
        <f>+WeightCal!M60</f>
        <v>5.3470617833742775</v>
      </c>
      <c r="E62" s="4">
        <f>+WeightCal!N60</f>
        <v>1.6670496099428305</v>
      </c>
      <c r="F62" s="4">
        <f>+WeightCal!O60</f>
        <v>16.548289677185053</v>
      </c>
      <c r="G62" s="4">
        <f>+WeightCal!P60</f>
        <v>0.98856414374211843</v>
      </c>
      <c r="H62" s="4">
        <f>+WeightCal!Q60</f>
        <v>2.7332004198552506</v>
      </c>
      <c r="I62" s="4">
        <f>+WeightCal!R60</f>
        <v>8.8960920516581865</v>
      </c>
      <c r="J62" s="4">
        <f>+WeightCal!S60</f>
        <v>19.096921282238608</v>
      </c>
      <c r="K62" s="4">
        <f>+WeightCal!T60</f>
        <v>9.5253786646485293E-4</v>
      </c>
      <c r="L62" s="4">
        <f>+WeightCal!U60</f>
        <v>4.7626893323242646E-4</v>
      </c>
    </row>
    <row r="63" spans="1:12" x14ac:dyDescent="0.55000000000000004">
      <c r="A63" s="56"/>
      <c r="B63" s="6" t="s">
        <v>123</v>
      </c>
      <c r="C63" s="6" t="s">
        <v>123</v>
      </c>
      <c r="D63" s="4">
        <f>+WeightCal!M61</f>
        <v>11.69935195074132</v>
      </c>
      <c r="E63" s="4">
        <f>+WeightCal!N61</f>
        <v>2.9464999102259366</v>
      </c>
      <c r="F63" s="4">
        <f>+WeightCal!O61</f>
        <v>0.49111543147380571</v>
      </c>
      <c r="G63" s="4">
        <f>+WeightCal!P61</f>
        <v>0.85939792137865068</v>
      </c>
      <c r="H63" s="4">
        <f>+WeightCal!Q61</f>
        <v>11.315747341788631</v>
      </c>
      <c r="I63" s="4">
        <f>+WeightCal!R61</f>
        <v>32.502279208659914</v>
      </c>
      <c r="J63" s="4">
        <f>+WeightCal!S61</f>
        <v>8.6686826018078467</v>
      </c>
      <c r="K63" s="4">
        <f>+WeightCal!T61</f>
        <v>0.24555946904616413</v>
      </c>
      <c r="L63" s="4">
        <f>+WeightCal!U61</f>
        <v>0</v>
      </c>
    </row>
    <row r="64" spans="1:12" x14ac:dyDescent="0.55000000000000004">
      <c r="A64" s="56"/>
      <c r="B64" s="6" t="s">
        <v>115</v>
      </c>
      <c r="C64" s="6" t="s">
        <v>115</v>
      </c>
      <c r="D64" s="4">
        <f>+WeightCal!M62</f>
        <v>4.6676999771036147</v>
      </c>
      <c r="E64" s="4">
        <f>+WeightCal!N62</f>
        <v>0.82424577005340161</v>
      </c>
      <c r="F64" s="4">
        <f>+WeightCal!O62</f>
        <v>1.5324319766932979</v>
      </c>
      <c r="G64" s="4">
        <f>+WeightCal!P62</f>
        <v>0.81707146253503982</v>
      </c>
      <c r="H64" s="4">
        <f>+WeightCal!Q62</f>
        <v>2.9644068897725084</v>
      </c>
      <c r="I64" s="4">
        <f>+WeightCal!R62</f>
        <v>18.7384900437618</v>
      </c>
      <c r="J64" s="4">
        <f>+WeightCal!S62</f>
        <v>27.627078401388435</v>
      </c>
      <c r="K64" s="4">
        <f>+WeightCal!T62</f>
        <v>1.0324277901401297E-2</v>
      </c>
      <c r="L64" s="4">
        <f>+WeightCal!U62</f>
        <v>0</v>
      </c>
    </row>
    <row r="65" spans="1:12" x14ac:dyDescent="0.55000000000000004">
      <c r="A65" s="56"/>
      <c r="B65" s="6" t="s">
        <v>125</v>
      </c>
      <c r="C65" s="6" t="s">
        <v>125</v>
      </c>
      <c r="D65" s="4">
        <f>+WeightCal!M63</f>
        <v>1.6956951427999483</v>
      </c>
      <c r="E65" s="4">
        <f>+WeightCal!N63</f>
        <v>5.3390787960058894</v>
      </c>
      <c r="F65" s="4">
        <f>+WeightCal!O63</f>
        <v>2.5643573215192199</v>
      </c>
      <c r="G65" s="4">
        <f>+WeightCal!P63</f>
        <v>3.725630826663159</v>
      </c>
      <c r="H65" s="4">
        <f>+WeightCal!Q63</f>
        <v>3.9871652481260824</v>
      </c>
      <c r="I65" s="4">
        <f>+WeightCal!R63</f>
        <v>3.6673278973454275</v>
      </c>
      <c r="J65" s="4">
        <f>+WeightCal!S63</f>
        <v>24.866374318898831</v>
      </c>
      <c r="K65" s="4">
        <f>+WeightCal!T63</f>
        <v>5.7583317885966885</v>
      </c>
      <c r="L65" s="4">
        <f>+WeightCal!U63</f>
        <v>0</v>
      </c>
    </row>
    <row r="66" spans="1:12" x14ac:dyDescent="0.55000000000000004">
      <c r="A66" s="57"/>
      <c r="B66" s="6" t="s">
        <v>127</v>
      </c>
      <c r="C66" s="6" t="s">
        <v>127</v>
      </c>
      <c r="D66" s="4">
        <f>+WeightCal!M64</f>
        <v>1.6557520474304301</v>
      </c>
      <c r="E66" s="4">
        <f>+WeightCal!N64</f>
        <v>9.4634029321456463</v>
      </c>
      <c r="F66" s="4">
        <f>+WeightCal!O64</f>
        <v>7.7794805954164996</v>
      </c>
      <c r="G66" s="4">
        <f>+WeightCal!P64</f>
        <v>4.3303916444888015</v>
      </c>
      <c r="H66" s="4">
        <f>+WeightCal!Q64</f>
        <v>7.5572930133040455</v>
      </c>
      <c r="I66" s="4">
        <f>+WeightCal!R64</f>
        <v>5.9267031338910234</v>
      </c>
      <c r="J66" s="4">
        <f>+WeightCal!S64</f>
        <v>27.975904098156203</v>
      </c>
      <c r="K66" s="4">
        <f>+WeightCal!T64</f>
        <v>3.1213670404070228</v>
      </c>
      <c r="L66" s="4">
        <f>+WeightCal!U64</f>
        <v>9.7818045645000945E-4</v>
      </c>
    </row>
    <row r="67" spans="1:12" x14ac:dyDescent="0.55000000000000004">
      <c r="A67" s="55" t="s">
        <v>165</v>
      </c>
      <c r="B67" s="6" t="s">
        <v>133</v>
      </c>
      <c r="C67" s="6" t="s">
        <v>133</v>
      </c>
      <c r="D67" s="4">
        <f>+WeightCal!M65</f>
        <v>5.4923602210303049</v>
      </c>
      <c r="E67" s="4">
        <f>+WeightCal!N65</f>
        <v>4.4933175958098842E-3</v>
      </c>
      <c r="F67" s="4">
        <f>+WeightCal!O65</f>
        <v>0.40350619472700294</v>
      </c>
      <c r="G67" s="4">
        <f>+WeightCal!P65</f>
        <v>0.75724249275613753</v>
      </c>
      <c r="H67" s="4">
        <f>+WeightCal!Q65</f>
        <v>1.3181693932540746</v>
      </c>
      <c r="I67" s="4">
        <f>+WeightCal!R65</f>
        <v>7.5365857417876807</v>
      </c>
      <c r="J67" s="4">
        <f>+WeightCal!S65</f>
        <v>27.765972220530049</v>
      </c>
      <c r="K67" s="4">
        <f>+WeightCal!T65</f>
        <v>0.44428168335627455</v>
      </c>
      <c r="L67" s="4">
        <f>+WeightCal!U65</f>
        <v>0.77732878724637766</v>
      </c>
    </row>
    <row r="68" spans="1:12" x14ac:dyDescent="0.55000000000000004">
      <c r="A68" s="56"/>
      <c r="B68" s="6" t="s">
        <v>131</v>
      </c>
      <c r="C68" s="6" t="s">
        <v>131</v>
      </c>
      <c r="D68" s="4">
        <f>+WeightCal!M66</f>
        <v>3.6919398314543912</v>
      </c>
      <c r="E68" s="4">
        <f>+WeightCal!N66</f>
        <v>1.6652254031735065</v>
      </c>
      <c r="F68" s="4">
        <f>+WeightCal!O66</f>
        <v>2.5356242213436411</v>
      </c>
      <c r="G68" s="4">
        <f>+WeightCal!P66</f>
        <v>2.1648347279310389</v>
      </c>
      <c r="H68" s="4">
        <f>+WeightCal!Q66</f>
        <v>1.3570593426607054</v>
      </c>
      <c r="I68" s="4">
        <f>+WeightCal!R66</f>
        <v>42.29442807924665</v>
      </c>
      <c r="J68" s="4">
        <f>+WeightCal!S66</f>
        <v>36.692082529111623</v>
      </c>
      <c r="K68" s="4">
        <f>+WeightCal!T66</f>
        <v>0.14216686279982513</v>
      </c>
      <c r="L68" s="4">
        <f>+WeightCal!U66</f>
        <v>1.9175968704685927E-3</v>
      </c>
    </row>
    <row r="69" spans="1:12" x14ac:dyDescent="0.55000000000000004">
      <c r="A69" s="56"/>
      <c r="B69" s="6" t="s">
        <v>129</v>
      </c>
      <c r="C69" s="6" t="s">
        <v>129</v>
      </c>
      <c r="D69" s="4">
        <f>+WeightCal!M67</f>
        <v>7.6923461702248019</v>
      </c>
      <c r="E69" s="4">
        <f>+WeightCal!N67</f>
        <v>3.8168232313470867</v>
      </c>
      <c r="F69" s="4">
        <f>+WeightCal!O67</f>
        <v>2.4192577946562088</v>
      </c>
      <c r="G69" s="4">
        <f>+WeightCal!P67</f>
        <v>1.2378724967481807</v>
      </c>
      <c r="H69" s="4">
        <f>+WeightCal!Q67</f>
        <v>2.2884270513526381</v>
      </c>
      <c r="I69" s="4">
        <f>+WeightCal!R67</f>
        <v>33.136956524299826</v>
      </c>
      <c r="J69" s="4">
        <f>+WeightCal!S67</f>
        <v>33.957424822318977</v>
      </c>
      <c r="K69" s="4">
        <f>+WeightCal!T67</f>
        <v>0.29842789849237161</v>
      </c>
      <c r="L69" s="4">
        <f>+WeightCal!U67</f>
        <v>2.2799710737166617E-2</v>
      </c>
    </row>
    <row r="70" spans="1:12" x14ac:dyDescent="0.55000000000000004">
      <c r="A70" s="57"/>
      <c r="B70" s="6" t="s">
        <v>135</v>
      </c>
      <c r="C70" s="6" t="s">
        <v>135</v>
      </c>
      <c r="D70" s="4">
        <f>+WeightCal!M68</f>
        <v>1.297044838303532</v>
      </c>
      <c r="E70" s="4">
        <f>+WeightCal!N68</f>
        <v>0.19566063967470299</v>
      </c>
      <c r="F70" s="4">
        <f>+WeightCal!O68</f>
        <v>3.9327287606335362</v>
      </c>
      <c r="G70" s="4">
        <f>+WeightCal!P68</f>
        <v>1.7818206573016837</v>
      </c>
      <c r="H70" s="4">
        <f>+WeightCal!Q68</f>
        <v>0.92882362062681167</v>
      </c>
      <c r="I70" s="4">
        <f>+WeightCal!R68</f>
        <v>15.043506401093257</v>
      </c>
      <c r="J70" s="4">
        <f>+WeightCal!S68</f>
        <v>21.855182744637094</v>
      </c>
      <c r="K70" s="4">
        <f>+WeightCal!T68</f>
        <v>3.7863268660081897E-2</v>
      </c>
      <c r="L70" s="4">
        <f>+WeightCal!U68</f>
        <v>9.9216090924651359E-3</v>
      </c>
    </row>
    <row r="71" spans="1:12" ht="24.75" thickBot="1" x14ac:dyDescent="0.6">
      <c r="A71" s="52" t="s">
        <v>230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</row>
    <row r="72" spans="1:12" x14ac:dyDescent="0.55000000000000004">
      <c r="A72" s="25"/>
      <c r="B72" s="25"/>
      <c r="C72" s="25"/>
      <c r="D72" s="25"/>
      <c r="E72" s="63" t="s">
        <v>199</v>
      </c>
      <c r="F72" s="18" t="s">
        <v>192</v>
      </c>
      <c r="G72" s="19" t="s">
        <v>193</v>
      </c>
      <c r="H72" s="19" t="s">
        <v>194</v>
      </c>
      <c r="I72" s="19" t="s">
        <v>195</v>
      </c>
      <c r="J72" s="19" t="s">
        <v>196</v>
      </c>
      <c r="K72" s="19" t="s">
        <v>197</v>
      </c>
      <c r="L72" s="20" t="s">
        <v>198</v>
      </c>
    </row>
    <row r="73" spans="1:12" x14ac:dyDescent="0.55000000000000004">
      <c r="A73" s="25"/>
      <c r="B73" s="25"/>
      <c r="C73" s="25"/>
      <c r="D73" s="25"/>
      <c r="E73" s="64"/>
      <c r="F73" s="21"/>
      <c r="G73" s="13"/>
      <c r="H73" s="14"/>
      <c r="I73" s="15"/>
      <c r="J73" s="16"/>
      <c r="K73" s="17"/>
      <c r="L73" s="22"/>
    </row>
    <row r="74" spans="1:12" ht="24.75" thickBot="1" x14ac:dyDescent="0.6">
      <c r="A74" s="25"/>
      <c r="B74" s="25"/>
      <c r="C74" s="25"/>
      <c r="D74" s="25"/>
      <c r="E74" s="65"/>
      <c r="F74" s="23" t="s">
        <v>188</v>
      </c>
      <c r="G74" s="60" t="s">
        <v>189</v>
      </c>
      <c r="H74" s="61"/>
      <c r="I74" s="60" t="s">
        <v>190</v>
      </c>
      <c r="J74" s="62"/>
      <c r="K74" s="61"/>
      <c r="L74" s="24" t="s">
        <v>191</v>
      </c>
    </row>
  </sheetData>
  <mergeCells count="17">
    <mergeCell ref="G74:H74"/>
    <mergeCell ref="I74:K74"/>
    <mergeCell ref="E72:E74"/>
    <mergeCell ref="A71:L71"/>
    <mergeCell ref="A1:L1"/>
    <mergeCell ref="A60:A66"/>
    <mergeCell ref="A67:A70"/>
    <mergeCell ref="A2:A4"/>
    <mergeCell ref="C2:C4"/>
    <mergeCell ref="D2:L2"/>
    <mergeCell ref="A5:A15"/>
    <mergeCell ref="A16:A25"/>
    <mergeCell ref="A26:A33"/>
    <mergeCell ref="A34:A43"/>
    <mergeCell ref="A44:A50"/>
    <mergeCell ref="A51:A59"/>
    <mergeCell ref="B2:B4"/>
  </mergeCells>
  <phoneticPr fontId="4" type="noConversion"/>
  <conditionalFormatting sqref="D5:L70">
    <cfRule type="cellIs" dxfId="24" priority="1" operator="greaterThan">
      <formula>90</formula>
    </cfRule>
    <cfRule type="cellIs" dxfId="23" priority="2" operator="between">
      <formula>70.00000001</formula>
      <formula>90</formula>
    </cfRule>
    <cfRule type="cellIs" dxfId="22" priority="3" operator="between">
      <formula>50.000000001</formula>
      <formula>70</formula>
    </cfRule>
    <cfRule type="cellIs" dxfId="21" priority="4" operator="between">
      <formula>35.0000000001</formula>
      <formula>50</formula>
    </cfRule>
    <cfRule type="cellIs" dxfId="20" priority="5" operator="between">
      <formula>20.000000001</formula>
      <formula>35</formula>
    </cfRule>
    <cfRule type="cellIs" dxfId="19" priority="6" operator="between">
      <formula>10.00000001</formula>
      <formula>20</formula>
    </cfRule>
    <cfRule type="cellIs" dxfId="18" priority="7" operator="lessThanOrEqual">
      <formula>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238-ACC7-428A-9281-E7644E7FE0D5}">
  <sheetPr>
    <tabColor rgb="FFFFFF00"/>
  </sheetPr>
  <dimension ref="A1:X71"/>
  <sheetViews>
    <sheetView tabSelected="1" topLeftCell="A13" zoomScale="115" zoomScaleNormal="115" workbookViewId="0">
      <selection activeCell="Q2" sqref="Q2:X6"/>
    </sheetView>
  </sheetViews>
  <sheetFormatPr defaultColWidth="9" defaultRowHeight="24" x14ac:dyDescent="0.55000000000000004"/>
  <cols>
    <col min="1" max="2" width="18.125" customWidth="1"/>
    <col min="3" max="3" width="18.125" hidden="1" customWidth="1"/>
    <col min="4" max="5" width="16.75" bestFit="1" customWidth="1"/>
    <col min="6" max="6" width="15.75" bestFit="1" customWidth="1"/>
    <col min="7" max="7" width="4.75" style="25" customWidth="1"/>
    <col min="8" max="9" width="18.125" customWidth="1"/>
    <col min="10" max="10" width="18.125" hidden="1" customWidth="1"/>
    <col min="11" max="11" width="16.375" bestFit="1" customWidth="1"/>
    <col min="12" max="12" width="16.75" bestFit="1" customWidth="1"/>
    <col min="13" max="13" width="16.5" bestFit="1" customWidth="1"/>
    <col min="17" max="17" width="11.25" customWidth="1"/>
    <col min="18" max="24" width="10.5" customWidth="1"/>
  </cols>
  <sheetData>
    <row r="1" spans="1:24" ht="42" customHeight="1" thickBot="1" x14ac:dyDescent="0.6">
      <c r="A1" s="70" t="str">
        <f>'สรุปรายวัน (อ.)'!A1:L1</f>
        <v>ปริมาณฝนคาดการณ์ระหว่างวันที่ 27 กันยายน - 5 ตุลาคม  2567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24" ht="24.75" customHeight="1" x14ac:dyDescent="0.55000000000000004">
      <c r="A2" s="53" t="s">
        <v>168</v>
      </c>
      <c r="B2" s="53" t="s">
        <v>169</v>
      </c>
      <c r="C2" s="53" t="s">
        <v>169</v>
      </c>
      <c r="D2" s="66" t="s">
        <v>187</v>
      </c>
      <c r="E2" s="67"/>
      <c r="F2" s="68"/>
      <c r="G2" s="46"/>
      <c r="H2" s="53" t="s">
        <v>168</v>
      </c>
      <c r="I2" s="53" t="s">
        <v>169</v>
      </c>
      <c r="J2" s="53" t="s">
        <v>169</v>
      </c>
      <c r="K2" s="66" t="s">
        <v>187</v>
      </c>
      <c r="L2" s="67"/>
      <c r="M2" s="68"/>
      <c r="P2" s="63" t="s">
        <v>199</v>
      </c>
      <c r="Q2" s="37" t="s">
        <v>171</v>
      </c>
      <c r="R2" s="30" t="s">
        <v>200</v>
      </c>
      <c r="S2" s="28" t="s">
        <v>203</v>
      </c>
      <c r="T2" s="28" t="s">
        <v>206</v>
      </c>
      <c r="U2" s="28" t="s">
        <v>208</v>
      </c>
      <c r="V2" s="28" t="s">
        <v>211</v>
      </c>
      <c r="W2" s="28" t="s">
        <v>214</v>
      </c>
      <c r="X2" s="29" t="s">
        <v>217</v>
      </c>
    </row>
    <row r="3" spans="1:24" x14ac:dyDescent="0.55000000000000004">
      <c r="A3" s="53"/>
      <c r="B3" s="53"/>
      <c r="C3" s="53"/>
      <c r="D3" s="5" t="s">
        <v>180</v>
      </c>
      <c r="E3" s="5" t="s">
        <v>182</v>
      </c>
      <c r="F3" s="5" t="s">
        <v>184</v>
      </c>
      <c r="G3" s="47"/>
      <c r="H3" s="53"/>
      <c r="I3" s="53"/>
      <c r="J3" s="53"/>
      <c r="K3" s="5" t="s">
        <v>180</v>
      </c>
      <c r="L3" s="5" t="s">
        <v>182</v>
      </c>
      <c r="M3" s="5" t="s">
        <v>184</v>
      </c>
      <c r="P3" s="64"/>
      <c r="Q3" s="38" t="s">
        <v>172</v>
      </c>
      <c r="R3" s="31" t="s">
        <v>201</v>
      </c>
      <c r="S3" s="26" t="s">
        <v>204</v>
      </c>
      <c r="T3" s="27" t="s">
        <v>207</v>
      </c>
      <c r="U3" s="27" t="s">
        <v>209</v>
      </c>
      <c r="V3" s="27" t="s">
        <v>212</v>
      </c>
      <c r="W3" s="27" t="s">
        <v>215</v>
      </c>
      <c r="X3" s="33" t="s">
        <v>218</v>
      </c>
    </row>
    <row r="4" spans="1:24" x14ac:dyDescent="0.55000000000000004">
      <c r="A4" s="53"/>
      <c r="B4" s="53"/>
      <c r="C4" s="53"/>
      <c r="D4" s="36" t="str">
        <f>"("&amp;TEXT('สรุปรายวัน (อ.)'!D4,"[$-th-TH,107]d mmm;@")&amp;" - "&amp;TEXT('สรุปรายวัน (อ.)'!F4,"[$-th-TH,107]d mmm yy;@")&amp;")"</f>
        <v>(27 ก.ย. - 29 ก.ย. 67)</v>
      </c>
      <c r="E4" s="36" t="str">
        <f>"("&amp;TEXT('สรุปรายวัน (อ.)'!D4,"[$-th-TH,107]d mmm;@")&amp;" - "&amp;TEXT('สรุปรายวัน (อ.)'!H4,"[$-th-TH,107]d mmm yy;@")&amp;")"</f>
        <v>(27 ก.ย. - 1 ต.ค. 67)</v>
      </c>
      <c r="F4" s="36" t="str">
        <f>"("&amp;TEXT('สรุปรายวัน (อ.)'!D4,"[$-th-TH,107]d mmm;@")&amp;" - "&amp;TEXT('สรุปรายวัน (อ.)'!J4,"[$-th-TH,107]d mmm yy;@")&amp;")"</f>
        <v>(27 ก.ย. - 3 ต.ค. 67)</v>
      </c>
      <c r="G4" s="48"/>
      <c r="H4" s="53"/>
      <c r="I4" s="53"/>
      <c r="J4" s="53"/>
      <c r="K4" s="36" t="str">
        <f>"("&amp;TEXT('สรุปรายวัน (อ.)'!D4,"[$-th-TH,107]d mmm;@")&amp;" - "&amp;TEXT('สรุปรายวัน (อ.)'!F4,"[$-th-TH,107]d mmm yy;@")&amp;")"</f>
        <v>(27 ก.ย. - 29 ก.ย. 67)</v>
      </c>
      <c r="L4" s="36" t="str">
        <f>"("&amp;TEXT('สรุปรายวัน (อ.)'!D4,"[$-th-TH,107]d mmm;@")&amp;" - "&amp;TEXT('สรุปรายวัน (อ.)'!H4,"[$-th-TH,107]d mmm yy;@")&amp;")"</f>
        <v>(27 ก.ย. - 1 ต.ค. 67)</v>
      </c>
      <c r="M4" s="36" t="str">
        <f>"("&amp;TEXT('สรุปรายวัน (อ.)'!D4,"[$-th-TH,107]d mmm;@")&amp;" - "&amp;TEXT('สรุปรายวัน (อ.)'!J4,"[$-th-TH,107]d mmm yy;@")&amp;")"</f>
        <v>(27 ก.ย. - 3 ต.ค. 67)</v>
      </c>
      <c r="P4" s="64"/>
      <c r="Q4" s="38" t="s">
        <v>173</v>
      </c>
      <c r="R4" s="31" t="s">
        <v>202</v>
      </c>
      <c r="S4" s="26" t="s">
        <v>205</v>
      </c>
      <c r="T4" s="27" t="s">
        <v>221</v>
      </c>
      <c r="U4" s="27" t="s">
        <v>210</v>
      </c>
      <c r="V4" s="27" t="s">
        <v>213</v>
      </c>
      <c r="W4" s="27" t="s">
        <v>216</v>
      </c>
      <c r="X4" s="33" t="s">
        <v>219</v>
      </c>
    </row>
    <row r="5" spans="1:24" x14ac:dyDescent="0.55000000000000004">
      <c r="A5" s="57" t="s">
        <v>163</v>
      </c>
      <c r="B5" s="12" t="s">
        <v>113</v>
      </c>
      <c r="C5" s="12" t="s">
        <v>113</v>
      </c>
      <c r="D5" s="4">
        <f>+SUM('สรุปรายวัน (อ.)'!D5:F5)</f>
        <v>69.704373360947642</v>
      </c>
      <c r="E5" s="4">
        <f>+SUM('สรุปรายวัน (อ.)'!D5:H5)</f>
        <v>71.14655739863349</v>
      </c>
      <c r="F5" s="4">
        <f>+SUM('สรุปรายวัน (อ.)'!D5:J5)</f>
        <v>113.76209742209532</v>
      </c>
      <c r="G5" s="49"/>
      <c r="H5" s="53" t="s">
        <v>162</v>
      </c>
      <c r="I5" s="6" t="s">
        <v>83</v>
      </c>
      <c r="J5" s="6" t="s">
        <v>83</v>
      </c>
      <c r="K5" s="4">
        <f>+SUM('สรุปรายวัน (อ.)'!D44:F44)</f>
        <v>10.02416871797937</v>
      </c>
      <c r="L5" s="4">
        <f>+SUM('สรุปรายวัน (อ.)'!D44:H44)</f>
        <v>13.758080408385206</v>
      </c>
      <c r="M5" s="4">
        <f>+SUM('สรุปรายวัน (อ.)'!D44:J44)</f>
        <v>23.673613820132914</v>
      </c>
      <c r="P5" s="64"/>
      <c r="Q5" s="71" t="s">
        <v>220</v>
      </c>
      <c r="R5" s="39"/>
      <c r="S5" s="40"/>
      <c r="T5" s="41"/>
      <c r="U5" s="42"/>
      <c r="V5" s="43"/>
      <c r="W5" s="44"/>
      <c r="X5" s="45"/>
    </row>
    <row r="6" spans="1:24" ht="24.75" thickBot="1" x14ac:dyDescent="0.6">
      <c r="A6" s="53"/>
      <c r="B6" s="6" t="s">
        <v>111</v>
      </c>
      <c r="C6" s="6" t="s">
        <v>111</v>
      </c>
      <c r="D6" s="4">
        <f>+SUM('สรุปรายวัน (อ.)'!D6:F6)</f>
        <v>16.604292560914473</v>
      </c>
      <c r="E6" s="4">
        <f>+SUM('สรุปรายวัน (อ.)'!D6:H6)</f>
        <v>24.165232726175518</v>
      </c>
      <c r="F6" s="4">
        <f>+SUM('สรุปรายวัน (อ.)'!D6:J6)</f>
        <v>58.204226011742861</v>
      </c>
      <c r="G6" s="49"/>
      <c r="H6" s="53"/>
      <c r="I6" s="6" t="s">
        <v>81</v>
      </c>
      <c r="J6" s="6" t="s">
        <v>81</v>
      </c>
      <c r="K6" s="4">
        <f>+SUM('สรุปรายวัน (อ.)'!D45:F45)</f>
        <v>3.4532811905211958</v>
      </c>
      <c r="L6" s="4">
        <f>+SUM('สรุปรายวัน (อ.)'!D45:H45)</f>
        <v>4.0914893531410561</v>
      </c>
      <c r="M6" s="4">
        <f>+SUM('สรุปรายวัน (อ.)'!D45:J45)</f>
        <v>8.1888342565960883</v>
      </c>
      <c r="P6" s="65"/>
      <c r="Q6" s="65"/>
      <c r="R6" s="32" t="s">
        <v>188</v>
      </c>
      <c r="S6" s="60" t="s">
        <v>189</v>
      </c>
      <c r="T6" s="61"/>
      <c r="U6" s="60" t="s">
        <v>190</v>
      </c>
      <c r="V6" s="62"/>
      <c r="W6" s="61"/>
      <c r="X6" s="24" t="s">
        <v>191</v>
      </c>
    </row>
    <row r="7" spans="1:24" x14ac:dyDescent="0.55000000000000004">
      <c r="A7" s="53"/>
      <c r="B7" s="6" t="s">
        <v>95</v>
      </c>
      <c r="C7" s="6" t="s">
        <v>95</v>
      </c>
      <c r="D7" s="4">
        <f>+SUM('สรุปรายวัน (อ.)'!D7:F7)</f>
        <v>54.957611038681677</v>
      </c>
      <c r="E7" s="4">
        <f>+SUM('สรุปรายวัน (อ.)'!D7:H7)</f>
        <v>56.566101940167037</v>
      </c>
      <c r="F7" s="4">
        <f>+SUM('สรุปรายวัน (อ.)'!D7:J7)</f>
        <v>94.314429778893299</v>
      </c>
      <c r="G7" s="49"/>
      <c r="H7" s="53"/>
      <c r="I7" s="6" t="s">
        <v>85</v>
      </c>
      <c r="J7" s="6" t="s">
        <v>85</v>
      </c>
      <c r="K7" s="4">
        <f>+SUM('สรุปรายวัน (อ.)'!D46:F46)</f>
        <v>27.836440400251035</v>
      </c>
      <c r="L7" s="4">
        <f>+SUM('สรุปรายวัน (อ.)'!D46:H46)</f>
        <v>34.318818036236962</v>
      </c>
      <c r="M7" s="4">
        <f>+SUM('สรุปรายวัน (อ.)'!D46:J46)</f>
        <v>55.112285108715106</v>
      </c>
    </row>
    <row r="8" spans="1:24" x14ac:dyDescent="0.55000000000000004">
      <c r="A8" s="53"/>
      <c r="B8" s="6" t="s">
        <v>97</v>
      </c>
      <c r="C8" s="6" t="s">
        <v>97</v>
      </c>
      <c r="D8" s="4">
        <f>+SUM('สรุปรายวัน (อ.)'!D8:F8)</f>
        <v>43.702801276061976</v>
      </c>
      <c r="E8" s="4">
        <f>+SUM('สรุปรายวัน (อ.)'!D8:H8)</f>
        <v>45.028802565796532</v>
      </c>
      <c r="F8" s="4">
        <f>+SUM('สรุปรายวัน (อ.)'!D8:J8)</f>
        <v>64.480967478987736</v>
      </c>
      <c r="G8" s="49"/>
      <c r="H8" s="53"/>
      <c r="I8" s="6" t="s">
        <v>79</v>
      </c>
      <c r="J8" s="6" t="s">
        <v>79</v>
      </c>
      <c r="K8" s="4">
        <f>+SUM('สรุปรายวัน (อ.)'!D47:F47)</f>
        <v>10.030476025213773</v>
      </c>
      <c r="L8" s="4">
        <f>+SUM('สรุปรายวัน (อ.)'!D47:H47)</f>
        <v>13.690152897019926</v>
      </c>
      <c r="M8" s="4">
        <f>+SUM('สรุปรายวัน (อ.)'!D47:J47)</f>
        <v>30.468142845441701</v>
      </c>
    </row>
    <row r="9" spans="1:24" x14ac:dyDescent="0.55000000000000004">
      <c r="A9" s="53"/>
      <c r="B9" s="6" t="s">
        <v>99</v>
      </c>
      <c r="C9" s="6" t="s">
        <v>99</v>
      </c>
      <c r="D9" s="4">
        <f>+SUM('สรุปรายวัน (อ.)'!D9:F9)</f>
        <v>12.29374588179304</v>
      </c>
      <c r="E9" s="4">
        <f>+SUM('สรุปรายวัน (อ.)'!D9:H9)</f>
        <v>26.103466947560161</v>
      </c>
      <c r="F9" s="4">
        <f>+SUM('สรุปรายวัน (อ.)'!D9:J9)</f>
        <v>54.151874008152959</v>
      </c>
      <c r="G9" s="49"/>
      <c r="H9" s="53"/>
      <c r="I9" s="6" t="s">
        <v>87</v>
      </c>
      <c r="J9" s="6" t="s">
        <v>87</v>
      </c>
      <c r="K9" s="4">
        <f>+SUM('สรุปรายวัน (อ.)'!D48:F48)</f>
        <v>0.46971529882364516</v>
      </c>
      <c r="L9" s="4">
        <f>+SUM('สรุปรายวัน (อ.)'!D48:H48)</f>
        <v>1.7013458561561683</v>
      </c>
      <c r="M9" s="4">
        <f>+SUM('สรุปรายวัน (อ.)'!D48:J48)</f>
        <v>16.689932770058476</v>
      </c>
    </row>
    <row r="10" spans="1:24" x14ac:dyDescent="0.55000000000000004">
      <c r="A10" s="53"/>
      <c r="B10" s="6" t="s">
        <v>101</v>
      </c>
      <c r="C10" s="6" t="s">
        <v>101</v>
      </c>
      <c r="D10" s="4">
        <f>+SUM('สรุปรายวัน (อ.)'!D10:F10)</f>
        <v>15.622795109008932</v>
      </c>
      <c r="E10" s="4">
        <f>+SUM('สรุปรายวัน (อ.)'!D10:H10)</f>
        <v>21.235334445966217</v>
      </c>
      <c r="F10" s="4">
        <f>+SUM('สรุปรายวัน (อ.)'!D10:J10)</f>
        <v>48.744971823121055</v>
      </c>
      <c r="G10" s="49"/>
      <c r="H10" s="53"/>
      <c r="I10" s="6" t="s">
        <v>227</v>
      </c>
      <c r="J10" s="6" t="s">
        <v>89</v>
      </c>
      <c r="K10" s="4">
        <f>+SUM('สรุปรายวัน (อ.)'!D49:F49)</f>
        <v>2.7751137365876537</v>
      </c>
      <c r="L10" s="4">
        <f>+SUM('สรุปรายวัน (อ.)'!D49:H49)</f>
        <v>7.9703953062379149</v>
      </c>
      <c r="M10" s="4">
        <f>+SUM('สรุปรายวัน (อ.)'!D49:J49)</f>
        <v>15.877500732162472</v>
      </c>
    </row>
    <row r="11" spans="1:24" x14ac:dyDescent="0.55000000000000004">
      <c r="A11" s="53"/>
      <c r="B11" s="6" t="s">
        <v>109</v>
      </c>
      <c r="C11" s="6" t="s">
        <v>109</v>
      </c>
      <c r="D11" s="4">
        <f>+SUM('สรุปรายวัน (อ.)'!D11:F11)</f>
        <v>43.25408143017885</v>
      </c>
      <c r="E11" s="4">
        <f>+SUM('สรุปรายวัน (อ.)'!D11:H11)</f>
        <v>47.573468170536543</v>
      </c>
      <c r="F11" s="4">
        <f>+SUM('สรุปรายวัน (อ.)'!D11:J11)</f>
        <v>80.824462422234191</v>
      </c>
      <c r="G11" s="49"/>
      <c r="H11" s="53"/>
      <c r="I11" s="6" t="s">
        <v>228</v>
      </c>
      <c r="J11" s="6" t="s">
        <v>91</v>
      </c>
      <c r="K11" s="4">
        <f>+SUM('สรุปรายวัน (อ.)'!D50:F50)</f>
        <v>5.1411688641285087</v>
      </c>
      <c r="L11" s="4">
        <f>+SUM('สรุปรายวัน (อ.)'!D50:H50)</f>
        <v>30.057226760593892</v>
      </c>
      <c r="M11" s="4">
        <f>+SUM('สรุปรายวัน (อ.)'!D50:J50)</f>
        <v>59.038288593795826</v>
      </c>
    </row>
    <row r="12" spans="1:24" x14ac:dyDescent="0.55000000000000004">
      <c r="A12" s="53"/>
      <c r="B12" s="6" t="s">
        <v>103</v>
      </c>
      <c r="C12" s="6" t="s">
        <v>103</v>
      </c>
      <c r="D12" s="4">
        <f>+SUM('สรุปรายวัน (อ.)'!D12:F12)</f>
        <v>26.689218300726662</v>
      </c>
      <c r="E12" s="4">
        <f>+SUM('สรุปรายวัน (อ.)'!D12:H12)</f>
        <v>33.048873022726369</v>
      </c>
      <c r="F12" s="4">
        <f>+SUM('สรุปรายวัน (อ.)'!D12:J12)</f>
        <v>53.704768633341686</v>
      </c>
      <c r="G12" s="49"/>
      <c r="H12" s="53" t="s">
        <v>166</v>
      </c>
      <c r="I12" s="6" t="s">
        <v>149</v>
      </c>
      <c r="J12" s="6" t="s">
        <v>149</v>
      </c>
      <c r="K12" s="4">
        <f>+SUM('สรุปรายวัน (อ.)'!D51:F51)</f>
        <v>3.8344762269520487</v>
      </c>
      <c r="L12" s="4">
        <f>+SUM('สรุปรายวัน (อ.)'!D51:H51)</f>
        <v>5.9557484056706196</v>
      </c>
      <c r="M12" s="4">
        <f>+SUM('สรุปรายวัน (อ.)'!D51:J51)</f>
        <v>38.944670943831369</v>
      </c>
    </row>
    <row r="13" spans="1:24" x14ac:dyDescent="0.55000000000000004">
      <c r="A13" s="53"/>
      <c r="B13" s="6" t="s">
        <v>93</v>
      </c>
      <c r="C13" s="6" t="s">
        <v>93</v>
      </c>
      <c r="D13" s="4">
        <f>+SUM('สรุปรายวัน (อ.)'!D13:F13)</f>
        <v>27.824051206747313</v>
      </c>
      <c r="E13" s="4">
        <f>+SUM('สรุปรายวัน (อ.)'!D13:H13)</f>
        <v>31.407525010394071</v>
      </c>
      <c r="F13" s="4">
        <f>+SUM('สรุปรายวัน (อ.)'!D13:J13)</f>
        <v>65.812819693553067</v>
      </c>
      <c r="G13" s="49"/>
      <c r="H13" s="53"/>
      <c r="I13" s="6" t="s">
        <v>139</v>
      </c>
      <c r="J13" s="6" t="s">
        <v>139</v>
      </c>
      <c r="K13" s="4">
        <f>+SUM('สรุปรายวัน (อ.)'!D52:F52)</f>
        <v>22.03943264775695</v>
      </c>
      <c r="L13" s="4">
        <f>+SUM('สรุปรายวัน (อ.)'!D52:H52)</f>
        <v>26.708054913453449</v>
      </c>
      <c r="M13" s="4">
        <f>+SUM('สรุปรายวัน (อ.)'!D52:J52)</f>
        <v>40.72289122184813</v>
      </c>
    </row>
    <row r="14" spans="1:24" x14ac:dyDescent="0.55000000000000004">
      <c r="A14" s="53"/>
      <c r="B14" s="6" t="s">
        <v>105</v>
      </c>
      <c r="C14" s="6" t="s">
        <v>105</v>
      </c>
      <c r="D14" s="4">
        <f>+SUM('สรุปรายวัน (อ.)'!D14:F14)</f>
        <v>45.635498552683259</v>
      </c>
      <c r="E14" s="4">
        <f>+SUM('สรุปรายวัน (อ.)'!D14:H14)</f>
        <v>46.298678301624655</v>
      </c>
      <c r="F14" s="4">
        <f>+SUM('สรุปรายวัน (อ.)'!D14:J14)</f>
        <v>74.266243345698143</v>
      </c>
      <c r="G14" s="49"/>
      <c r="H14" s="53"/>
      <c r="I14" s="6" t="s">
        <v>151</v>
      </c>
      <c r="J14" s="6" t="s">
        <v>151</v>
      </c>
      <c r="K14" s="4">
        <f>+SUM('สรุปรายวัน (อ.)'!D53:F53)</f>
        <v>5.8746408508370838E-2</v>
      </c>
      <c r="L14" s="4">
        <f>+SUM('สรุปรายวัน (อ.)'!D53:H53)</f>
        <v>1.616405560051785</v>
      </c>
      <c r="M14" s="4">
        <f>+SUM('สรุปรายวัน (อ.)'!D53:J53)</f>
        <v>17.898192891317521</v>
      </c>
    </row>
    <row r="15" spans="1:24" x14ac:dyDescent="0.55000000000000004">
      <c r="A15" s="53"/>
      <c r="B15" s="6" t="s">
        <v>107</v>
      </c>
      <c r="C15" s="6" t="s">
        <v>107</v>
      </c>
      <c r="D15" s="4">
        <f>+SUM('สรุปรายวัน (อ.)'!D15:F15)</f>
        <v>14.636164285681547</v>
      </c>
      <c r="E15" s="4">
        <f>+SUM('สรุปรายวัน (อ.)'!D15:H15)</f>
        <v>15.961816230897316</v>
      </c>
      <c r="F15" s="4">
        <f>+SUM('สรุปรายวัน (อ.)'!D15:J15)</f>
        <v>38.989171549720609</v>
      </c>
      <c r="G15" s="49"/>
      <c r="H15" s="53"/>
      <c r="I15" s="6" t="s">
        <v>141</v>
      </c>
      <c r="J15" s="6" t="s">
        <v>141</v>
      </c>
      <c r="K15" s="4">
        <f>+SUM('สรุปรายวัน (อ.)'!D54:F54)</f>
        <v>1.3943014050639015</v>
      </c>
      <c r="L15" s="4">
        <f>+SUM('สรุปรายวัน (อ.)'!D54:H54)</f>
        <v>6.3345420431170725</v>
      </c>
      <c r="M15" s="4">
        <f>+SUM('สรุปรายวัน (อ.)'!D54:J54)</f>
        <v>26.974102554411036</v>
      </c>
    </row>
    <row r="16" spans="1:24" x14ac:dyDescent="0.55000000000000004">
      <c r="A16" s="53" t="s">
        <v>159</v>
      </c>
      <c r="B16" s="6" t="s">
        <v>41</v>
      </c>
      <c r="C16" s="6" t="s">
        <v>41</v>
      </c>
      <c r="D16" s="4">
        <f>+SUM('สรุปรายวัน (อ.)'!D16:F16)</f>
        <v>13.784248440113432</v>
      </c>
      <c r="E16" s="4">
        <f>+SUM('สรุปรายวัน (อ.)'!D16:H16)</f>
        <v>15.968677622908091</v>
      </c>
      <c r="F16" s="4">
        <f>+SUM('สรุปรายวัน (อ.)'!D16:J16)</f>
        <v>36.176252545826166</v>
      </c>
      <c r="G16" s="49"/>
      <c r="H16" s="53"/>
      <c r="I16" s="6" t="s">
        <v>137</v>
      </c>
      <c r="J16" s="6" t="s">
        <v>137</v>
      </c>
      <c r="K16" s="4">
        <f>+SUM('สรุปรายวัน (อ.)'!D55:F55)</f>
        <v>4.0561102596202767</v>
      </c>
      <c r="L16" s="4">
        <f>+SUM('สรุปรายวัน (อ.)'!D55:H55)</f>
        <v>5.2997983448165487</v>
      </c>
      <c r="M16" s="4">
        <f>+SUM('สรุปรายวัน (อ.)'!D55:J55)</f>
        <v>28.757111516320869</v>
      </c>
    </row>
    <row r="17" spans="1:13" x14ac:dyDescent="0.55000000000000004">
      <c r="A17" s="53"/>
      <c r="B17" s="6" t="s">
        <v>39</v>
      </c>
      <c r="C17" s="6" t="s">
        <v>39</v>
      </c>
      <c r="D17" s="4">
        <f>+SUM('สรุปรายวัน (อ.)'!D17:F17)</f>
        <v>4.3994438598894883</v>
      </c>
      <c r="E17" s="4">
        <f>+SUM('สรุปรายวัน (อ.)'!D17:H17)</f>
        <v>13.471281889300183</v>
      </c>
      <c r="F17" s="4">
        <f>+SUM('สรุปรายวัน (อ.)'!D17:J17)</f>
        <v>46.314869529909366</v>
      </c>
      <c r="G17" s="49"/>
      <c r="H17" s="53"/>
      <c r="I17" s="6" t="s">
        <v>143</v>
      </c>
      <c r="J17" s="6" t="s">
        <v>143</v>
      </c>
      <c r="K17" s="4">
        <f>+SUM('สรุปรายวัน (อ.)'!D56:F56)</f>
        <v>5.451611881235249</v>
      </c>
      <c r="L17" s="4">
        <f>+SUM('สรุปรายวัน (อ.)'!D56:H56)</f>
        <v>6.5507113267055468</v>
      </c>
      <c r="M17" s="4">
        <f>+SUM('สรุปรายวัน (อ.)'!D56:J56)</f>
        <v>30.464717020736497</v>
      </c>
    </row>
    <row r="18" spans="1:13" x14ac:dyDescent="0.55000000000000004">
      <c r="A18" s="53"/>
      <c r="B18" s="6" t="s">
        <v>27</v>
      </c>
      <c r="C18" s="6" t="s">
        <v>27</v>
      </c>
      <c r="D18" s="4">
        <f>+SUM('สรุปรายวัน (อ.)'!D18:F18)</f>
        <v>5.5545892511987098</v>
      </c>
      <c r="E18" s="4">
        <f>+SUM('สรุปรายวัน (อ.)'!D18:H18)</f>
        <v>9.3046110980084649</v>
      </c>
      <c r="F18" s="4">
        <f>+SUM('สรุปรายวัน (อ.)'!D18:J18)</f>
        <v>45.220833019958889</v>
      </c>
      <c r="G18" s="49"/>
      <c r="H18" s="53"/>
      <c r="I18" s="6" t="s">
        <v>153</v>
      </c>
      <c r="J18" s="6" t="s">
        <v>153</v>
      </c>
      <c r="K18" s="4">
        <f>+SUM('สรุปรายวัน (อ.)'!D57:F57)</f>
        <v>26.775444889217447</v>
      </c>
      <c r="L18" s="4">
        <f>+SUM('สรุปรายวัน (อ.)'!D57:H57)</f>
        <v>36.096587310445528</v>
      </c>
      <c r="M18" s="4">
        <f>+SUM('สรุปรายวัน (อ.)'!D57:J57)</f>
        <v>82.874882776535003</v>
      </c>
    </row>
    <row r="19" spans="1:13" x14ac:dyDescent="0.55000000000000004">
      <c r="A19" s="53"/>
      <c r="B19" s="6" t="s">
        <v>23</v>
      </c>
      <c r="C19" s="6" t="s">
        <v>23</v>
      </c>
      <c r="D19" s="4">
        <f>+SUM('สรุปรายวัน (อ.)'!D19:F19)</f>
        <v>14.220623117755032</v>
      </c>
      <c r="E19" s="4">
        <f>+SUM('สรุปรายวัน (อ.)'!D19:H19)</f>
        <v>21.239224280242762</v>
      </c>
      <c r="F19" s="4">
        <f>+SUM('สรุปรายวัน (อ.)'!D19:J19)</f>
        <v>80.519543722798318</v>
      </c>
      <c r="G19" s="49"/>
      <c r="H19" s="53"/>
      <c r="I19" s="6" t="s">
        <v>145</v>
      </c>
      <c r="J19" s="6" t="s">
        <v>145</v>
      </c>
      <c r="K19" s="4">
        <f>+SUM('สรุปรายวัน (อ.)'!D58:F58)</f>
        <v>3.7264697988988997</v>
      </c>
      <c r="L19" s="4">
        <f>+SUM('สรุปรายวัน (อ.)'!D58:H58)</f>
        <v>6.9747051429708939</v>
      </c>
      <c r="M19" s="4">
        <f>+SUM('สรุปรายวัน (อ.)'!D58:J58)</f>
        <v>30.695577961000847</v>
      </c>
    </row>
    <row r="20" spans="1:13" x14ac:dyDescent="0.55000000000000004">
      <c r="A20" s="53"/>
      <c r="B20" s="6" t="s">
        <v>31</v>
      </c>
      <c r="C20" s="6" t="s">
        <v>31</v>
      </c>
      <c r="D20" s="4">
        <f>+SUM('สรุปรายวัน (อ.)'!D20:F20)</f>
        <v>14.425714483941691</v>
      </c>
      <c r="E20" s="4">
        <f>+SUM('สรุปรายวัน (อ.)'!D20:H20)</f>
        <v>24.243064493421265</v>
      </c>
      <c r="F20" s="4">
        <f>+SUM('สรุปรายวัน (อ.)'!D20:J20)</f>
        <v>47.12250286075993</v>
      </c>
      <c r="G20" s="49"/>
      <c r="H20" s="53"/>
      <c r="I20" s="6" t="s">
        <v>147</v>
      </c>
      <c r="J20" s="6" t="s">
        <v>147</v>
      </c>
      <c r="K20" s="4">
        <f>+SUM('สรุปรายวัน (อ.)'!D59:F59)</f>
        <v>1.108106591614703</v>
      </c>
      <c r="L20" s="4">
        <f>+SUM('สรุปรายวัน (อ.)'!D59:H59)</f>
        <v>6.3800634576571369</v>
      </c>
      <c r="M20" s="4">
        <f>+SUM('สรุปรายวัน (อ.)'!D59:J59)</f>
        <v>27.970298274064081</v>
      </c>
    </row>
    <row r="21" spans="1:13" x14ac:dyDescent="0.55000000000000004">
      <c r="A21" s="53"/>
      <c r="B21" s="6" t="s">
        <v>29</v>
      </c>
      <c r="C21" s="6" t="s">
        <v>29</v>
      </c>
      <c r="D21" s="4">
        <f>+SUM('สรุปรายวัน (อ.)'!D21:F21)</f>
        <v>40.742715178237553</v>
      </c>
      <c r="E21" s="4">
        <f>+SUM('สรุปรายวัน (อ.)'!D21:H21)</f>
        <v>44.170085575461329</v>
      </c>
      <c r="F21" s="4">
        <f>+SUM('สรุปรายวัน (อ.)'!D21:J21)</f>
        <v>100.11530085915891</v>
      </c>
      <c r="G21" s="49"/>
      <c r="H21" s="55" t="s">
        <v>164</v>
      </c>
      <c r="I21" s="6" t="s">
        <v>117</v>
      </c>
      <c r="J21" s="6" t="s">
        <v>117</v>
      </c>
      <c r="K21" s="4">
        <f>+SUM('สรุปรายวัน (อ.)'!D60:F60)</f>
        <v>5.9436689802275096</v>
      </c>
      <c r="L21" s="4">
        <f>+SUM('สรุปรายวัน (อ.)'!D60:H60)</f>
        <v>9.1697344823143965</v>
      </c>
      <c r="M21" s="4">
        <f>+SUM('สรุปรายวัน (อ.)'!D60:J60)</f>
        <v>32.562478906836731</v>
      </c>
    </row>
    <row r="22" spans="1:13" x14ac:dyDescent="0.55000000000000004">
      <c r="A22" s="53"/>
      <c r="B22" s="6" t="s">
        <v>21</v>
      </c>
      <c r="C22" s="6" t="s">
        <v>21</v>
      </c>
      <c r="D22" s="4">
        <f>+SUM('สรุปรายวัน (อ.)'!D22:F22)</f>
        <v>21.613732356289191</v>
      </c>
      <c r="E22" s="4">
        <f>+SUM('สรุปรายวัน (อ.)'!D22:H22)</f>
        <v>25.609150610796515</v>
      </c>
      <c r="F22" s="4">
        <f>+SUM('สรุปรายวัน (อ.)'!D22:J22)</f>
        <v>65.131916893858715</v>
      </c>
      <c r="G22" s="49"/>
      <c r="H22" s="56"/>
      <c r="I22" s="6" t="s">
        <v>119</v>
      </c>
      <c r="J22" s="6" t="s">
        <v>119</v>
      </c>
      <c r="K22" s="4">
        <f>+SUM('สรุปรายวัน (อ.)'!D61:F61)</f>
        <v>2.0993144603911462</v>
      </c>
      <c r="L22" s="4">
        <f>+SUM('สรุปรายวัน (อ.)'!D61:H61)</f>
        <v>3.2546062798797242</v>
      </c>
      <c r="M22" s="4">
        <f>+SUM('สรุปรายวัน (อ.)'!D61:J61)</f>
        <v>40.737046962449448</v>
      </c>
    </row>
    <row r="23" spans="1:13" x14ac:dyDescent="0.55000000000000004">
      <c r="A23" s="53"/>
      <c r="B23" s="6" t="s">
        <v>33</v>
      </c>
      <c r="C23" s="6" t="s">
        <v>33</v>
      </c>
      <c r="D23" s="4">
        <f>+SUM('สรุปรายวัน (อ.)'!D23:F23)</f>
        <v>14.093827772933988</v>
      </c>
      <c r="E23" s="4">
        <f>+SUM('สรุปรายวัน (อ.)'!D23:H23)</f>
        <v>18.079250221605246</v>
      </c>
      <c r="F23" s="4">
        <f>+SUM('สรุปรายวัน (อ.)'!D23:J23)</f>
        <v>67.548913722268125</v>
      </c>
      <c r="G23" s="49"/>
      <c r="H23" s="56"/>
      <c r="I23" s="6" t="s">
        <v>121</v>
      </c>
      <c r="J23" s="6" t="s">
        <v>121</v>
      </c>
      <c r="K23" s="4">
        <f>+SUM('สรุปรายวัน (อ.)'!D62:F62)</f>
        <v>23.562401070502162</v>
      </c>
      <c r="L23" s="4">
        <f>+SUM('สรุปรายวัน (อ.)'!D62:H62)</f>
        <v>27.28416563409953</v>
      </c>
      <c r="M23" s="4">
        <f>+SUM('สรุปรายวัน (อ.)'!D62:J62)</f>
        <v>55.277178967996321</v>
      </c>
    </row>
    <row r="24" spans="1:13" x14ac:dyDescent="0.55000000000000004">
      <c r="A24" s="53"/>
      <c r="B24" s="6" t="s">
        <v>37</v>
      </c>
      <c r="C24" s="6" t="s">
        <v>37</v>
      </c>
      <c r="D24" s="4">
        <f>+SUM('สรุปรายวัน (อ.)'!D24:F24)</f>
        <v>4.0016961018170036</v>
      </c>
      <c r="E24" s="4">
        <f>+SUM('สรุปรายวัน (อ.)'!D24:H24)</f>
        <v>6.7569707696465713</v>
      </c>
      <c r="F24" s="4">
        <f>+SUM('สรุปรายวัน (อ.)'!D24:J24)</f>
        <v>40.815532969690246</v>
      </c>
      <c r="G24" s="49"/>
      <c r="H24" s="56"/>
      <c r="I24" s="6" t="s">
        <v>123</v>
      </c>
      <c r="J24" s="6" t="s">
        <v>123</v>
      </c>
      <c r="K24" s="4">
        <f>+SUM('สรุปรายวัน (อ.)'!D63:F63)</f>
        <v>15.136967292441062</v>
      </c>
      <c r="L24" s="4">
        <f>+SUM('สรุปรายวัน (อ.)'!D63:H63)</f>
        <v>27.312112555608344</v>
      </c>
      <c r="M24" s="4">
        <f>+SUM('สรุปรายวัน (อ.)'!D63:J63)</f>
        <v>68.48307436607611</v>
      </c>
    </row>
    <row r="25" spans="1:13" x14ac:dyDescent="0.55000000000000004">
      <c r="A25" s="53"/>
      <c r="B25" s="6" t="s">
        <v>25</v>
      </c>
      <c r="C25" s="6" t="s">
        <v>25</v>
      </c>
      <c r="D25" s="4">
        <f>+SUM('สรุปรายวัน (อ.)'!D25:F25)</f>
        <v>3.2302761725338005</v>
      </c>
      <c r="E25" s="4">
        <f>+SUM('สรุปรายวัน (อ.)'!D25:H25)</f>
        <v>10.781074483614059</v>
      </c>
      <c r="F25" s="4">
        <f>+SUM('สรุปรายวัน (อ.)'!D25:J25)</f>
        <v>44.092422152730059</v>
      </c>
      <c r="G25" s="49"/>
      <c r="H25" s="56"/>
      <c r="I25" s="6" t="s">
        <v>115</v>
      </c>
      <c r="J25" s="6" t="s">
        <v>115</v>
      </c>
      <c r="K25" s="4">
        <f>+SUM('สรุปรายวัน (อ.)'!D64:F64)</f>
        <v>7.0243777238503142</v>
      </c>
      <c r="L25" s="4">
        <f>+SUM('สรุปรายวัน (อ.)'!D64:H64)</f>
        <v>10.805856076157863</v>
      </c>
      <c r="M25" s="4">
        <f>+SUM('สรุปรายวัน (อ.)'!D64:J64)</f>
        <v>57.171424521308097</v>
      </c>
    </row>
    <row r="26" spans="1:13" x14ac:dyDescent="0.55000000000000004">
      <c r="A26" s="53" t="s">
        <v>160</v>
      </c>
      <c r="B26" s="6" t="s">
        <v>47</v>
      </c>
      <c r="C26" s="6" t="s">
        <v>47</v>
      </c>
      <c r="D26" s="4">
        <f>+SUM('สรุปรายวัน (อ.)'!D26:F26)</f>
        <v>3.6438565096090443</v>
      </c>
      <c r="E26" s="4">
        <f>+SUM('สรุปรายวัน (อ.)'!D26:H26)</f>
        <v>16.426400023000628</v>
      </c>
      <c r="F26" s="4">
        <f>+SUM('สรุปรายวัน (อ.)'!D26:J26)</f>
        <v>35.921654644641755</v>
      </c>
      <c r="G26" s="49"/>
      <c r="H26" s="56"/>
      <c r="I26" s="6" t="s">
        <v>125</v>
      </c>
      <c r="J26" s="6" t="s">
        <v>125</v>
      </c>
      <c r="K26" s="4">
        <f>+SUM('สรุปรายวัน (อ.)'!D65:F65)</f>
        <v>9.5991312603250574</v>
      </c>
      <c r="L26" s="4">
        <f>+SUM('สรุปรายวัน (อ.)'!D65:H65)</f>
        <v>17.311927335114298</v>
      </c>
      <c r="M26" s="4">
        <f>+SUM('สรุปรายวัน (อ.)'!D65:J65)</f>
        <v>45.845629551358556</v>
      </c>
    </row>
    <row r="27" spans="1:13" x14ac:dyDescent="0.55000000000000004">
      <c r="A27" s="53"/>
      <c r="B27" s="6" t="s">
        <v>55</v>
      </c>
      <c r="C27" s="6" t="s">
        <v>55</v>
      </c>
      <c r="D27" s="4">
        <f>+SUM('สรุปรายวัน (อ.)'!D27:F27)</f>
        <v>14.389531249837109</v>
      </c>
      <c r="E27" s="4">
        <f>+SUM('สรุปรายวัน (อ.)'!D27:H27)</f>
        <v>37.671155711777438</v>
      </c>
      <c r="F27" s="4">
        <f>+SUM('สรุปรายวัน (อ.)'!D27:J27)</f>
        <v>55.541420954022641</v>
      </c>
      <c r="G27" s="49"/>
      <c r="H27" s="57"/>
      <c r="I27" s="6" t="s">
        <v>127</v>
      </c>
      <c r="J27" s="6" t="s">
        <v>127</v>
      </c>
      <c r="K27" s="4">
        <f>+SUM('สรุปรายวัน (อ.)'!D66:F66)</f>
        <v>18.898635574992575</v>
      </c>
      <c r="L27" s="4">
        <f>+SUM('สรุปรายวัน (อ.)'!D66:H66)</f>
        <v>30.786320232785421</v>
      </c>
      <c r="M27" s="4">
        <f>+SUM('สรุปรายวัน (อ.)'!D66:J66)</f>
        <v>64.688927464832645</v>
      </c>
    </row>
    <row r="28" spans="1:13" x14ac:dyDescent="0.55000000000000004">
      <c r="A28" s="53"/>
      <c r="B28" s="6" t="s">
        <v>57</v>
      </c>
      <c r="C28" s="6" t="s">
        <v>57</v>
      </c>
      <c r="D28" s="4">
        <f>+SUM('สรุปรายวัน (อ.)'!D28:F28)</f>
        <v>0.53319230020747588</v>
      </c>
      <c r="E28" s="4">
        <f>+SUM('สรุปรายวัน (อ.)'!D28:H28)</f>
        <v>17.984268708225112</v>
      </c>
      <c r="F28" s="4">
        <f>+SUM('สรุปรายวัน (อ.)'!D28:J28)</f>
        <v>64.195974824829648</v>
      </c>
      <c r="G28" s="49"/>
      <c r="H28" s="55" t="s">
        <v>165</v>
      </c>
      <c r="I28" s="6" t="s">
        <v>133</v>
      </c>
      <c r="J28" s="6" t="s">
        <v>133</v>
      </c>
      <c r="K28" s="4">
        <f>+SUM('สรุปรายวัน (อ.)'!D67:F67)</f>
        <v>5.9003597333531177</v>
      </c>
      <c r="L28" s="4">
        <f>+SUM('สรุปรายวัน (อ.)'!D67:H67)</f>
        <v>7.9757716193633303</v>
      </c>
      <c r="M28" s="4">
        <f>+SUM('สรุปรายวัน (อ.)'!D67:J67)</f>
        <v>43.278329581681064</v>
      </c>
    </row>
    <row r="29" spans="1:13" x14ac:dyDescent="0.55000000000000004">
      <c r="A29" s="53"/>
      <c r="B29" s="6" t="s">
        <v>51</v>
      </c>
      <c r="C29" s="6" t="s">
        <v>51</v>
      </c>
      <c r="D29" s="4">
        <f>+SUM('สรุปรายวัน (อ.)'!D29:F29)</f>
        <v>14.681776561420273</v>
      </c>
      <c r="E29" s="4">
        <f>+SUM('สรุปรายวัน (อ.)'!D29:H29)</f>
        <v>27.106548697843387</v>
      </c>
      <c r="F29" s="4">
        <f>+SUM('สรุปรายวัน (อ.)'!D29:J29)</f>
        <v>58.655374129255584</v>
      </c>
      <c r="G29" s="49"/>
      <c r="H29" s="56"/>
      <c r="I29" s="6" t="s">
        <v>131</v>
      </c>
      <c r="J29" s="6" t="s">
        <v>131</v>
      </c>
      <c r="K29" s="4">
        <f>+SUM('สรุปรายวัน (อ.)'!D68:F68)</f>
        <v>7.8927894559715384</v>
      </c>
      <c r="L29" s="4">
        <f>+SUM('สรุปรายวัน (อ.)'!D68:H68)</f>
        <v>11.414683526563282</v>
      </c>
      <c r="M29" s="4">
        <f>+SUM('สรุปรายวัน (อ.)'!D68:J68)</f>
        <v>90.401194134921553</v>
      </c>
    </row>
    <row r="30" spans="1:13" x14ac:dyDescent="0.55000000000000004">
      <c r="A30" s="53"/>
      <c r="B30" s="6" t="s">
        <v>45</v>
      </c>
      <c r="C30" s="6" t="s">
        <v>45</v>
      </c>
      <c r="D30" s="4">
        <f>+SUM('สรุปรายวัน (อ.)'!D30:F30)</f>
        <v>3.9246487326905242</v>
      </c>
      <c r="E30" s="4">
        <f>+SUM('สรุปรายวัน (อ.)'!D30:H30)</f>
        <v>12.437938103138055</v>
      </c>
      <c r="F30" s="4">
        <f>+SUM('สรุปรายวัน (อ.)'!D30:J30)</f>
        <v>52.166427551633276</v>
      </c>
      <c r="G30" s="49"/>
      <c r="H30" s="56"/>
      <c r="I30" s="6" t="s">
        <v>129</v>
      </c>
      <c r="J30" s="6" t="s">
        <v>129</v>
      </c>
      <c r="K30" s="4">
        <f>+SUM('สรุปรายวัน (อ.)'!D69:F69)</f>
        <v>13.928427196228098</v>
      </c>
      <c r="L30" s="4">
        <f>+SUM('สรุปรายวัน (อ.)'!D69:H69)</f>
        <v>17.454726744328916</v>
      </c>
      <c r="M30" s="4">
        <f>+SUM('สรุปรายวัน (อ.)'!D69:J69)</f>
        <v>84.549108090947726</v>
      </c>
    </row>
    <row r="31" spans="1:13" x14ac:dyDescent="0.55000000000000004">
      <c r="A31" s="53"/>
      <c r="B31" s="6" t="s">
        <v>53</v>
      </c>
      <c r="C31" s="6" t="s">
        <v>53</v>
      </c>
      <c r="D31" s="4">
        <f>+SUM('สรุปรายวัน (อ.)'!D31:F31)</f>
        <v>5.6684305539739626</v>
      </c>
      <c r="E31" s="4">
        <f>+SUM('สรุปรายวัน (อ.)'!D31:H31)</f>
        <v>14.775694778241746</v>
      </c>
      <c r="F31" s="4">
        <f>+SUM('สรุปรายวัน (อ.)'!D31:J31)</f>
        <v>74.116301365839149</v>
      </c>
      <c r="G31" s="49"/>
      <c r="H31" s="57"/>
      <c r="I31" s="6" t="s">
        <v>135</v>
      </c>
      <c r="J31" s="6" t="s">
        <v>135</v>
      </c>
      <c r="K31" s="4">
        <f>+SUM('สรุปรายวัน (อ.)'!D70:F70)</f>
        <v>5.4254342386117713</v>
      </c>
      <c r="L31" s="4">
        <f>+SUM('สรุปรายวัน (อ.)'!D70:H70)</f>
        <v>8.136078516540266</v>
      </c>
      <c r="M31" s="4">
        <f>+SUM('สรุปรายวัน (อ.)'!D70:J70)</f>
        <v>45.034767662270617</v>
      </c>
    </row>
    <row r="32" spans="1:13" x14ac:dyDescent="0.55000000000000004">
      <c r="A32" s="53"/>
      <c r="B32" s="6" t="s">
        <v>43</v>
      </c>
      <c r="C32" s="6" t="s">
        <v>43</v>
      </c>
      <c r="D32" s="4">
        <f>+SUM('สรุปรายวัน (อ.)'!D32:F32)</f>
        <v>2.1993065282863222</v>
      </c>
      <c r="E32" s="4">
        <f>+SUM('สรุปรายวัน (อ.)'!D32:H32)</f>
        <v>28.917489214879879</v>
      </c>
      <c r="F32" s="4">
        <f>+SUM('สรุปรายวัน (อ.)'!D32:J32)</f>
        <v>56.745214323994603</v>
      </c>
      <c r="G32" s="49"/>
      <c r="H32" s="69" t="s">
        <v>231</v>
      </c>
      <c r="I32" s="69"/>
      <c r="J32" s="69"/>
      <c r="K32" s="69"/>
      <c r="L32" s="69"/>
      <c r="M32" s="69"/>
    </row>
    <row r="33" spans="1:13" x14ac:dyDescent="0.55000000000000004">
      <c r="A33" s="53"/>
      <c r="B33" s="6" t="s">
        <v>49</v>
      </c>
      <c r="C33" s="6" t="s">
        <v>49</v>
      </c>
      <c r="D33" s="4">
        <f>+SUM('สรุปรายวัน (อ.)'!D33:F33)</f>
        <v>7.6538250613075807</v>
      </c>
      <c r="E33" s="4">
        <f>+SUM('สรุปรายวัน (อ.)'!D33:H33)</f>
        <v>23.703083344494644</v>
      </c>
      <c r="F33" s="4">
        <f>+SUM('สรุปรายวัน (อ.)'!D33:J33)</f>
        <v>47.527514837396673</v>
      </c>
      <c r="G33" s="49"/>
      <c r="H33" s="49"/>
      <c r="I33" s="49"/>
      <c r="J33" s="49"/>
      <c r="K33" s="49"/>
      <c r="L33" s="49"/>
      <c r="M33" s="25"/>
    </row>
    <row r="34" spans="1:13" x14ac:dyDescent="0.55000000000000004">
      <c r="A34" s="53" t="s">
        <v>161</v>
      </c>
      <c r="B34" s="6" t="s">
        <v>73</v>
      </c>
      <c r="C34" s="6" t="s">
        <v>73</v>
      </c>
      <c r="D34" s="4">
        <f>+SUM('สรุปรายวัน (อ.)'!D34:F34)</f>
        <v>21.18652096138922</v>
      </c>
      <c r="E34" s="4">
        <f>+SUM('สรุปรายวัน (อ.)'!D34:H34)</f>
        <v>49.44643512466638</v>
      </c>
      <c r="F34" s="4">
        <f>+SUM('สรุปรายวัน (อ.)'!D34:J34)</f>
        <v>75.296834193345049</v>
      </c>
      <c r="G34" s="49"/>
      <c r="H34" s="49"/>
      <c r="I34" s="49"/>
      <c r="J34" s="49"/>
      <c r="K34" s="49"/>
      <c r="L34" s="49"/>
      <c r="M34" s="25"/>
    </row>
    <row r="35" spans="1:13" x14ac:dyDescent="0.55000000000000004">
      <c r="A35" s="53"/>
      <c r="B35" s="6" t="s">
        <v>61</v>
      </c>
      <c r="C35" s="6" t="s">
        <v>61</v>
      </c>
      <c r="D35" s="4">
        <f>+SUM('สรุปรายวัน (อ.)'!D35:F35)</f>
        <v>8.5161186312316595</v>
      </c>
      <c r="E35" s="4">
        <f>+SUM('สรุปรายวัน (อ.)'!D35:H35)</f>
        <v>15.300803685991372</v>
      </c>
      <c r="F35" s="4">
        <f>+SUM('สรุปรายวัน (อ.)'!D35:J35)</f>
        <v>32.121289846274792</v>
      </c>
      <c r="G35" s="49"/>
      <c r="H35" s="49"/>
      <c r="I35" s="49"/>
      <c r="J35" s="49"/>
      <c r="K35" s="49"/>
      <c r="L35" s="49"/>
      <c r="M35" s="25"/>
    </row>
    <row r="36" spans="1:13" x14ac:dyDescent="0.55000000000000004">
      <c r="A36" s="53"/>
      <c r="B36" s="6" t="s">
        <v>77</v>
      </c>
      <c r="C36" s="6" t="s">
        <v>77</v>
      </c>
      <c r="D36" s="4">
        <f>+SUM('สรุปรายวัน (อ.)'!D36:F36)</f>
        <v>27.689819836203355</v>
      </c>
      <c r="E36" s="4">
        <f>+SUM('สรุปรายวัน (อ.)'!D36:H36)</f>
        <v>44.390223910961595</v>
      </c>
      <c r="F36" s="4">
        <f>+SUM('สรุปรายวัน (อ.)'!D36:J36)</f>
        <v>85.355917522939563</v>
      </c>
      <c r="G36" s="49"/>
      <c r="H36" s="49"/>
      <c r="I36" s="49"/>
      <c r="J36" s="49"/>
      <c r="K36" s="49"/>
      <c r="L36" s="49"/>
      <c r="M36" s="25"/>
    </row>
    <row r="37" spans="1:13" x14ac:dyDescent="0.55000000000000004">
      <c r="A37" s="53"/>
      <c r="B37" s="6" t="s">
        <v>63</v>
      </c>
      <c r="C37" s="6" t="s">
        <v>63</v>
      </c>
      <c r="D37" s="4">
        <f>+SUM('สรุปรายวัน (อ.)'!D37:F37)</f>
        <v>6.0220348599938802</v>
      </c>
      <c r="E37" s="4">
        <f>+SUM('สรุปรายวัน (อ.)'!D37:H37)</f>
        <v>14.059292338168337</v>
      </c>
      <c r="F37" s="4">
        <f>+SUM('สรุปรายวัน (อ.)'!D37:J37)</f>
        <v>45.695695228663077</v>
      </c>
      <c r="G37" s="49"/>
      <c r="H37" s="49"/>
      <c r="I37" s="49"/>
      <c r="J37" s="49"/>
      <c r="K37" s="49"/>
      <c r="L37" s="49"/>
      <c r="M37" s="25"/>
    </row>
    <row r="38" spans="1:13" x14ac:dyDescent="0.55000000000000004">
      <c r="A38" s="53"/>
      <c r="B38" s="6" t="s">
        <v>75</v>
      </c>
      <c r="C38" s="6" t="s">
        <v>75</v>
      </c>
      <c r="D38" s="4">
        <f>+SUM('สรุปรายวัน (อ.)'!D38:F38)</f>
        <v>5.5520465929956426</v>
      </c>
      <c r="E38" s="4">
        <f>+SUM('สรุปรายวัน (อ.)'!D38:H38)</f>
        <v>10.531538230229904</v>
      </c>
      <c r="F38" s="4">
        <f>+SUM('สรุปรายวัน (อ.)'!D38:J38)</f>
        <v>49.740814422555331</v>
      </c>
      <c r="G38" s="49"/>
      <c r="H38" s="49"/>
      <c r="I38" s="49"/>
      <c r="J38" s="49"/>
      <c r="K38" s="49"/>
      <c r="L38" s="49"/>
      <c r="M38" s="25"/>
    </row>
    <row r="39" spans="1:13" x14ac:dyDescent="0.55000000000000004">
      <c r="A39" s="53"/>
      <c r="B39" s="6" t="s">
        <v>65</v>
      </c>
      <c r="C39" s="6" t="s">
        <v>65</v>
      </c>
      <c r="D39" s="4">
        <f>+SUM('สรุปรายวัน (อ.)'!D39:F39)</f>
        <v>10.977476561785855</v>
      </c>
      <c r="E39" s="4">
        <f>+SUM('สรุปรายวัน (อ.)'!D39:H39)</f>
        <v>40.179672634218427</v>
      </c>
      <c r="F39" s="4">
        <f>+SUM('สรุปรายวัน (อ.)'!D39:J39)</f>
        <v>71.896043558940562</v>
      </c>
      <c r="G39" s="49"/>
      <c r="H39" s="49"/>
      <c r="I39" s="49"/>
      <c r="J39" s="49"/>
      <c r="K39" s="49"/>
      <c r="L39" s="49"/>
      <c r="M39" s="25"/>
    </row>
    <row r="40" spans="1:13" x14ac:dyDescent="0.55000000000000004">
      <c r="A40" s="53"/>
      <c r="B40" s="6" t="s">
        <v>67</v>
      </c>
      <c r="C40" s="6" t="s">
        <v>67</v>
      </c>
      <c r="D40" s="4">
        <f>+SUM('สรุปรายวัน (อ.)'!D40:F40)</f>
        <v>17.007748987237147</v>
      </c>
      <c r="E40" s="4">
        <f>+SUM('สรุปรายวัน (อ.)'!D40:H40)</f>
        <v>33.068110318242361</v>
      </c>
      <c r="F40" s="4">
        <f>+SUM('สรุปรายวัน (อ.)'!D40:J40)</f>
        <v>53.365836951977222</v>
      </c>
      <c r="G40" s="49"/>
      <c r="H40" s="49"/>
      <c r="I40" s="49"/>
      <c r="J40" s="49"/>
      <c r="K40" s="49"/>
      <c r="L40" s="49"/>
      <c r="M40" s="25"/>
    </row>
    <row r="41" spans="1:13" x14ac:dyDescent="0.55000000000000004">
      <c r="A41" s="53"/>
      <c r="B41" s="6" t="s">
        <v>59</v>
      </c>
      <c r="C41" s="6" t="s">
        <v>59</v>
      </c>
      <c r="D41" s="4">
        <f>+SUM('สรุปรายวัน (อ.)'!D41:F41)</f>
        <v>5.3761238048451334</v>
      </c>
      <c r="E41" s="4">
        <f>+SUM('สรุปรายวัน (อ.)'!D41:H41)</f>
        <v>12.861037496621698</v>
      </c>
      <c r="F41" s="4">
        <f>+SUM('สรุปรายวัน (อ.)'!D41:J41)</f>
        <v>36.559232005673145</v>
      </c>
      <c r="G41" s="49"/>
      <c r="H41" s="49"/>
      <c r="I41" s="49"/>
      <c r="J41" s="49"/>
      <c r="K41" s="49"/>
      <c r="L41" s="49"/>
      <c r="M41" s="25"/>
    </row>
    <row r="42" spans="1:13" x14ac:dyDescent="0.55000000000000004">
      <c r="A42" s="53"/>
      <c r="B42" s="6" t="s">
        <v>71</v>
      </c>
      <c r="C42" s="6" t="s">
        <v>71</v>
      </c>
      <c r="D42" s="4">
        <f>+SUM('สรุปรายวัน (อ.)'!D42:F42)</f>
        <v>20.757361573002463</v>
      </c>
      <c r="E42" s="4">
        <f>+SUM('สรุปรายวัน (อ.)'!D42:H42)</f>
        <v>49.590003471474105</v>
      </c>
      <c r="F42" s="4">
        <f>+SUM('สรุปรายวัน (อ.)'!D42:J42)</f>
        <v>84.174832425824036</v>
      </c>
      <c r="G42" s="49"/>
      <c r="H42" s="49"/>
      <c r="I42" s="49"/>
      <c r="J42" s="49"/>
      <c r="K42" s="49"/>
      <c r="L42" s="49"/>
      <c r="M42" s="25"/>
    </row>
    <row r="43" spans="1:13" x14ac:dyDescent="0.55000000000000004">
      <c r="A43" s="53"/>
      <c r="B43" s="6" t="s">
        <v>69</v>
      </c>
      <c r="C43" s="6" t="s">
        <v>69</v>
      </c>
      <c r="D43" s="4">
        <f>+SUM('สรุปรายวัน (อ.)'!D43:F43)</f>
        <v>1.0923569643517126</v>
      </c>
      <c r="E43" s="4">
        <f>+SUM('สรุปรายวัน (อ.)'!D43:H43)</f>
        <v>20.269329754587954</v>
      </c>
      <c r="F43" s="4">
        <f>+SUM('สรุปรายวัน (อ.)'!D43:J43)</f>
        <v>38.298633459801025</v>
      </c>
      <c r="G43" s="49"/>
      <c r="H43" s="49"/>
      <c r="I43" s="49"/>
      <c r="J43" s="49"/>
      <c r="K43" s="49"/>
      <c r="L43" s="49"/>
      <c r="M43" s="25"/>
    </row>
    <row r="44" spans="1:13" x14ac:dyDescent="0.55000000000000004">
      <c r="G44" s="49"/>
      <c r="H44" s="34"/>
      <c r="I44" s="34"/>
      <c r="J44" s="34"/>
      <c r="K44" s="34"/>
      <c r="L44" s="34"/>
    </row>
    <row r="45" spans="1:13" x14ac:dyDescent="0.55000000000000004">
      <c r="G45" s="49"/>
      <c r="H45" s="34"/>
      <c r="I45" s="34"/>
      <c r="J45" s="34"/>
      <c r="K45" s="34"/>
      <c r="L45" s="34"/>
    </row>
    <row r="46" spans="1:13" x14ac:dyDescent="0.55000000000000004">
      <c r="G46" s="49"/>
      <c r="H46" s="34"/>
      <c r="I46" s="34"/>
      <c r="J46" s="34"/>
      <c r="K46" s="34"/>
      <c r="L46" s="34"/>
    </row>
    <row r="47" spans="1:13" x14ac:dyDescent="0.55000000000000004">
      <c r="G47" s="49"/>
      <c r="H47" s="34"/>
      <c r="I47" s="34"/>
      <c r="J47" s="34"/>
      <c r="K47" s="34"/>
      <c r="L47" s="34"/>
    </row>
    <row r="48" spans="1:13" x14ac:dyDescent="0.55000000000000004">
      <c r="G48" s="49"/>
      <c r="H48" s="34"/>
      <c r="I48" s="34"/>
      <c r="J48" s="34"/>
      <c r="K48" s="34"/>
      <c r="L48" s="34"/>
    </row>
    <row r="49" spans="7:12" x14ac:dyDescent="0.55000000000000004">
      <c r="G49" s="49"/>
      <c r="H49" s="34"/>
      <c r="I49" s="34"/>
      <c r="J49" s="34"/>
      <c r="K49" s="34"/>
      <c r="L49" s="34"/>
    </row>
    <row r="50" spans="7:12" x14ac:dyDescent="0.55000000000000004">
      <c r="G50" s="49"/>
      <c r="H50" s="34"/>
      <c r="I50" s="34"/>
      <c r="J50" s="34"/>
      <c r="K50" s="34"/>
      <c r="L50" s="34"/>
    </row>
    <row r="51" spans="7:12" x14ac:dyDescent="0.55000000000000004">
      <c r="G51" s="49"/>
      <c r="H51" s="34"/>
      <c r="I51" s="34"/>
      <c r="J51" s="34"/>
      <c r="K51" s="34"/>
      <c r="L51" s="34"/>
    </row>
    <row r="52" spans="7:12" x14ac:dyDescent="0.55000000000000004">
      <c r="G52" s="49"/>
      <c r="H52" s="34"/>
      <c r="I52" s="34"/>
      <c r="J52" s="34"/>
      <c r="K52" s="34"/>
      <c r="L52" s="34"/>
    </row>
    <row r="53" spans="7:12" x14ac:dyDescent="0.55000000000000004">
      <c r="G53" s="49"/>
      <c r="H53" s="34"/>
      <c r="I53" s="34"/>
      <c r="J53" s="34"/>
      <c r="K53" s="34"/>
      <c r="L53" s="34"/>
    </row>
    <row r="54" spans="7:12" x14ac:dyDescent="0.55000000000000004">
      <c r="G54" s="49"/>
      <c r="H54" s="34"/>
      <c r="I54" s="34"/>
      <c r="J54" s="34"/>
      <c r="K54" s="34"/>
      <c r="L54" s="34"/>
    </row>
    <row r="55" spans="7:12" x14ac:dyDescent="0.55000000000000004">
      <c r="G55" s="49"/>
      <c r="H55" s="34"/>
      <c r="I55" s="34"/>
      <c r="J55" s="34"/>
      <c r="K55" s="34"/>
      <c r="L55" s="34"/>
    </row>
    <row r="56" spans="7:12" x14ac:dyDescent="0.55000000000000004">
      <c r="G56" s="49"/>
      <c r="H56" s="34"/>
      <c r="I56" s="34"/>
      <c r="J56" s="34"/>
      <c r="K56" s="34"/>
      <c r="L56" s="34"/>
    </row>
    <row r="57" spans="7:12" x14ac:dyDescent="0.55000000000000004">
      <c r="G57" s="49"/>
      <c r="H57" s="34"/>
      <c r="I57" s="34"/>
      <c r="J57" s="34"/>
      <c r="K57" s="34"/>
      <c r="L57" s="34"/>
    </row>
    <row r="58" spans="7:12" x14ac:dyDescent="0.55000000000000004">
      <c r="G58" s="49"/>
      <c r="H58" s="34"/>
      <c r="I58" s="34"/>
      <c r="J58" s="34"/>
      <c r="K58" s="34"/>
      <c r="L58" s="34"/>
    </row>
    <row r="59" spans="7:12" x14ac:dyDescent="0.55000000000000004">
      <c r="G59" s="49"/>
      <c r="H59" s="34"/>
      <c r="I59" s="34"/>
      <c r="J59" s="34"/>
      <c r="K59" s="34"/>
      <c r="L59" s="34"/>
    </row>
    <row r="60" spans="7:12" x14ac:dyDescent="0.55000000000000004">
      <c r="G60" s="49"/>
      <c r="H60" s="34"/>
      <c r="I60" s="34"/>
      <c r="J60" s="34"/>
      <c r="K60" s="34"/>
      <c r="L60" s="34"/>
    </row>
    <row r="61" spans="7:12" x14ac:dyDescent="0.55000000000000004">
      <c r="G61" s="49"/>
      <c r="H61" s="34"/>
      <c r="I61" s="34"/>
      <c r="J61" s="34"/>
      <c r="K61" s="34"/>
      <c r="L61" s="34"/>
    </row>
    <row r="62" spans="7:12" x14ac:dyDescent="0.55000000000000004">
      <c r="G62" s="49"/>
      <c r="H62" s="34"/>
      <c r="I62" s="34"/>
      <c r="J62" s="34"/>
      <c r="K62" s="34"/>
      <c r="L62" s="34"/>
    </row>
    <row r="63" spans="7:12" x14ac:dyDescent="0.55000000000000004">
      <c r="G63" s="49"/>
      <c r="H63" s="34"/>
      <c r="I63" s="34"/>
      <c r="J63" s="34"/>
      <c r="K63" s="34"/>
      <c r="L63" s="34"/>
    </row>
    <row r="64" spans="7:12" x14ac:dyDescent="0.55000000000000004">
      <c r="G64" s="49"/>
      <c r="H64" s="34"/>
      <c r="I64" s="34"/>
      <c r="J64" s="34"/>
      <c r="K64" s="34"/>
      <c r="L64" s="34"/>
    </row>
    <row r="65" spans="7:12" x14ac:dyDescent="0.55000000000000004">
      <c r="G65" s="49"/>
      <c r="H65" s="34"/>
      <c r="I65" s="34"/>
      <c r="J65" s="34"/>
      <c r="K65" s="34"/>
      <c r="L65" s="34"/>
    </row>
    <row r="66" spans="7:12" x14ac:dyDescent="0.55000000000000004">
      <c r="G66" s="49"/>
      <c r="H66" s="34"/>
      <c r="I66" s="34"/>
      <c r="J66" s="34"/>
      <c r="K66" s="34"/>
      <c r="L66" s="34"/>
    </row>
    <row r="67" spans="7:12" x14ac:dyDescent="0.55000000000000004">
      <c r="G67" s="49"/>
      <c r="H67" s="34"/>
      <c r="I67" s="34"/>
      <c r="J67" s="34"/>
      <c r="K67" s="34"/>
      <c r="L67" s="34"/>
    </row>
    <row r="68" spans="7:12" x14ac:dyDescent="0.55000000000000004">
      <c r="G68" s="49"/>
      <c r="H68" s="34"/>
      <c r="I68" s="34"/>
      <c r="J68" s="34"/>
      <c r="K68" s="34"/>
      <c r="L68" s="34"/>
    </row>
    <row r="69" spans="7:12" x14ac:dyDescent="0.55000000000000004">
      <c r="G69" s="49"/>
      <c r="H69" s="34"/>
      <c r="I69" s="34"/>
      <c r="J69" s="34"/>
      <c r="K69" s="34"/>
      <c r="L69" s="34"/>
    </row>
    <row r="70" spans="7:12" x14ac:dyDescent="0.55000000000000004">
      <c r="G70" s="49"/>
      <c r="H70" s="34"/>
      <c r="I70" s="34"/>
      <c r="J70" s="34"/>
      <c r="K70" s="34"/>
      <c r="L70" s="34"/>
    </row>
    <row r="71" spans="7:12" x14ac:dyDescent="0.55000000000000004">
      <c r="G71" s="50"/>
      <c r="H71" s="35"/>
      <c r="I71" s="35"/>
      <c r="J71" s="35"/>
      <c r="K71" s="35"/>
      <c r="L71" s="35"/>
    </row>
  </sheetData>
  <mergeCells count="22">
    <mergeCell ref="S6:T6"/>
    <mergeCell ref="U6:W6"/>
    <mergeCell ref="P2:P6"/>
    <mergeCell ref="Q5:Q6"/>
    <mergeCell ref="K2:M2"/>
    <mergeCell ref="D2:F2"/>
    <mergeCell ref="H32:M32"/>
    <mergeCell ref="A1:M1"/>
    <mergeCell ref="H2:H4"/>
    <mergeCell ref="J2:J4"/>
    <mergeCell ref="A2:A4"/>
    <mergeCell ref="C2:C4"/>
    <mergeCell ref="B2:B4"/>
    <mergeCell ref="I2:I4"/>
    <mergeCell ref="A34:A43"/>
    <mergeCell ref="H5:H11"/>
    <mergeCell ref="H12:H20"/>
    <mergeCell ref="H21:H27"/>
    <mergeCell ref="H28:H31"/>
    <mergeCell ref="A5:A15"/>
    <mergeCell ref="A16:A25"/>
    <mergeCell ref="A26:A33"/>
  </mergeCells>
  <conditionalFormatting sqref="K5:K31 D5:D43">
    <cfRule type="cellIs" dxfId="17" priority="14" operator="greaterThan">
      <formula>270</formula>
    </cfRule>
    <cfRule type="cellIs" dxfId="16" priority="15" operator="between">
      <formula>210.000000001</formula>
      <formula>270</formula>
    </cfRule>
    <cfRule type="cellIs" dxfId="15" priority="16" operator="between">
      <formula>150.00000001</formula>
      <formula>210</formula>
    </cfRule>
    <cfRule type="cellIs" dxfId="14" priority="17" operator="between">
      <formula>105.000000001</formula>
      <formula>150</formula>
    </cfRule>
    <cfRule type="cellIs" dxfId="13" priority="18" operator="between">
      <formula>60.0000001</formula>
      <formula>105</formula>
    </cfRule>
    <cfRule type="cellIs" dxfId="12" priority="19" operator="between">
      <formula>30.0000001</formula>
      <formula>60</formula>
    </cfRule>
    <cfRule type="cellIs" priority="20" operator="between">
      <formula>0</formula>
      <formula>30</formula>
    </cfRule>
  </conditionalFormatting>
  <conditionalFormatting sqref="L5:L31 E5:E43">
    <cfRule type="cellIs" dxfId="11" priority="7" operator="greaterThan">
      <formula>450</formula>
    </cfRule>
    <cfRule type="cellIs" dxfId="10" priority="8" operator="between">
      <formula>350.000001</formula>
      <formula>450</formula>
    </cfRule>
    <cfRule type="cellIs" dxfId="9" priority="9" operator="between">
      <formula>250.000001</formula>
      <formula>350</formula>
    </cfRule>
    <cfRule type="cellIs" dxfId="8" priority="10" operator="between">
      <formula>175.000001</formula>
      <formula>250</formula>
    </cfRule>
    <cfRule type="cellIs" dxfId="7" priority="11" operator="between">
      <formula>100.000001</formula>
      <formula>175</formula>
    </cfRule>
    <cfRule type="cellIs" dxfId="6" priority="12" operator="between">
      <formula>50.000001</formula>
      <formula>100</formula>
    </cfRule>
    <cfRule type="cellIs" priority="13" operator="between">
      <formula>0</formula>
      <formula>50</formula>
    </cfRule>
  </conditionalFormatting>
  <conditionalFormatting sqref="M5:M31 F5:G32 F33:L43 G44:L70">
    <cfRule type="cellIs" dxfId="5" priority="1" operator="greaterThan">
      <formula>630</formula>
    </cfRule>
    <cfRule type="cellIs" dxfId="4" priority="2" operator="between">
      <formula>490.000001</formula>
      <formula>630</formula>
    </cfRule>
    <cfRule type="cellIs" dxfId="3" priority="3" operator="between">
      <formula>350.0000001</formula>
      <formula>490</formula>
    </cfRule>
    <cfRule type="cellIs" dxfId="2" priority="4" operator="between">
      <formula>245.000001</formula>
      <formula>350</formula>
    </cfRule>
    <cfRule type="cellIs" dxfId="1" priority="5" operator="between">
      <formula>140.000001</formula>
      <formula>245</formula>
    </cfRule>
    <cfRule type="cellIs" dxfId="0" priority="6" operator="between">
      <formula>70.0000001</formula>
      <formula>140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 Pro</vt:lpstr>
      <vt:lpstr>RAW DATA</vt:lpstr>
      <vt:lpstr>Data</vt:lpstr>
      <vt:lpstr>WeightCal</vt:lpstr>
      <vt:lpstr>สรุปรายวัน (อ.)</vt:lpstr>
      <vt:lpstr>สรุปสะสม (อ.)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2024-08-30T03:38:08Z</dcterms:created>
  <dcterms:modified xsi:type="dcterms:W3CDTF">2026-06-30T02:21:45Z</dcterms:modified>
</cp:coreProperties>
</file>